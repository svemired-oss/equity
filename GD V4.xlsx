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va\OneDrive\Desktop\General dynamics\"/>
    </mc:Choice>
  </mc:AlternateContent>
  <xr:revisionPtr revIDLastSave="0" documentId="13_ncr:1_{0216AF35-2E3D-4076-AF83-4B100594B1F5}" xr6:coauthVersionLast="47" xr6:coauthVersionMax="47" xr10:uidLastSave="{00000000-0000-0000-0000-000000000000}"/>
  <bookViews>
    <workbookView xWindow="-108" yWindow="-108" windowWidth="23256" windowHeight="13896" tabRatio="724" firstSheet="1" activeTab="10" xr2:uid="{9D25D530-B7FA-4289-BD20-FCC2EC4418C7}"/>
  </bookViews>
  <sheets>
    <sheet name="Cover" sheetId="15" r:id="rId1"/>
    <sheet name="DCF" sheetId="11" r:id="rId2"/>
    <sheet name="Ke" sheetId="12" r:id="rId3"/>
    <sheet name="Revenue model" sheetId="1" r:id="rId4"/>
    <sheet name="Income statement" sheetId="2" r:id="rId5"/>
    <sheet name="Balance sheet" sheetId="3" r:id="rId6"/>
    <sheet name="Cash flow" sheetId="8" r:id="rId7"/>
    <sheet name="Equity" sheetId="7" r:id="rId8"/>
    <sheet name="Schedules" sheetId="16" r:id="rId9"/>
    <sheet name="Comps" sheetId="13" r:id="rId10"/>
    <sheet name="Comps no formuals" sheetId="14" r:id="rId1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I42" i="1"/>
  <c r="J42" i="1"/>
  <c r="K42" i="1"/>
  <c r="L42" i="1"/>
  <c r="J29" i="1" l="1"/>
  <c r="K29" i="1"/>
  <c r="L29" i="1"/>
  <c r="G75" i="16"/>
  <c r="H78" i="16"/>
  <c r="K73" i="16"/>
  <c r="H73" i="16"/>
  <c r="F25" i="16"/>
  <c r="E25" i="16"/>
  <c r="D25" i="16"/>
  <c r="C25" i="16"/>
  <c r="B25" i="16"/>
  <c r="G34" i="3"/>
  <c r="G19" i="3"/>
  <c r="H83" i="3"/>
  <c r="C83" i="3"/>
  <c r="D83" i="3"/>
  <c r="E83" i="3"/>
  <c r="F83" i="3"/>
  <c r="B83" i="3"/>
  <c r="I68" i="3"/>
  <c r="J68" i="3"/>
  <c r="K68" i="3"/>
  <c r="L68" i="3"/>
  <c r="H68" i="3"/>
  <c r="G68" i="3"/>
  <c r="C68" i="3"/>
  <c r="D68" i="3"/>
  <c r="E68" i="3"/>
  <c r="F68" i="3"/>
  <c r="B68" i="3"/>
  <c r="G14" i="2"/>
  <c r="G13" i="2"/>
  <c r="G12" i="2"/>
  <c r="G43" i="2"/>
  <c r="G45" i="2"/>
  <c r="G44" i="2"/>
  <c r="C45" i="2"/>
  <c r="D45" i="2"/>
  <c r="E45" i="2"/>
  <c r="F45" i="2"/>
  <c r="B45" i="2"/>
  <c r="C44" i="2"/>
  <c r="D44" i="2"/>
  <c r="E44" i="2"/>
  <c r="F44" i="2"/>
  <c r="B44" i="2"/>
  <c r="C43" i="2"/>
  <c r="D43" i="2"/>
  <c r="E43" i="2"/>
  <c r="F43" i="2"/>
  <c r="B43" i="2"/>
  <c r="B38" i="2"/>
  <c r="G78" i="1"/>
  <c r="F78" i="1"/>
  <c r="E78" i="1"/>
  <c r="D78" i="1"/>
  <c r="C78" i="1"/>
  <c r="H44" i="1"/>
  <c r="I44" i="1"/>
  <c r="J44" i="1"/>
  <c r="K44" i="1"/>
  <c r="L44" i="1"/>
  <c r="G44" i="1"/>
  <c r="G43" i="1"/>
  <c r="K26" i="12"/>
  <c r="K22" i="12"/>
  <c r="K21" i="12"/>
  <c r="K20" i="12"/>
  <c r="K19" i="12"/>
  <c r="H57" i="1"/>
  <c r="I57" i="1"/>
  <c r="J57" i="1"/>
  <c r="K57" i="1"/>
  <c r="L57" i="1"/>
  <c r="G57" i="1"/>
  <c r="G55" i="1"/>
  <c r="I55" i="1"/>
  <c r="J55" i="1"/>
  <c r="K55" i="1"/>
  <c r="L55" i="1"/>
  <c r="H55" i="1"/>
  <c r="L54" i="1"/>
  <c r="K54" i="1"/>
  <c r="J54" i="1"/>
  <c r="I54" i="1"/>
  <c r="H54" i="1"/>
  <c r="G54" i="1"/>
  <c r="I46" i="1"/>
  <c r="J46" i="1"/>
  <c r="K46" i="1"/>
  <c r="L46" i="1"/>
  <c r="H46" i="1"/>
  <c r="G46" i="1"/>
  <c r="H43" i="1"/>
  <c r="I43" i="1"/>
  <c r="J43" i="1"/>
  <c r="K43" i="1"/>
  <c r="L43" i="1"/>
  <c r="G42" i="1"/>
  <c r="L33" i="1"/>
  <c r="K33" i="1"/>
  <c r="J33" i="1"/>
  <c r="I33" i="1"/>
  <c r="H33" i="1"/>
  <c r="G33" i="1"/>
  <c r="L30" i="1"/>
  <c r="K30" i="1"/>
  <c r="J30" i="1"/>
  <c r="I30" i="1"/>
  <c r="H30" i="1"/>
  <c r="G30" i="1"/>
  <c r="H29" i="1"/>
  <c r="I29" i="1"/>
  <c r="G29" i="1"/>
  <c r="I83" i="3" l="1"/>
  <c r="L134" i="1"/>
  <c r="K134" i="1"/>
  <c r="J134" i="1"/>
  <c r="I134" i="1"/>
  <c r="H134" i="1"/>
  <c r="G134" i="1"/>
  <c r="L132" i="1"/>
  <c r="K132" i="1"/>
  <c r="J132" i="1"/>
  <c r="I132" i="1"/>
  <c r="H132" i="1"/>
  <c r="G132" i="1"/>
  <c r="L130" i="1"/>
  <c r="K130" i="1"/>
  <c r="J130" i="1"/>
  <c r="I130" i="1"/>
  <c r="H130" i="1"/>
  <c r="G130" i="1"/>
  <c r="L128" i="1"/>
  <c r="K128" i="1"/>
  <c r="J128" i="1"/>
  <c r="I128" i="1"/>
  <c r="H128" i="1"/>
  <c r="G128" i="1"/>
  <c r="L126" i="1"/>
  <c r="K126" i="1"/>
  <c r="J126" i="1"/>
  <c r="I126" i="1"/>
  <c r="H126" i="1"/>
  <c r="G126" i="1"/>
  <c r="L124" i="1"/>
  <c r="K124" i="1"/>
  <c r="J124" i="1"/>
  <c r="I124" i="1"/>
  <c r="H124" i="1"/>
  <c r="G124" i="1"/>
  <c r="L120" i="1"/>
  <c r="K120" i="1"/>
  <c r="J120" i="1"/>
  <c r="I120" i="1"/>
  <c r="H120" i="1"/>
  <c r="G120" i="1"/>
  <c r="L118" i="1"/>
  <c r="K118" i="1"/>
  <c r="J118" i="1"/>
  <c r="I118" i="1"/>
  <c r="H118" i="1"/>
  <c r="G118" i="1"/>
  <c r="L116" i="1"/>
  <c r="K116" i="1"/>
  <c r="J116" i="1"/>
  <c r="I116" i="1"/>
  <c r="H116" i="1"/>
  <c r="G116" i="1"/>
  <c r="L114" i="1"/>
  <c r="K114" i="1"/>
  <c r="J114" i="1"/>
  <c r="I114" i="1"/>
  <c r="H114" i="1"/>
  <c r="G114" i="1"/>
  <c r="L112" i="1"/>
  <c r="K112" i="1"/>
  <c r="J112" i="1"/>
  <c r="I112" i="1"/>
  <c r="H112" i="1"/>
  <c r="G112" i="1"/>
  <c r="L110" i="1"/>
  <c r="K110" i="1"/>
  <c r="J110" i="1"/>
  <c r="I110" i="1"/>
  <c r="H110" i="1"/>
  <c r="G110" i="1"/>
  <c r="L108" i="1"/>
  <c r="K108" i="1"/>
  <c r="J108" i="1"/>
  <c r="I108" i="1"/>
  <c r="H108" i="1"/>
  <c r="G108" i="1"/>
  <c r="L106" i="1"/>
  <c r="K106" i="1"/>
  <c r="J106" i="1"/>
  <c r="I106" i="1"/>
  <c r="H106" i="1"/>
  <c r="G106" i="1"/>
  <c r="L102" i="1"/>
  <c r="K102" i="1"/>
  <c r="J102" i="1"/>
  <c r="I102" i="1"/>
  <c r="H102" i="1"/>
  <c r="G102" i="1"/>
  <c r="L100" i="1"/>
  <c r="K100" i="1"/>
  <c r="J100" i="1"/>
  <c r="I100" i="1"/>
  <c r="H100" i="1"/>
  <c r="G100" i="1"/>
  <c r="H98" i="1"/>
  <c r="I98" i="1"/>
  <c r="J98" i="1"/>
  <c r="K98" i="1"/>
  <c r="L98" i="1"/>
  <c r="G98" i="1"/>
  <c r="H96" i="1"/>
  <c r="I96" i="1"/>
  <c r="J96" i="1"/>
  <c r="K96" i="1"/>
  <c r="L96" i="1"/>
  <c r="G96" i="1"/>
  <c r="H94" i="1"/>
  <c r="I94" i="1"/>
  <c r="J94" i="1"/>
  <c r="K94" i="1"/>
  <c r="L94" i="1"/>
  <c r="G94" i="1"/>
  <c r="H92" i="1"/>
  <c r="I92" i="1"/>
  <c r="J92" i="1"/>
  <c r="K92" i="1"/>
  <c r="L92" i="1"/>
  <c r="G92" i="1"/>
  <c r="D11" i="12"/>
  <c r="D12" i="12" s="1"/>
  <c r="B73" i="16"/>
  <c r="B75" i="16" s="1"/>
  <c r="F89" i="16"/>
  <c r="B89" i="16"/>
  <c r="C89" i="16"/>
  <c r="D89" i="16"/>
  <c r="E89" i="16"/>
  <c r="F95" i="16"/>
  <c r="K88" i="16"/>
  <c r="K75" i="3" s="1"/>
  <c r="H81" i="16"/>
  <c r="G13" i="1"/>
  <c r="C57" i="2"/>
  <c r="D57" i="2"/>
  <c r="E57" i="2"/>
  <c r="F57" i="2"/>
  <c r="B57" i="2"/>
  <c r="C55" i="2"/>
  <c r="D55" i="2"/>
  <c r="E55" i="2"/>
  <c r="F55" i="2"/>
  <c r="B55" i="2"/>
  <c r="C53" i="2"/>
  <c r="D53" i="2"/>
  <c r="E53" i="2"/>
  <c r="F53" i="2"/>
  <c r="B53" i="2"/>
  <c r="C51" i="2"/>
  <c r="D51" i="2"/>
  <c r="E51" i="2"/>
  <c r="F51" i="2"/>
  <c r="B51" i="2"/>
  <c r="C50" i="2"/>
  <c r="D50" i="2"/>
  <c r="E50" i="2"/>
  <c r="F50" i="2"/>
  <c r="C48" i="2"/>
  <c r="D48" i="2"/>
  <c r="E48" i="2"/>
  <c r="F48" i="2"/>
  <c r="B48" i="2"/>
  <c r="B50" i="2"/>
  <c r="C46" i="2"/>
  <c r="D46" i="2"/>
  <c r="E46" i="2"/>
  <c r="F46" i="2"/>
  <c r="B46" i="2"/>
  <c r="C40" i="2"/>
  <c r="D40" i="2"/>
  <c r="E40" i="2"/>
  <c r="F40" i="2"/>
  <c r="B40" i="2"/>
  <c r="C39" i="2"/>
  <c r="D39" i="2"/>
  <c r="E39" i="2"/>
  <c r="F39" i="2"/>
  <c r="B39" i="2"/>
  <c r="C38" i="2"/>
  <c r="D38" i="2"/>
  <c r="E38" i="2"/>
  <c r="F38" i="2"/>
  <c r="F15" i="1"/>
  <c r="B15" i="1"/>
  <c r="B9" i="2"/>
  <c r="B59" i="3" s="1"/>
  <c r="C9" i="2"/>
  <c r="C59" i="3" s="1"/>
  <c r="D9" i="2"/>
  <c r="D24" i="16" s="1"/>
  <c r="E9" i="2"/>
  <c r="E24" i="16" s="1"/>
  <c r="F9" i="2"/>
  <c r="F77" i="3" s="1"/>
  <c r="B15" i="2"/>
  <c r="C15" i="2"/>
  <c r="D15" i="2"/>
  <c r="E15" i="2"/>
  <c r="F15" i="2"/>
  <c r="B13" i="3"/>
  <c r="B22" i="3" s="1"/>
  <c r="C13" i="3"/>
  <c r="D13" i="3"/>
  <c r="E13" i="3"/>
  <c r="F13" i="3"/>
  <c r="G17" i="3"/>
  <c r="H17" i="3" s="1"/>
  <c r="B20" i="3"/>
  <c r="C20" i="3"/>
  <c r="D20" i="3"/>
  <c r="D22" i="3" s="1"/>
  <c r="E20" i="3"/>
  <c r="E22" i="3" s="1"/>
  <c r="F20" i="3"/>
  <c r="F22" i="3" s="1"/>
  <c r="L26" i="3"/>
  <c r="B30" i="3"/>
  <c r="C30" i="3"/>
  <c r="D30" i="3"/>
  <c r="E30" i="3"/>
  <c r="F30" i="3"/>
  <c r="B35" i="3"/>
  <c r="C35" i="3"/>
  <c r="D35" i="3"/>
  <c r="D37" i="3" s="1"/>
  <c r="D47" i="3" s="1"/>
  <c r="E35" i="3"/>
  <c r="E37" i="3" s="1"/>
  <c r="E47" i="3" s="1"/>
  <c r="F35" i="3"/>
  <c r="G40" i="3"/>
  <c r="H40" i="3"/>
  <c r="I40" i="3"/>
  <c r="J40" i="3"/>
  <c r="K40" i="3"/>
  <c r="L40" i="3"/>
  <c r="B45" i="3"/>
  <c r="C45" i="3"/>
  <c r="D45" i="3"/>
  <c r="E45" i="3"/>
  <c r="F45" i="3"/>
  <c r="G58" i="3"/>
  <c r="H58" i="3"/>
  <c r="I58" i="3"/>
  <c r="J58" i="3"/>
  <c r="K58" i="3"/>
  <c r="L58" i="3"/>
  <c r="B60" i="3"/>
  <c r="C60" i="3"/>
  <c r="D60" i="3"/>
  <c r="E60" i="3"/>
  <c r="F60" i="3"/>
  <c r="G60" i="3"/>
  <c r="H60" i="3"/>
  <c r="I60" i="3"/>
  <c r="J60" i="3"/>
  <c r="K60" i="3"/>
  <c r="L60" i="3"/>
  <c r="C66" i="3"/>
  <c r="D66" i="3"/>
  <c r="E66" i="3"/>
  <c r="F66" i="3"/>
  <c r="L75" i="3"/>
  <c r="B76" i="3"/>
  <c r="C76" i="3"/>
  <c r="D76" i="3"/>
  <c r="E76" i="3"/>
  <c r="F76" i="3"/>
  <c r="G76" i="3"/>
  <c r="H76" i="3"/>
  <c r="I76" i="3"/>
  <c r="J76" i="3"/>
  <c r="K76" i="3"/>
  <c r="L76" i="3"/>
  <c r="B105" i="16"/>
  <c r="C105" i="16"/>
  <c r="D105" i="16"/>
  <c r="E105" i="16"/>
  <c r="F105" i="16"/>
  <c r="B106" i="16"/>
  <c r="C106" i="16"/>
  <c r="D106" i="16"/>
  <c r="E106" i="16"/>
  <c r="F106" i="16"/>
  <c r="G113" i="16"/>
  <c r="H113" i="16"/>
  <c r="I113" i="16"/>
  <c r="J113" i="16"/>
  <c r="K113" i="16"/>
  <c r="L113" i="16"/>
  <c r="B116" i="16"/>
  <c r="C116" i="16"/>
  <c r="D116" i="16"/>
  <c r="E116" i="16"/>
  <c r="F116" i="16"/>
  <c r="B117" i="16"/>
  <c r="C117" i="16"/>
  <c r="D117" i="16"/>
  <c r="E117" i="16"/>
  <c r="F117" i="16"/>
  <c r="B118" i="16"/>
  <c r="C118" i="16"/>
  <c r="C120" i="16" s="1"/>
  <c r="D118" i="16"/>
  <c r="E118" i="16"/>
  <c r="E120" i="16" s="1"/>
  <c r="F118" i="16"/>
  <c r="C73" i="16"/>
  <c r="D73" i="16"/>
  <c r="E78" i="16" s="1"/>
  <c r="E73" i="16"/>
  <c r="F73" i="16"/>
  <c r="G78" i="16" s="1"/>
  <c r="G73" i="16"/>
  <c r="G81" i="16" s="1"/>
  <c r="I73" i="16"/>
  <c r="H88" i="16" s="1"/>
  <c r="H26" i="3" s="1"/>
  <c r="J73" i="16"/>
  <c r="I88" i="16" s="1"/>
  <c r="L73" i="16"/>
  <c r="D75" i="16"/>
  <c r="E75" i="16"/>
  <c r="E85" i="16" s="1"/>
  <c r="F75" i="16"/>
  <c r="F85" i="16" s="1"/>
  <c r="D78" i="16"/>
  <c r="D80" i="16" s="1"/>
  <c r="F78" i="16"/>
  <c r="B88" i="16"/>
  <c r="C88" i="16"/>
  <c r="D88" i="16"/>
  <c r="E88" i="16"/>
  <c r="F88" i="16"/>
  <c r="C95" i="16"/>
  <c r="D95" i="16"/>
  <c r="E95" i="16"/>
  <c r="B13" i="16"/>
  <c r="B16" i="16" s="1"/>
  <c r="C13" i="16"/>
  <c r="C16" i="16" s="1"/>
  <c r="D13" i="16"/>
  <c r="D16" i="16" s="1"/>
  <c r="E13" i="16"/>
  <c r="F22" i="16" s="1"/>
  <c r="F31" i="16" s="1"/>
  <c r="F13" i="16"/>
  <c r="F33" i="16" s="1"/>
  <c r="F16" i="16"/>
  <c r="C22" i="16"/>
  <c r="C31" i="16" s="1"/>
  <c r="B26" i="16"/>
  <c r="C26" i="16"/>
  <c r="B30" i="16"/>
  <c r="C30" i="16"/>
  <c r="D30" i="16"/>
  <c r="E30" i="16"/>
  <c r="F30" i="16"/>
  <c r="B31" i="16"/>
  <c r="G31" i="16"/>
  <c r="H31" i="16"/>
  <c r="I31" i="16"/>
  <c r="J31" i="16"/>
  <c r="K31" i="16"/>
  <c r="L31" i="16"/>
  <c r="B33" i="16"/>
  <c r="C29" i="16" s="1"/>
  <c r="C33" i="16"/>
  <c r="D29" i="16" s="1"/>
  <c r="B39" i="16"/>
  <c r="C39" i="16"/>
  <c r="D39" i="16"/>
  <c r="E39" i="16"/>
  <c r="F39" i="16"/>
  <c r="B40" i="16"/>
  <c r="G40" i="16"/>
  <c r="H40" i="16"/>
  <c r="I40" i="16"/>
  <c r="J40" i="16"/>
  <c r="K40" i="16"/>
  <c r="L40" i="16"/>
  <c r="B42" i="16"/>
  <c r="B44" i="16" s="1"/>
  <c r="C42" i="16"/>
  <c r="D38" i="16" s="1"/>
  <c r="D42" i="16"/>
  <c r="E42" i="16"/>
  <c r="E48" i="16" s="1"/>
  <c r="F42" i="16"/>
  <c r="B47" i="16"/>
  <c r="C47" i="16"/>
  <c r="B48" i="16"/>
  <c r="C48" i="16"/>
  <c r="D48" i="16"/>
  <c r="E17" i="15"/>
  <c r="E11" i="15"/>
  <c r="D90" i="16" l="1"/>
  <c r="D85" i="16"/>
  <c r="C78" i="16"/>
  <c r="J88" i="16"/>
  <c r="J75" i="3" s="1"/>
  <c r="G88" i="16"/>
  <c r="F80" i="16"/>
  <c r="F81" i="16" s="1"/>
  <c r="F82" i="16" s="1"/>
  <c r="E80" i="16"/>
  <c r="E81" i="16" s="1"/>
  <c r="E82" i="16" s="1"/>
  <c r="K26" i="3"/>
  <c r="J83" i="3"/>
  <c r="C80" i="16"/>
  <c r="C81" i="16" s="1"/>
  <c r="C82" i="16" s="1"/>
  <c r="F24" i="16"/>
  <c r="F61" i="3"/>
  <c r="C24" i="16"/>
  <c r="F107" i="16"/>
  <c r="F104" i="16"/>
  <c r="F110" i="16" s="1"/>
  <c r="F59" i="3"/>
  <c r="F58" i="3"/>
  <c r="F17" i="2"/>
  <c r="F29" i="2" s="1"/>
  <c r="F78" i="3"/>
  <c r="I26" i="3"/>
  <c r="I75" i="3"/>
  <c r="G26" i="3"/>
  <c r="G75" i="3"/>
  <c r="G29" i="16"/>
  <c r="B80" i="16"/>
  <c r="C37" i="3"/>
  <c r="C47" i="3" s="1"/>
  <c r="C49" i="3" s="1"/>
  <c r="C35" i="16"/>
  <c r="E16" i="16"/>
  <c r="E33" i="16"/>
  <c r="F26" i="16"/>
  <c r="D33" i="16"/>
  <c r="E26" i="16"/>
  <c r="D26" i="16"/>
  <c r="D81" i="16"/>
  <c r="D82" i="16" s="1"/>
  <c r="C22" i="3"/>
  <c r="F47" i="16"/>
  <c r="F93" i="16"/>
  <c r="H75" i="3"/>
  <c r="E47" i="16"/>
  <c r="E50" i="16" s="1"/>
  <c r="D120" i="16"/>
  <c r="E121" i="16" s="1"/>
  <c r="D47" i="16"/>
  <c r="C75" i="16"/>
  <c r="B24" i="16"/>
  <c r="B120" i="16"/>
  <c r="C121" i="16" s="1"/>
  <c r="F120" i="16"/>
  <c r="F122" i="16" s="1"/>
  <c r="F44" i="16"/>
  <c r="E22" i="16"/>
  <c r="E31" i="16" s="1"/>
  <c r="F37" i="3"/>
  <c r="F47" i="3" s="1"/>
  <c r="E44" i="16"/>
  <c r="D22" i="16"/>
  <c r="D31" i="16" s="1"/>
  <c r="D44" i="16"/>
  <c r="B37" i="3"/>
  <c r="B47" i="3" s="1"/>
  <c r="B49" i="3" s="1"/>
  <c r="F22" i="2"/>
  <c r="D77" i="3"/>
  <c r="B77" i="3"/>
  <c r="E78" i="3"/>
  <c r="B17" i="2"/>
  <c r="E77" i="3"/>
  <c r="D104" i="16"/>
  <c r="D110" i="16" s="1"/>
  <c r="C58" i="3"/>
  <c r="B58" i="3"/>
  <c r="E107" i="16"/>
  <c r="E111" i="16" s="1"/>
  <c r="D107" i="16"/>
  <c r="D112" i="16" s="1"/>
  <c r="D78" i="3"/>
  <c r="D61" i="3"/>
  <c r="E59" i="3"/>
  <c r="E104" i="16"/>
  <c r="E110" i="16" s="1"/>
  <c r="D58" i="3"/>
  <c r="C17" i="2"/>
  <c r="C107" i="16"/>
  <c r="C78" i="3"/>
  <c r="C61" i="3"/>
  <c r="D59" i="3"/>
  <c r="C77" i="3"/>
  <c r="E58" i="3"/>
  <c r="C104" i="16"/>
  <c r="C110" i="16" s="1"/>
  <c r="E17" i="2"/>
  <c r="B104" i="16"/>
  <c r="B110" i="16" s="1"/>
  <c r="E61" i="3"/>
  <c r="B107" i="16"/>
  <c r="B112" i="16" s="1"/>
  <c r="B78" i="3"/>
  <c r="B61" i="3"/>
  <c r="D17" i="2"/>
  <c r="I17" i="3"/>
  <c r="F49" i="3"/>
  <c r="E49" i="3"/>
  <c r="D49" i="3"/>
  <c r="F112" i="16"/>
  <c r="F111" i="16"/>
  <c r="F113" i="16" s="1"/>
  <c r="C111" i="16"/>
  <c r="C112" i="16"/>
  <c r="G93" i="16"/>
  <c r="E93" i="16"/>
  <c r="F90" i="16"/>
  <c r="E90" i="16"/>
  <c r="F94" i="16"/>
  <c r="E94" i="16"/>
  <c r="D50" i="16"/>
  <c r="B50" i="16"/>
  <c r="D40" i="16"/>
  <c r="C50" i="16"/>
  <c r="F48" i="16"/>
  <c r="F50" i="16" s="1"/>
  <c r="C38" i="16"/>
  <c r="C40" i="16" s="1"/>
  <c r="F38" i="16"/>
  <c r="F40" i="16" s="1"/>
  <c r="G38" i="16"/>
  <c r="E38" i="16"/>
  <c r="E40" i="16" s="1"/>
  <c r="C44" i="16"/>
  <c r="F21" i="7"/>
  <c r="D34" i="12"/>
  <c r="D19" i="12"/>
  <c r="D21" i="12" s="1"/>
  <c r="D22" i="12" s="1"/>
  <c r="D29" i="12" s="1"/>
  <c r="I38" i="11"/>
  <c r="B6" i="11"/>
  <c r="M26" i="12"/>
  <c r="M20" i="12"/>
  <c r="M21" i="12"/>
  <c r="M22" i="12"/>
  <c r="M23" i="12"/>
  <c r="M19" i="12"/>
  <c r="N19" i="12" s="1"/>
  <c r="O19" i="12" s="1"/>
  <c r="B28" i="13"/>
  <c r="B27" i="13"/>
  <c r="B26" i="13"/>
  <c r="B25" i="13"/>
  <c r="B24" i="13"/>
  <c r="B19" i="13"/>
  <c r="J19" i="13" s="1"/>
  <c r="B18" i="13"/>
  <c r="P18" i="13" s="1" a="1"/>
  <c r="P18" i="13" s="1"/>
  <c r="B17" i="13"/>
  <c r="Q17" i="13" s="1" a="1"/>
  <c r="Q17" i="13" s="1"/>
  <c r="B16" i="13"/>
  <c r="L16" i="13" s="1" a="1"/>
  <c r="L16" i="13" s="1"/>
  <c r="B15" i="13"/>
  <c r="J15" i="13" s="1"/>
  <c r="L10" i="13"/>
  <c r="K10" i="13"/>
  <c r="J10" i="13" a="1"/>
  <c r="J10" i="13" s="1"/>
  <c r="H10" i="13"/>
  <c r="G10" i="13" a="1"/>
  <c r="G10" i="13" s="1"/>
  <c r="E10" i="13"/>
  <c r="D10" i="13"/>
  <c r="C10" i="13"/>
  <c r="A10" i="13" a="1"/>
  <c r="A10" i="13" s="1"/>
  <c r="A28" i="13" s="1"/>
  <c r="L9" i="13"/>
  <c r="K9" i="13"/>
  <c r="J9" i="13" a="1"/>
  <c r="J9" i="13" s="1"/>
  <c r="G9" i="13" a="1"/>
  <c r="G9" i="13" s="1"/>
  <c r="E9" i="13"/>
  <c r="D9" i="13"/>
  <c r="C9" i="13"/>
  <c r="C27" i="13" s="1"/>
  <c r="A9" i="13" a="1"/>
  <c r="A9" i="13" s="1"/>
  <c r="A27" i="13" s="1"/>
  <c r="L8" i="13"/>
  <c r="K8" i="13"/>
  <c r="J8" i="13" a="1"/>
  <c r="J8" i="13" s="1"/>
  <c r="H8" i="13"/>
  <c r="G8" i="13" a="1"/>
  <c r="G8" i="13" s="1"/>
  <c r="E8" i="13"/>
  <c r="D8" i="13"/>
  <c r="C8" i="13"/>
  <c r="A8" i="13" a="1"/>
  <c r="A8" i="13" s="1"/>
  <c r="A41" i="13" s="1"/>
  <c r="L7" i="13"/>
  <c r="K7" i="13"/>
  <c r="J7" i="13" a="1"/>
  <c r="J7" i="13" s="1"/>
  <c r="H7" i="13"/>
  <c r="G7" i="13" a="1"/>
  <c r="G7" i="13" s="1"/>
  <c r="E7" i="13"/>
  <c r="D7" i="13"/>
  <c r="C7" i="13"/>
  <c r="C25" i="13" s="1"/>
  <c r="A7" i="13" a="1"/>
  <c r="A7" i="13" s="1"/>
  <c r="A25" i="13" s="1"/>
  <c r="L6" i="13"/>
  <c r="K6" i="13"/>
  <c r="J6" i="13" a="1"/>
  <c r="J6" i="13" s="1"/>
  <c r="H6" i="13"/>
  <c r="G6" i="13" a="1"/>
  <c r="G6" i="13" s="1"/>
  <c r="E6" i="13"/>
  <c r="D6" i="13"/>
  <c r="C6" i="13"/>
  <c r="C24" i="13" s="1"/>
  <c r="A6" i="13" a="1"/>
  <c r="A6" i="13" s="1"/>
  <c r="A24" i="13" s="1"/>
  <c r="D30" i="12"/>
  <c r="N26" i="12"/>
  <c r="O26" i="12" s="1"/>
  <c r="N22" i="12"/>
  <c r="O22" i="12" s="1"/>
  <c r="N21" i="12"/>
  <c r="N20" i="12"/>
  <c r="O20" i="12" s="1"/>
  <c r="G48" i="11"/>
  <c r="H48" i="11" s="1"/>
  <c r="I48" i="11" s="1"/>
  <c r="E48" i="11"/>
  <c r="D48" i="11"/>
  <c r="C48" i="11"/>
  <c r="H38" i="11"/>
  <c r="G38" i="11"/>
  <c r="F38" i="11"/>
  <c r="E38" i="11"/>
  <c r="D38" i="11"/>
  <c r="G26" i="11"/>
  <c r="H26" i="11" s="1"/>
  <c r="I26" i="11" s="1"/>
  <c r="E26" i="11"/>
  <c r="D26" i="11" s="1"/>
  <c r="C26" i="11" s="1"/>
  <c r="G3" i="11"/>
  <c r="J26" i="3" l="1"/>
  <c r="C90" i="16"/>
  <c r="C85" i="16"/>
  <c r="D94" i="16"/>
  <c r="C93" i="16"/>
  <c r="C94" i="16"/>
  <c r="K83" i="3"/>
  <c r="B81" i="16"/>
  <c r="B82" i="16" s="1"/>
  <c r="G15" i="11"/>
  <c r="D15" i="11"/>
  <c r="B111" i="16"/>
  <c r="Q15" i="13" a="1"/>
  <c r="Q15" i="13" s="1"/>
  <c r="E29" i="16"/>
  <c r="D35" i="16"/>
  <c r="B90" i="16"/>
  <c r="C17" i="13" a="1"/>
  <c r="C17" i="13" s="1"/>
  <c r="F29" i="16"/>
  <c r="E35" i="16"/>
  <c r="O17" i="13" a="1"/>
  <c r="O17" i="13" s="1"/>
  <c r="P17" i="13" a="1"/>
  <c r="P17" i="13" s="1"/>
  <c r="F121" i="16"/>
  <c r="M15" i="13" a="1"/>
  <c r="M15" i="13" s="1"/>
  <c r="N15" i="13" a="1"/>
  <c r="N15" i="13" s="1"/>
  <c r="E18" i="13" a="1"/>
  <c r="E18" i="13" s="1"/>
  <c r="C113" i="16"/>
  <c r="J18" i="13"/>
  <c r="J27" i="13" s="1"/>
  <c r="D122" i="16"/>
  <c r="F35" i="16"/>
  <c r="L15" i="13" a="1"/>
  <c r="L15" i="13" s="1"/>
  <c r="D121" i="16"/>
  <c r="G77" i="3"/>
  <c r="H77" i="3" s="1"/>
  <c r="I77" i="3" s="1"/>
  <c r="J77" i="3" s="1"/>
  <c r="D93" i="16"/>
  <c r="E29" i="2"/>
  <c r="E22" i="2"/>
  <c r="E122" i="16"/>
  <c r="F30" i="2"/>
  <c r="G30" i="2" s="1"/>
  <c r="H30" i="2" s="1"/>
  <c r="I30" i="2" s="1"/>
  <c r="J30" i="2" s="1"/>
  <c r="K30" i="2" s="1"/>
  <c r="L30" i="2" s="1"/>
  <c r="F26" i="2"/>
  <c r="F31" i="2" s="1"/>
  <c r="D111" i="16"/>
  <c r="D113" i="16" s="1"/>
  <c r="C122" i="16"/>
  <c r="D29" i="2"/>
  <c r="D22" i="2"/>
  <c r="B122" i="16"/>
  <c r="E112" i="16"/>
  <c r="E113" i="16" s="1"/>
  <c r="C29" i="2"/>
  <c r="C22" i="2"/>
  <c r="B29" i="2"/>
  <c r="B22" i="2"/>
  <c r="B113" i="16"/>
  <c r="J17" i="3"/>
  <c r="F10" i="13"/>
  <c r="I10" i="13" s="1"/>
  <c r="F8" i="13"/>
  <c r="D26" i="13" s="1"/>
  <c r="I15" i="11"/>
  <c r="O21" i="12"/>
  <c r="O23" i="12" s="1"/>
  <c r="C16" i="13" a="1"/>
  <c r="C16" i="13" s="1"/>
  <c r="K18" i="13" a="1"/>
  <c r="K18" i="13" s="1"/>
  <c r="D16" i="13" a="1"/>
  <c r="D16" i="13" s="1"/>
  <c r="L18" i="13" a="1"/>
  <c r="L18" i="13" s="1"/>
  <c r="Q18" i="13" a="1"/>
  <c r="Q18" i="13" s="1"/>
  <c r="E17" i="13" a="1"/>
  <c r="E17" i="13" s="1"/>
  <c r="F17" i="13" a="1"/>
  <c r="F17" i="13" s="1"/>
  <c r="G17" i="13"/>
  <c r="H17" i="13"/>
  <c r="H26" i="13" s="1"/>
  <c r="K26" i="13" s="1"/>
  <c r="I17" i="13"/>
  <c r="I26" i="13" s="1"/>
  <c r="L26" i="13" s="1"/>
  <c r="J17" i="13"/>
  <c r="J26" i="13" s="1"/>
  <c r="M26" i="13" s="1"/>
  <c r="K15" i="13" a="1"/>
  <c r="K15" i="13" s="1"/>
  <c r="M17" i="13" a="1"/>
  <c r="M17" i="13" s="1"/>
  <c r="L19" i="13" a="1"/>
  <c r="L19" i="13" s="1"/>
  <c r="F9" i="13"/>
  <c r="D27" i="13" s="1"/>
  <c r="B42" i="13"/>
  <c r="K42" i="13" s="1"/>
  <c r="G18" i="13"/>
  <c r="H18" i="13"/>
  <c r="H27" i="13" s="1"/>
  <c r="I18" i="13"/>
  <c r="I27" i="13" s="1"/>
  <c r="B41" i="13"/>
  <c r="N41" i="13" s="1"/>
  <c r="E16" i="13" a="1"/>
  <c r="E16" i="13" s="1"/>
  <c r="F16" i="13" a="1"/>
  <c r="F16" i="13" s="1"/>
  <c r="K16" i="13" a="1"/>
  <c r="K16" i="13" s="1"/>
  <c r="M16" i="13" a="1"/>
  <c r="M16" i="13" s="1"/>
  <c r="N16" i="13" a="1"/>
  <c r="N16" i="13" s="1"/>
  <c r="O16" i="13" a="1"/>
  <c r="O16" i="13" s="1"/>
  <c r="P16" i="13" a="1"/>
  <c r="P16" i="13" s="1"/>
  <c r="C15" i="13" a="1"/>
  <c r="C15" i="13" s="1"/>
  <c r="D15" i="13" a="1"/>
  <c r="D15" i="13" s="1"/>
  <c r="G15" i="13"/>
  <c r="J28" i="13"/>
  <c r="F7" i="13"/>
  <c r="I7" i="13" s="1"/>
  <c r="F6" i="13"/>
  <c r="I6" i="13" s="1"/>
  <c r="A15" i="13"/>
  <c r="J24" i="13"/>
  <c r="K41" i="13"/>
  <c r="J41" i="13" a="1"/>
  <c r="J41" i="13" s="1"/>
  <c r="I41" i="13"/>
  <c r="G41" i="13" a="1"/>
  <c r="G41" i="13" s="1"/>
  <c r="F41" i="13" a="1"/>
  <c r="F41" i="13" s="1"/>
  <c r="E41" i="13" a="1"/>
  <c r="E41" i="13" s="1"/>
  <c r="O41" i="13" a="1"/>
  <c r="O41" i="13" s="1"/>
  <c r="D41" i="13" a="1"/>
  <c r="D41" i="13" s="1"/>
  <c r="K19" i="13" a="1"/>
  <c r="K19" i="13" s="1"/>
  <c r="C26" i="13"/>
  <c r="C28" i="13"/>
  <c r="H42" i="13"/>
  <c r="A19" i="13"/>
  <c r="A39" i="13"/>
  <c r="B39" i="13"/>
  <c r="C19" i="13" a="1"/>
  <c r="C19" i="13" s="1"/>
  <c r="M19" i="13" a="1"/>
  <c r="M19" i="13" s="1"/>
  <c r="A42" i="13"/>
  <c r="L42" i="13"/>
  <c r="A18" i="13"/>
  <c r="D19" i="13" a="1"/>
  <c r="D19" i="13" s="1"/>
  <c r="N19" i="13" a="1"/>
  <c r="N19" i="13" s="1"/>
  <c r="N42" i="13"/>
  <c r="E15" i="13" a="1"/>
  <c r="E15" i="13" s="1"/>
  <c r="O15" i="13" a="1"/>
  <c r="O15" i="13" s="1"/>
  <c r="G16" i="13"/>
  <c r="Q16" i="13" a="1"/>
  <c r="Q16" i="13" s="1"/>
  <c r="K17" i="13" a="1"/>
  <c r="K17" i="13" s="1"/>
  <c r="C18" i="13" a="1"/>
  <c r="C18" i="13" s="1"/>
  <c r="M18" i="13" a="1"/>
  <c r="M18" i="13" s="1"/>
  <c r="E19" i="13" a="1"/>
  <c r="E19" i="13" s="1"/>
  <c r="O19" i="13" a="1"/>
  <c r="O19" i="13" s="1"/>
  <c r="A40" i="13"/>
  <c r="H16" i="13"/>
  <c r="H25" i="13" s="1"/>
  <c r="B40" i="13"/>
  <c r="F15" i="13" a="1"/>
  <c r="F15" i="13" s="1"/>
  <c r="P15" i="13" a="1"/>
  <c r="P15" i="13" s="1"/>
  <c r="I16" i="13"/>
  <c r="I25" i="13" s="1"/>
  <c r="A17" i="13"/>
  <c r="L17" i="13" a="1"/>
  <c r="L17" i="13" s="1"/>
  <c r="D18" i="13" a="1"/>
  <c r="D18" i="13" s="1"/>
  <c r="N18" i="13" a="1"/>
  <c r="N18" i="13" s="1"/>
  <c r="F19" i="13" a="1"/>
  <c r="F19" i="13" s="1"/>
  <c r="P19" i="13" a="1"/>
  <c r="P19" i="13" s="1"/>
  <c r="A43" i="13"/>
  <c r="J16" i="13"/>
  <c r="J25" i="13" s="1"/>
  <c r="B43" i="13"/>
  <c r="O18" i="13" a="1"/>
  <c r="O18" i="13" s="1"/>
  <c r="G19" i="13"/>
  <c r="Q19" i="13" a="1"/>
  <c r="Q19" i="13" s="1"/>
  <c r="F42" i="13" a="1"/>
  <c r="F42" i="13" s="1"/>
  <c r="H15" i="13"/>
  <c r="H24" i="13" s="1"/>
  <c r="H19" i="13"/>
  <c r="H28" i="13" s="1"/>
  <c r="I15" i="13"/>
  <c r="I24" i="13" s="1"/>
  <c r="A16" i="13"/>
  <c r="D17" i="13" a="1"/>
  <c r="D17" i="13" s="1"/>
  <c r="N17" i="13" a="1"/>
  <c r="N17" i="13" s="1"/>
  <c r="F18" i="13" a="1"/>
  <c r="F18" i="13" s="1"/>
  <c r="I19" i="13"/>
  <c r="I28" i="13" s="1"/>
  <c r="A26" i="13"/>
  <c r="F15" i="11"/>
  <c r="H15" i="11"/>
  <c r="G4" i="11"/>
  <c r="E15" i="11"/>
  <c r="L24" i="13" l="1"/>
  <c r="M24" i="13"/>
  <c r="G27" i="13"/>
  <c r="L83" i="3"/>
  <c r="G28" i="13"/>
  <c r="K27" i="13"/>
  <c r="F24" i="13"/>
  <c r="H41" i="13"/>
  <c r="L41" i="13"/>
  <c r="E26" i="13"/>
  <c r="F26" i="13"/>
  <c r="L27" i="13"/>
  <c r="G26" i="13"/>
  <c r="N24" i="13"/>
  <c r="I8" i="13"/>
  <c r="O26" i="13" s="1"/>
  <c r="K28" i="13"/>
  <c r="C41" i="13" a="1"/>
  <c r="C41" i="13" s="1"/>
  <c r="G24" i="13"/>
  <c r="M41" i="13"/>
  <c r="D24" i="12"/>
  <c r="D28" i="13"/>
  <c r="E28" i="13"/>
  <c r="F28" i="13"/>
  <c r="D26" i="2"/>
  <c r="D31" i="2" s="1"/>
  <c r="D30" i="2"/>
  <c r="E26" i="2"/>
  <c r="E31" i="2" s="1"/>
  <c r="E30" i="2"/>
  <c r="H59" i="3"/>
  <c r="C26" i="2"/>
  <c r="C31" i="2" s="1"/>
  <c r="C30" i="2"/>
  <c r="B30" i="2"/>
  <c r="B26" i="2"/>
  <c r="B31" i="2" s="1"/>
  <c r="K17" i="3"/>
  <c r="K77" i="3"/>
  <c r="M27" i="13"/>
  <c r="K25" i="13"/>
  <c r="L25" i="13"/>
  <c r="M28" i="13"/>
  <c r="M25" i="13"/>
  <c r="L28" i="13"/>
  <c r="E39" i="11"/>
  <c r="I39" i="11"/>
  <c r="O25" i="13"/>
  <c r="D25" i="12"/>
  <c r="D31" i="12" s="1"/>
  <c r="D32" i="12" s="1"/>
  <c r="M42" i="13"/>
  <c r="C42" i="13" a="1"/>
  <c r="C42" i="13" s="1"/>
  <c r="O42" i="13" a="1"/>
  <c r="O42" i="13" s="1"/>
  <c r="E42" i="13" a="1"/>
  <c r="E42" i="13" s="1"/>
  <c r="D42" i="13" a="1"/>
  <c r="D42" i="13" s="1"/>
  <c r="I9" i="13"/>
  <c r="P27" i="13" s="1"/>
  <c r="E27" i="13"/>
  <c r="F27" i="13"/>
  <c r="O28" i="13"/>
  <c r="G42" i="13" a="1"/>
  <c r="G42" i="13" s="1"/>
  <c r="J42" i="13" a="1"/>
  <c r="J42" i="13" s="1"/>
  <c r="I42" i="13"/>
  <c r="N25" i="13"/>
  <c r="F25" i="13"/>
  <c r="D25" i="13"/>
  <c r="P25" i="13"/>
  <c r="G25" i="13"/>
  <c r="E25" i="13"/>
  <c r="D24" i="13"/>
  <c r="F39" i="11"/>
  <c r="N28" i="13"/>
  <c r="J31" i="13"/>
  <c r="J34" i="13" s="1"/>
  <c r="J30" i="13"/>
  <c r="J33" i="13" s="1"/>
  <c r="P28" i="13"/>
  <c r="O24" i="13"/>
  <c r="E24" i="13"/>
  <c r="P24" i="13"/>
  <c r="D39" i="11"/>
  <c r="H39" i="11"/>
  <c r="L30" i="13"/>
  <c r="L33" i="13" s="1"/>
  <c r="L31" i="13"/>
  <c r="L34" i="13" s="1"/>
  <c r="H31" i="13"/>
  <c r="H34" i="13" s="1"/>
  <c r="H30" i="13"/>
  <c r="H33" i="13" s="1"/>
  <c r="I39" i="13"/>
  <c r="H39" i="13"/>
  <c r="G39" i="13" a="1"/>
  <c r="G39" i="13" s="1"/>
  <c r="F39" i="13" a="1"/>
  <c r="F39" i="13" s="1"/>
  <c r="E39" i="13" a="1"/>
  <c r="E39" i="13" s="1"/>
  <c r="O39" i="13" a="1"/>
  <c r="O39" i="13" s="1"/>
  <c r="D39" i="13" a="1"/>
  <c r="D39" i="13" s="1"/>
  <c r="N39" i="13"/>
  <c r="M39" i="13"/>
  <c r="C39" i="13" a="1"/>
  <c r="C39" i="13" s="1"/>
  <c r="L39" i="13"/>
  <c r="K39" i="13"/>
  <c r="J39" i="13" a="1"/>
  <c r="J39" i="13" s="1"/>
  <c r="O43" i="13" a="1"/>
  <c r="O43" i="13" s="1"/>
  <c r="D43" i="13" a="1"/>
  <c r="D43" i="13" s="1"/>
  <c r="N43" i="13"/>
  <c r="M43" i="13"/>
  <c r="C43" i="13" a="1"/>
  <c r="C43" i="13" s="1"/>
  <c r="L43" i="13"/>
  <c r="K43" i="13"/>
  <c r="J43" i="13" a="1"/>
  <c r="J43" i="13" s="1"/>
  <c r="I43" i="13"/>
  <c r="H43" i="13"/>
  <c r="G43" i="13" a="1"/>
  <c r="G43" i="13" s="1"/>
  <c r="F43" i="13" a="1"/>
  <c r="F43" i="13" s="1"/>
  <c r="E43" i="13" a="1"/>
  <c r="E43" i="13" s="1"/>
  <c r="M30" i="13"/>
  <c r="M33" i="13" s="1"/>
  <c r="M31" i="13"/>
  <c r="M34" i="13" s="1"/>
  <c r="K24" i="13"/>
  <c r="E40" i="13" a="1"/>
  <c r="E40" i="13" s="1"/>
  <c r="O40" i="13" a="1"/>
  <c r="O40" i="13" s="1"/>
  <c r="D40" i="13" a="1"/>
  <c r="D40" i="13" s="1"/>
  <c r="N40" i="13"/>
  <c r="M40" i="13"/>
  <c r="C40" i="13" a="1"/>
  <c r="C40" i="13" s="1"/>
  <c r="L40" i="13"/>
  <c r="K40" i="13"/>
  <c r="J40" i="13" a="1"/>
  <c r="J40" i="13" s="1"/>
  <c r="I40" i="13"/>
  <c r="H40" i="13"/>
  <c r="G40" i="13" a="1"/>
  <c r="G40" i="13" s="1"/>
  <c r="F40" i="13" a="1"/>
  <c r="F40" i="13" s="1"/>
  <c r="I30" i="13"/>
  <c r="I33" i="13" s="1"/>
  <c r="I31" i="13"/>
  <c r="I34" i="13" s="1"/>
  <c r="G5" i="11"/>
  <c r="G39" i="11"/>
  <c r="B52" i="11" l="1"/>
  <c r="B30" i="11"/>
  <c r="G30" i="13"/>
  <c r="G33" i="13" s="1"/>
  <c r="P26" i="13"/>
  <c r="F31" i="13"/>
  <c r="F34" i="13" s="1"/>
  <c r="B3" i="11"/>
  <c r="G20" i="7"/>
  <c r="F30" i="13"/>
  <c r="F33" i="13" s="1"/>
  <c r="N26" i="13"/>
  <c r="G31" i="13"/>
  <c r="G34" i="13" s="1"/>
  <c r="I59" i="3"/>
  <c r="L77" i="3"/>
  <c r="L17" i="3"/>
  <c r="D30" i="13"/>
  <c r="D33" i="13" s="1"/>
  <c r="E30" i="13"/>
  <c r="E33" i="13" s="1"/>
  <c r="O27" i="13"/>
  <c r="D31" i="13"/>
  <c r="D34" i="13" s="1"/>
  <c r="P30" i="13"/>
  <c r="P33" i="13" s="1"/>
  <c r="N27" i="13"/>
  <c r="E31" i="13"/>
  <c r="E34" i="13" s="1"/>
  <c r="P31" i="13"/>
  <c r="P34" i="13" s="1"/>
  <c r="O30" i="13"/>
  <c r="O33" i="13" s="1"/>
  <c r="O31" i="13"/>
  <c r="O34" i="13" s="1"/>
  <c r="K30" i="13"/>
  <c r="K33" i="13" s="1"/>
  <c r="K31" i="13"/>
  <c r="K34" i="13" s="1"/>
  <c r="G29" i="7" l="1"/>
  <c r="G21" i="7"/>
  <c r="B31" i="11"/>
  <c r="B32" i="11" s="1"/>
  <c r="B33" i="11" s="1"/>
  <c r="B29" i="11"/>
  <c r="B28" i="11" s="1"/>
  <c r="B27" i="11" s="1"/>
  <c r="B53" i="11"/>
  <c r="B54" i="11" s="1"/>
  <c r="B55" i="11" s="1"/>
  <c r="B51" i="11"/>
  <c r="B50" i="11" s="1"/>
  <c r="B49" i="11" s="1"/>
  <c r="H20" i="7"/>
  <c r="J59" i="3"/>
  <c r="N30" i="13"/>
  <c r="N33" i="13" s="1"/>
  <c r="N31" i="13"/>
  <c r="N34" i="13" s="1"/>
  <c r="I20" i="7" l="1"/>
  <c r="H29" i="7"/>
  <c r="H21" i="7"/>
  <c r="I4" i="11"/>
  <c r="K59" i="3"/>
  <c r="G55" i="8"/>
  <c r="H51" i="8"/>
  <c r="I51" i="8"/>
  <c r="J51" i="8"/>
  <c r="K51" i="8"/>
  <c r="L51" i="8"/>
  <c r="G51" i="8"/>
  <c r="J20" i="7" l="1"/>
  <c r="I29" i="7"/>
  <c r="I21" i="7" s="1"/>
  <c r="I5" i="11"/>
  <c r="L59" i="3"/>
  <c r="G30" i="8"/>
  <c r="H30" i="8"/>
  <c r="I30" i="8"/>
  <c r="J30" i="8"/>
  <c r="K30" i="8"/>
  <c r="L30" i="8"/>
  <c r="G31" i="8"/>
  <c r="H31" i="8"/>
  <c r="I31" i="8"/>
  <c r="J31" i="8"/>
  <c r="K31" i="8"/>
  <c r="L31" i="8"/>
  <c r="G35" i="8"/>
  <c r="H35" i="8"/>
  <c r="I35" i="8"/>
  <c r="J35" i="8"/>
  <c r="K35" i="8"/>
  <c r="L35" i="8"/>
  <c r="G37" i="8"/>
  <c r="H37" i="8"/>
  <c r="I37" i="8"/>
  <c r="J37" i="8"/>
  <c r="K37" i="8"/>
  <c r="L37" i="8"/>
  <c r="G38" i="8"/>
  <c r="H38" i="8"/>
  <c r="I38" i="8"/>
  <c r="J38" i="8"/>
  <c r="K38" i="8"/>
  <c r="L38" i="8"/>
  <c r="G13" i="8"/>
  <c r="H13" i="8"/>
  <c r="I13" i="8"/>
  <c r="J13" i="8"/>
  <c r="K13" i="8"/>
  <c r="L13" i="8"/>
  <c r="G14" i="8"/>
  <c r="H14" i="8"/>
  <c r="I14" i="8"/>
  <c r="J14" i="8"/>
  <c r="K14" i="8"/>
  <c r="L14" i="8"/>
  <c r="G17" i="8"/>
  <c r="H17" i="8"/>
  <c r="I17" i="8"/>
  <c r="J17" i="8"/>
  <c r="K17" i="8"/>
  <c r="L17" i="8"/>
  <c r="G18" i="8"/>
  <c r="K20" i="7" l="1"/>
  <c r="J29" i="7"/>
  <c r="J21" i="7" s="1"/>
  <c r="J39" i="8"/>
  <c r="G39" i="8"/>
  <c r="G38" i="1"/>
  <c r="H38" i="1" s="1"/>
  <c r="I38" i="1" s="1"/>
  <c r="J38" i="1" s="1"/>
  <c r="K38" i="1" s="1"/>
  <c r="L38" i="1" s="1"/>
  <c r="D44" i="1"/>
  <c r="E44" i="1"/>
  <c r="F44" i="1"/>
  <c r="C44" i="1"/>
  <c r="G25" i="1"/>
  <c r="H25" i="1" s="1"/>
  <c r="I25" i="1" s="1"/>
  <c r="J25" i="1" s="1"/>
  <c r="K25" i="1" s="1"/>
  <c r="L25" i="1" s="1"/>
  <c r="D32" i="1"/>
  <c r="E32" i="1"/>
  <c r="F32" i="1"/>
  <c r="C32" i="1"/>
  <c r="G23" i="1"/>
  <c r="H13" i="1"/>
  <c r="I13" i="1" s="1"/>
  <c r="J13" i="1" s="1"/>
  <c r="K13" i="1" s="1"/>
  <c r="L13" i="1" s="1"/>
  <c r="G9" i="1"/>
  <c r="H18" i="1"/>
  <c r="I18" i="1" s="1"/>
  <c r="J18" i="1" s="1"/>
  <c r="K18" i="1" s="1"/>
  <c r="L18" i="1" s="1"/>
  <c r="H16" i="1"/>
  <c r="K16" i="1" s="1"/>
  <c r="L16" i="1" s="1"/>
  <c r="D14" i="1"/>
  <c r="E14" i="1"/>
  <c r="F14" i="1"/>
  <c r="C14" i="1"/>
  <c r="C17" i="1"/>
  <c r="F45" i="7"/>
  <c r="E45" i="7"/>
  <c r="D45" i="7"/>
  <c r="C45" i="7"/>
  <c r="B45" i="7"/>
  <c r="F41" i="7"/>
  <c r="F49" i="7" s="1"/>
  <c r="E41" i="7"/>
  <c r="E49" i="7" s="1"/>
  <c r="D41" i="7"/>
  <c r="D49" i="7" s="1"/>
  <c r="C41" i="7"/>
  <c r="D36" i="7" s="1"/>
  <c r="B41" i="7"/>
  <c r="B49" i="7" s="1"/>
  <c r="F32" i="7"/>
  <c r="F46" i="7" s="1"/>
  <c r="E32" i="7"/>
  <c r="F26" i="7" s="1"/>
  <c r="D32" i="7"/>
  <c r="E26" i="7" s="1"/>
  <c r="C32" i="7"/>
  <c r="D26" i="7" s="1"/>
  <c r="B32" i="7"/>
  <c r="B27" i="7" s="1"/>
  <c r="F22" i="7"/>
  <c r="G17" i="7" s="1"/>
  <c r="G22" i="7" s="1"/>
  <c r="G43" i="3" s="1"/>
  <c r="E22" i="7"/>
  <c r="D22" i="7"/>
  <c r="C22" i="7"/>
  <c r="D17" i="7" s="1"/>
  <c r="B22" i="7"/>
  <c r="C17" i="7" s="1"/>
  <c r="F13" i="7"/>
  <c r="F47" i="7" s="1"/>
  <c r="E13" i="7"/>
  <c r="E47" i="7" s="1"/>
  <c r="D13" i="7"/>
  <c r="E8" i="7" s="1"/>
  <c r="C13" i="7"/>
  <c r="D8" i="7" s="1"/>
  <c r="B13" i="7"/>
  <c r="C8" i="7" s="1"/>
  <c r="L85" i="1"/>
  <c r="K85" i="1"/>
  <c r="J85" i="1"/>
  <c r="I85" i="1"/>
  <c r="H85" i="1"/>
  <c r="G85" i="1"/>
  <c r="F85" i="1"/>
  <c r="E85" i="1"/>
  <c r="D85" i="1"/>
  <c r="C85" i="1"/>
  <c r="B85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55" i="1"/>
  <c r="E55" i="1"/>
  <c r="D55" i="1"/>
  <c r="C55" i="1"/>
  <c r="F54" i="1"/>
  <c r="E54" i="1"/>
  <c r="D54" i="1"/>
  <c r="C54" i="1"/>
  <c r="F51" i="1"/>
  <c r="F63" i="1" s="1"/>
  <c r="E51" i="1"/>
  <c r="E63" i="1" s="1"/>
  <c r="D51" i="1"/>
  <c r="D63" i="1" s="1"/>
  <c r="C51" i="1"/>
  <c r="C63" i="1" s="1"/>
  <c r="B51" i="1"/>
  <c r="B63" i="1" s="1"/>
  <c r="F43" i="1"/>
  <c r="E43" i="1"/>
  <c r="D43" i="1"/>
  <c r="C43" i="1"/>
  <c r="F42" i="1"/>
  <c r="E42" i="1"/>
  <c r="D42" i="1"/>
  <c r="C42" i="1"/>
  <c r="F39" i="1"/>
  <c r="F46" i="1" s="1"/>
  <c r="E39" i="1"/>
  <c r="E46" i="1" s="1"/>
  <c r="D39" i="1"/>
  <c r="D46" i="1" s="1"/>
  <c r="C39" i="1"/>
  <c r="C46" i="1" s="1"/>
  <c r="B39" i="1"/>
  <c r="B46" i="1" s="1"/>
  <c r="F30" i="1"/>
  <c r="E30" i="1"/>
  <c r="D30" i="1"/>
  <c r="C30" i="1"/>
  <c r="F29" i="1"/>
  <c r="E29" i="1"/>
  <c r="D29" i="1"/>
  <c r="C29" i="1"/>
  <c r="F26" i="1"/>
  <c r="F33" i="1" s="1"/>
  <c r="E26" i="1"/>
  <c r="E33" i="1" s="1"/>
  <c r="D26" i="1"/>
  <c r="D33" i="1" s="1"/>
  <c r="C26" i="1"/>
  <c r="C33" i="1" s="1"/>
  <c r="B26" i="1"/>
  <c r="B61" i="1" s="1"/>
  <c r="F18" i="1"/>
  <c r="E18" i="1"/>
  <c r="D18" i="1"/>
  <c r="C18" i="1"/>
  <c r="F17" i="1"/>
  <c r="E17" i="1"/>
  <c r="D17" i="1"/>
  <c r="E15" i="1"/>
  <c r="D15" i="1"/>
  <c r="C15" i="1"/>
  <c r="F10" i="1"/>
  <c r="F60" i="1" s="1"/>
  <c r="E10" i="1"/>
  <c r="E20" i="1" s="1"/>
  <c r="D10" i="1"/>
  <c r="D20" i="1" s="1"/>
  <c r="C10" i="1"/>
  <c r="C20" i="1" s="1"/>
  <c r="B10" i="1"/>
  <c r="B20" i="1" s="1"/>
  <c r="L20" i="7" l="1"/>
  <c r="L29" i="7" s="1"/>
  <c r="K29" i="7"/>
  <c r="K21" i="7" s="1"/>
  <c r="K39" i="8"/>
  <c r="H39" i="8"/>
  <c r="L39" i="8"/>
  <c r="I39" i="8"/>
  <c r="H16" i="8"/>
  <c r="G16" i="8"/>
  <c r="G33" i="8"/>
  <c r="G25" i="8"/>
  <c r="B47" i="7"/>
  <c r="E57" i="1"/>
  <c r="D47" i="7"/>
  <c r="B60" i="1"/>
  <c r="C60" i="1"/>
  <c r="E16" i="1"/>
  <c r="B33" i="1"/>
  <c r="D46" i="7"/>
  <c r="D16" i="1"/>
  <c r="C16" i="1"/>
  <c r="F16" i="1"/>
  <c r="E46" i="7"/>
  <c r="D27" i="7"/>
  <c r="E27" i="7"/>
  <c r="G36" i="7"/>
  <c r="G41" i="7" s="1"/>
  <c r="F27" i="7"/>
  <c r="G15" i="1"/>
  <c r="G8" i="1" s="1"/>
  <c r="F20" i="1"/>
  <c r="D61" i="1"/>
  <c r="E61" i="1"/>
  <c r="C61" i="1"/>
  <c r="D62" i="1"/>
  <c r="B57" i="1"/>
  <c r="B62" i="1"/>
  <c r="C57" i="1"/>
  <c r="C62" i="1"/>
  <c r="E62" i="1"/>
  <c r="D57" i="1"/>
  <c r="F62" i="1"/>
  <c r="F57" i="1"/>
  <c r="B74" i="1"/>
  <c r="F61" i="1"/>
  <c r="C74" i="1"/>
  <c r="D74" i="1"/>
  <c r="D60" i="1"/>
  <c r="E74" i="1"/>
  <c r="E60" i="1"/>
  <c r="F74" i="1"/>
  <c r="C46" i="7"/>
  <c r="G26" i="7"/>
  <c r="G32" i="7" s="1"/>
  <c r="B46" i="7"/>
  <c r="D18" i="7"/>
  <c r="G48" i="7"/>
  <c r="H17" i="7"/>
  <c r="H22" i="7" s="1"/>
  <c r="H43" i="3" s="1"/>
  <c r="C47" i="7"/>
  <c r="C49" i="7"/>
  <c r="B48" i="7"/>
  <c r="E17" i="7"/>
  <c r="E18" i="7" s="1"/>
  <c r="E36" i="7"/>
  <c r="E37" i="7" s="1"/>
  <c r="F48" i="7"/>
  <c r="F52" i="7" s="1"/>
  <c r="E48" i="7"/>
  <c r="D48" i="7"/>
  <c r="F17" i="7"/>
  <c r="F18" i="7" s="1"/>
  <c r="B18" i="7"/>
  <c r="C18" i="7"/>
  <c r="C48" i="7"/>
  <c r="C36" i="7"/>
  <c r="C37" i="7" s="1"/>
  <c r="F36" i="7"/>
  <c r="F37" i="7" s="1"/>
  <c r="B37" i="7"/>
  <c r="D37" i="7"/>
  <c r="G8" i="7"/>
  <c r="C26" i="7"/>
  <c r="C27" i="7" s="1"/>
  <c r="F8" i="7"/>
  <c r="L21" i="7" l="1"/>
  <c r="G41" i="3"/>
  <c r="G44" i="3"/>
  <c r="G43" i="8" s="1"/>
  <c r="D52" i="7"/>
  <c r="I16" i="8"/>
  <c r="H25" i="8"/>
  <c r="B64" i="1"/>
  <c r="B75" i="1" s="1"/>
  <c r="E52" i="7"/>
  <c r="H15" i="1"/>
  <c r="I15" i="1" s="1"/>
  <c r="B52" i="7"/>
  <c r="G17" i="1"/>
  <c r="C64" i="1"/>
  <c r="G49" i="7"/>
  <c r="H36" i="7"/>
  <c r="H41" i="7" s="1"/>
  <c r="C52" i="7"/>
  <c r="G46" i="7"/>
  <c r="H26" i="7"/>
  <c r="H32" i="7" s="1"/>
  <c r="E64" i="1"/>
  <c r="D64" i="1"/>
  <c r="F64" i="1"/>
  <c r="I17" i="7"/>
  <c r="I22" i="7" s="1"/>
  <c r="I43" i="3" s="1"/>
  <c r="H48" i="7"/>
  <c r="G24" i="1"/>
  <c r="H23" i="1"/>
  <c r="H24" i="1" l="1"/>
  <c r="I24" i="1" s="1"/>
  <c r="J24" i="1" s="1"/>
  <c r="K24" i="1" s="1"/>
  <c r="L24" i="1" s="1"/>
  <c r="G26" i="1"/>
  <c r="G31" i="1" s="1"/>
  <c r="H41" i="3"/>
  <c r="H44" i="3"/>
  <c r="H43" i="8" s="1"/>
  <c r="G40" i="8"/>
  <c r="I25" i="8"/>
  <c r="J16" i="8"/>
  <c r="J25" i="8"/>
  <c r="K25" i="8"/>
  <c r="L25" i="8"/>
  <c r="C66" i="1"/>
  <c r="F66" i="1"/>
  <c r="H8" i="1"/>
  <c r="D66" i="1"/>
  <c r="E66" i="1"/>
  <c r="D9" i="7"/>
  <c r="D10" i="7" s="1"/>
  <c r="B9" i="7"/>
  <c r="B10" i="7" s="1"/>
  <c r="H49" i="7"/>
  <c r="F9" i="7"/>
  <c r="F10" i="7" s="1"/>
  <c r="C75" i="1"/>
  <c r="E75" i="1"/>
  <c r="D75" i="1"/>
  <c r="E9" i="7"/>
  <c r="E10" i="7" s="1"/>
  <c r="C9" i="7"/>
  <c r="C10" i="7" s="1"/>
  <c r="F75" i="1"/>
  <c r="I36" i="7"/>
  <c r="I41" i="7" s="1"/>
  <c r="I26" i="7"/>
  <c r="I32" i="7" s="1"/>
  <c r="H46" i="7"/>
  <c r="J15" i="1"/>
  <c r="I8" i="1"/>
  <c r="J17" i="7"/>
  <c r="J22" i="7" s="1"/>
  <c r="J43" i="3" s="1"/>
  <c r="I48" i="7"/>
  <c r="I23" i="1"/>
  <c r="H26" i="1" l="1"/>
  <c r="H31" i="1" s="1"/>
  <c r="H70" i="1" s="1"/>
  <c r="H17" i="1"/>
  <c r="I44" i="3"/>
  <c r="I43" i="8" s="1"/>
  <c r="I41" i="3"/>
  <c r="H40" i="8"/>
  <c r="K16" i="8"/>
  <c r="J26" i="7"/>
  <c r="J32" i="7" s="1"/>
  <c r="I46" i="7"/>
  <c r="I17" i="1"/>
  <c r="J36" i="7"/>
  <c r="J41" i="7" s="1"/>
  <c r="I49" i="7"/>
  <c r="G61" i="1"/>
  <c r="G70" i="1"/>
  <c r="K15" i="1"/>
  <c r="J8" i="1"/>
  <c r="K17" i="7"/>
  <c r="K22" i="7" s="1"/>
  <c r="K43" i="3" s="1"/>
  <c r="J48" i="7"/>
  <c r="J23" i="1"/>
  <c r="I26" i="1"/>
  <c r="I31" i="1" s="1"/>
  <c r="I70" i="1" s="1"/>
  <c r="H61" i="1"/>
  <c r="J41" i="3" l="1"/>
  <c r="I40" i="8"/>
  <c r="J44" i="3"/>
  <c r="J43" i="8" s="1"/>
  <c r="L16" i="8"/>
  <c r="K26" i="7"/>
  <c r="K32" i="7" s="1"/>
  <c r="J49" i="7"/>
  <c r="J46" i="7"/>
  <c r="K36" i="7"/>
  <c r="K41" i="7" s="1"/>
  <c r="J17" i="1"/>
  <c r="K48" i="7"/>
  <c r="L17" i="7"/>
  <c r="L22" i="7" s="1"/>
  <c r="L43" i="3" s="1"/>
  <c r="K8" i="1"/>
  <c r="L15" i="1"/>
  <c r="L8" i="1" s="1"/>
  <c r="I61" i="1"/>
  <c r="K23" i="1"/>
  <c r="J26" i="1"/>
  <c r="J31" i="1" l="1"/>
  <c r="J70" i="1" s="1"/>
  <c r="K44" i="3"/>
  <c r="K43" i="8" s="1"/>
  <c r="K41" i="3"/>
  <c r="K40" i="8" s="1"/>
  <c r="K46" i="7"/>
  <c r="J40" i="8"/>
  <c r="L36" i="7"/>
  <c r="K49" i="7"/>
  <c r="L26" i="7"/>
  <c r="L32" i="7" s="1"/>
  <c r="L41" i="3" s="1"/>
  <c r="L17" i="1"/>
  <c r="K17" i="1"/>
  <c r="L48" i="7"/>
  <c r="J61" i="1"/>
  <c r="K26" i="1"/>
  <c r="L23" i="1"/>
  <c r="L26" i="1" s="1"/>
  <c r="L31" i="1" l="1"/>
  <c r="L70" i="1" s="1"/>
  <c r="K31" i="1"/>
  <c r="K70" i="1" s="1"/>
  <c r="L41" i="7"/>
  <c r="L49" i="7" s="1"/>
  <c r="L40" i="8"/>
  <c r="L46" i="7"/>
  <c r="L61" i="1"/>
  <c r="K61" i="1"/>
  <c r="G37" i="1"/>
  <c r="H37" i="1" s="1"/>
  <c r="I37" i="1" s="1"/>
  <c r="J37" i="1" s="1"/>
  <c r="K37" i="1" s="1"/>
  <c r="L37" i="1" s="1"/>
  <c r="G36" i="1"/>
  <c r="G7" i="2" s="1"/>
  <c r="L44" i="3" l="1"/>
  <c r="L43" i="8" s="1"/>
  <c r="H36" i="1"/>
  <c r="H7" i="2" s="1"/>
  <c r="H12" i="2" s="1"/>
  <c r="H43" i="2" s="1"/>
  <c r="G39" i="1"/>
  <c r="G45" i="1" s="1"/>
  <c r="G71" i="1" s="1"/>
  <c r="H39" i="1" l="1"/>
  <c r="I36" i="1"/>
  <c r="I7" i="2" s="1"/>
  <c r="I12" i="2" s="1"/>
  <c r="I43" i="2" s="1"/>
  <c r="G62" i="1"/>
  <c r="H62" i="1" l="1"/>
  <c r="H78" i="1"/>
  <c r="I39" i="1"/>
  <c r="J36" i="1"/>
  <c r="J7" i="2" s="1"/>
  <c r="J12" i="2" s="1"/>
  <c r="J43" i="2" s="1"/>
  <c r="I62" i="1" l="1"/>
  <c r="I78" i="1"/>
  <c r="K36" i="1"/>
  <c r="K7" i="2" s="1"/>
  <c r="K12" i="2" s="1"/>
  <c r="K43" i="2" s="1"/>
  <c r="J39" i="1"/>
  <c r="J78" i="1" s="1"/>
  <c r="J62" i="1"/>
  <c r="L36" i="1" l="1"/>
  <c r="L7" i="2" s="1"/>
  <c r="L12" i="2" s="1"/>
  <c r="L43" i="2" s="1"/>
  <c r="K39" i="1"/>
  <c r="K78" i="1" s="1"/>
  <c r="G50" i="1"/>
  <c r="H50" i="1" s="1"/>
  <c r="I50" i="1" s="1"/>
  <c r="J50" i="1" s="1"/>
  <c r="K50" i="1" s="1"/>
  <c r="L50" i="1" s="1"/>
  <c r="G49" i="1"/>
  <c r="G8" i="2" s="1"/>
  <c r="G9" i="2" s="1"/>
  <c r="K62" i="1" l="1"/>
  <c r="L39" i="1"/>
  <c r="G50" i="2"/>
  <c r="G40" i="2"/>
  <c r="G39" i="2"/>
  <c r="G38" i="2"/>
  <c r="G12" i="3"/>
  <c r="G104" i="16"/>
  <c r="G116" i="16" s="1"/>
  <c r="G20" i="16"/>
  <c r="G30" i="16" s="1"/>
  <c r="G33" i="16" s="1"/>
  <c r="G21" i="16" s="1"/>
  <c r="G29" i="3"/>
  <c r="G28" i="3"/>
  <c r="G10" i="3"/>
  <c r="H49" i="1"/>
  <c r="H51" i="1" s="1"/>
  <c r="H56" i="1" s="1"/>
  <c r="H72" i="1" s="1"/>
  <c r="G51" i="1"/>
  <c r="G56" i="1" s="1"/>
  <c r="G72" i="1" s="1"/>
  <c r="L62" i="1" l="1"/>
  <c r="L78" i="1"/>
  <c r="H29" i="16"/>
  <c r="G35" i="16"/>
  <c r="G13" i="16"/>
  <c r="G47" i="16" s="1"/>
  <c r="G39" i="16"/>
  <c r="G42" i="16" s="1"/>
  <c r="G9" i="3"/>
  <c r="I49" i="1"/>
  <c r="I51" i="1" s="1"/>
  <c r="I56" i="1" s="1"/>
  <c r="I72" i="1" s="1"/>
  <c r="G63" i="1"/>
  <c r="H63" i="1"/>
  <c r="G26" i="16" l="1"/>
  <c r="J49" i="1"/>
  <c r="G48" i="16"/>
  <c r="G50" i="16" s="1"/>
  <c r="G16" i="3" s="1"/>
  <c r="G20" i="3" s="1"/>
  <c r="G44" i="16"/>
  <c r="H38" i="16"/>
  <c r="G14" i="16"/>
  <c r="G16" i="16" s="1"/>
  <c r="G28" i="8"/>
  <c r="G27" i="8"/>
  <c r="K49" i="1"/>
  <c r="J51" i="1"/>
  <c r="J56" i="1" s="1"/>
  <c r="J72" i="1" s="1"/>
  <c r="I63" i="1"/>
  <c r="G9" i="8" l="1"/>
  <c r="G11" i="8"/>
  <c r="G8" i="8"/>
  <c r="J63" i="1"/>
  <c r="L49" i="1"/>
  <c r="L51" i="1" s="1"/>
  <c r="L56" i="1" s="1"/>
  <c r="L72" i="1" s="1"/>
  <c r="K51" i="1"/>
  <c r="K56" i="1" s="1"/>
  <c r="K72" i="1" s="1"/>
  <c r="K63" i="1" l="1"/>
  <c r="L63" i="1"/>
  <c r="G10" i="1"/>
  <c r="G19" i="1" s="1"/>
  <c r="G69" i="1" s="1"/>
  <c r="G74" i="1" s="1"/>
  <c r="G17" i="2" s="1"/>
  <c r="G48" i="2" s="1"/>
  <c r="G29" i="2" l="1"/>
  <c r="G15" i="2"/>
  <c r="G46" i="2" s="1"/>
  <c r="G15" i="8"/>
  <c r="G60" i="1"/>
  <c r="G64" i="1" s="1"/>
  <c r="H9" i="1"/>
  <c r="H8" i="2" s="1"/>
  <c r="H9" i="2" l="1"/>
  <c r="H13" i="2"/>
  <c r="H44" i="2" s="1"/>
  <c r="H14" i="2"/>
  <c r="H45" i="2" s="1"/>
  <c r="H19" i="3"/>
  <c r="H34" i="3"/>
  <c r="H33" i="8" s="1"/>
  <c r="H50" i="2"/>
  <c r="H40" i="2"/>
  <c r="H39" i="2"/>
  <c r="H38" i="2"/>
  <c r="H20" i="16"/>
  <c r="H30" i="16" s="1"/>
  <c r="H33" i="16" s="1"/>
  <c r="H21" i="16" s="1"/>
  <c r="H12" i="3"/>
  <c r="H29" i="3"/>
  <c r="H104" i="16"/>
  <c r="H116" i="16" s="1"/>
  <c r="H28" i="3"/>
  <c r="H10" i="3"/>
  <c r="I9" i="1"/>
  <c r="I8" i="2" s="1"/>
  <c r="H10" i="1"/>
  <c r="H19" i="1" s="1"/>
  <c r="H69" i="1" s="1"/>
  <c r="G66" i="1"/>
  <c r="G75" i="1"/>
  <c r="I9" i="2" l="1"/>
  <c r="I13" i="2"/>
  <c r="I44" i="2" s="1"/>
  <c r="I19" i="3"/>
  <c r="I14" i="2"/>
  <c r="I45" i="2" s="1"/>
  <c r="I34" i="3"/>
  <c r="I33" i="8" s="1"/>
  <c r="H18" i="8"/>
  <c r="I18" i="8"/>
  <c r="G105" i="16"/>
  <c r="I39" i="2"/>
  <c r="I50" i="2"/>
  <c r="I40" i="2"/>
  <c r="I38" i="2"/>
  <c r="G106" i="16"/>
  <c r="H39" i="16"/>
  <c r="H42" i="16" s="1"/>
  <c r="I12" i="3"/>
  <c r="I20" i="16"/>
  <c r="I30" i="16" s="1"/>
  <c r="I29" i="3"/>
  <c r="I104" i="16"/>
  <c r="I116" i="16" s="1"/>
  <c r="I28" i="3"/>
  <c r="I10" i="3"/>
  <c r="H9" i="3"/>
  <c r="H35" i="16"/>
  <c r="H13" i="16"/>
  <c r="I29" i="16"/>
  <c r="H28" i="8"/>
  <c r="H27" i="8"/>
  <c r="H60" i="1"/>
  <c r="H64" i="1" s="1"/>
  <c r="I10" i="1"/>
  <c r="I19" i="1" s="1"/>
  <c r="I69" i="1" s="1"/>
  <c r="J9" i="1"/>
  <c r="J8" i="2" s="1"/>
  <c r="J9" i="2" l="1"/>
  <c r="J13" i="2"/>
  <c r="J44" i="2" s="1"/>
  <c r="J14" i="2"/>
  <c r="J45" i="2" s="1"/>
  <c r="J19" i="3"/>
  <c r="J34" i="3"/>
  <c r="J33" i="8" s="1"/>
  <c r="J39" i="2"/>
  <c r="J50" i="2"/>
  <c r="J40" i="2"/>
  <c r="J38" i="2"/>
  <c r="G107" i="16"/>
  <c r="J20" i="16"/>
  <c r="J30" i="16" s="1"/>
  <c r="J104" i="16"/>
  <c r="J116" i="16" s="1"/>
  <c r="J29" i="3"/>
  <c r="J12" i="3"/>
  <c r="J28" i="3"/>
  <c r="J10" i="3"/>
  <c r="I9" i="3"/>
  <c r="H47" i="16"/>
  <c r="H44" i="16"/>
  <c r="H14" i="16"/>
  <c r="H16" i="16" s="1"/>
  <c r="I38" i="16"/>
  <c r="H48" i="16"/>
  <c r="H26" i="16"/>
  <c r="I33" i="16"/>
  <c r="I21" i="16" s="1"/>
  <c r="I39" i="16" s="1"/>
  <c r="H8" i="8"/>
  <c r="H11" i="8"/>
  <c r="H9" i="8"/>
  <c r="I28" i="8"/>
  <c r="I9" i="8"/>
  <c r="I27" i="8"/>
  <c r="J10" i="1"/>
  <c r="J19" i="1" s="1"/>
  <c r="J69" i="1" s="1"/>
  <c r="K9" i="1"/>
  <c r="K8" i="2" s="1"/>
  <c r="I60" i="1"/>
  <c r="I64" i="1" s="1"/>
  <c r="H66" i="1"/>
  <c r="K9" i="2" l="1"/>
  <c r="K13" i="2"/>
  <c r="K44" i="2" s="1"/>
  <c r="K14" i="2"/>
  <c r="K45" i="2" s="1"/>
  <c r="K19" i="3"/>
  <c r="K18" i="8" s="1"/>
  <c r="K34" i="3"/>
  <c r="K33" i="8" s="1"/>
  <c r="J18" i="8"/>
  <c r="G118" i="16"/>
  <c r="G27" i="3" s="1"/>
  <c r="G117" i="16"/>
  <c r="K39" i="2"/>
  <c r="K50" i="2"/>
  <c r="K40" i="2"/>
  <c r="K38" i="2"/>
  <c r="I42" i="16"/>
  <c r="J38" i="16" s="1"/>
  <c r="H50" i="16"/>
  <c r="H16" i="3" s="1"/>
  <c r="H20" i="3" s="1"/>
  <c r="K12" i="3"/>
  <c r="K20" i="16"/>
  <c r="K30" i="16" s="1"/>
  <c r="K29" i="3"/>
  <c r="K104" i="16"/>
  <c r="K116" i="16" s="1"/>
  <c r="K28" i="3"/>
  <c r="K10" i="3"/>
  <c r="I13" i="16"/>
  <c r="I35" i="16"/>
  <c r="J29" i="16"/>
  <c r="J9" i="3"/>
  <c r="I11" i="8"/>
  <c r="I8" i="8"/>
  <c r="J11" i="8"/>
  <c r="J28" i="8"/>
  <c r="J27" i="8"/>
  <c r="I66" i="1"/>
  <c r="L9" i="1"/>
  <c r="L8" i="2" s="1"/>
  <c r="K10" i="1"/>
  <c r="K19" i="1" s="1"/>
  <c r="K69" i="1" s="1"/>
  <c r="J60" i="1"/>
  <c r="J64" i="1" s="1"/>
  <c r="L9" i="2" l="1"/>
  <c r="L13" i="2"/>
  <c r="L44" i="2" s="1"/>
  <c r="L19" i="3"/>
  <c r="L18" i="8" s="1"/>
  <c r="L14" i="2"/>
  <c r="L45" i="2" s="1"/>
  <c r="L34" i="3"/>
  <c r="L33" i="8" s="1"/>
  <c r="J33" i="16"/>
  <c r="J21" i="16" s="1"/>
  <c r="J39" i="16" s="1"/>
  <c r="J42" i="16" s="1"/>
  <c r="I48" i="16"/>
  <c r="I14" i="16"/>
  <c r="I16" i="16" s="1"/>
  <c r="G11" i="3"/>
  <c r="G10" i="8" s="1"/>
  <c r="G120" i="16"/>
  <c r="L39" i="2"/>
  <c r="L50" i="2"/>
  <c r="L40" i="2"/>
  <c r="L38" i="2"/>
  <c r="G30" i="3"/>
  <c r="G26" i="8"/>
  <c r="L104" i="16"/>
  <c r="L116" i="16" s="1"/>
  <c r="L20" i="16"/>
  <c r="L30" i="16" s="1"/>
  <c r="L29" i="3"/>
  <c r="L12" i="3"/>
  <c r="L28" i="3"/>
  <c r="L10" i="3"/>
  <c r="J35" i="16"/>
  <c r="K29" i="16"/>
  <c r="I47" i="16"/>
  <c r="I26" i="16"/>
  <c r="K9" i="3"/>
  <c r="I44" i="16"/>
  <c r="J8" i="8"/>
  <c r="K11" i="8"/>
  <c r="J9" i="8"/>
  <c r="H15" i="8"/>
  <c r="L10" i="1"/>
  <c r="L19" i="1" s="1"/>
  <c r="L69" i="1" s="1"/>
  <c r="K28" i="8"/>
  <c r="K27" i="8"/>
  <c r="J66" i="1"/>
  <c r="K60" i="1"/>
  <c r="K64" i="1" s="1"/>
  <c r="J13" i="16" l="1"/>
  <c r="K33" i="16"/>
  <c r="L29" i="16" s="1"/>
  <c r="I50" i="16"/>
  <c r="I16" i="3" s="1"/>
  <c r="I20" i="3" s="1"/>
  <c r="G122" i="16"/>
  <c r="G121" i="16"/>
  <c r="J47" i="16"/>
  <c r="J26" i="16"/>
  <c r="L9" i="3"/>
  <c r="K38" i="16"/>
  <c r="J48" i="16"/>
  <c r="J14" i="16"/>
  <c r="J16" i="16" s="1"/>
  <c r="J44" i="16"/>
  <c r="K13" i="16"/>
  <c r="K9" i="8"/>
  <c r="K8" i="8"/>
  <c r="L60" i="1"/>
  <c r="L64" i="1" s="1"/>
  <c r="L66" i="1" s="1"/>
  <c r="K66" i="1"/>
  <c r="K45" i="1"/>
  <c r="K71" i="1" s="1"/>
  <c r="K74" i="1" s="1"/>
  <c r="K17" i="2" s="1"/>
  <c r="K48" i="2" s="1"/>
  <c r="L45" i="1"/>
  <c r="L71" i="1" s="1"/>
  <c r="L74" i="1" s="1"/>
  <c r="L17" i="2" s="1"/>
  <c r="L48" i="2" s="1"/>
  <c r="J45" i="1"/>
  <c r="J71" i="1" s="1"/>
  <c r="J74" i="1" s="1"/>
  <c r="J17" i="2" s="1"/>
  <c r="J48" i="2" s="1"/>
  <c r="I45" i="1"/>
  <c r="I71" i="1" s="1"/>
  <c r="I74" i="1" s="1"/>
  <c r="I17" i="2" s="1"/>
  <c r="I48" i="2" s="1"/>
  <c r="H45" i="1"/>
  <c r="H71" i="1" s="1"/>
  <c r="H74" i="1" s="1"/>
  <c r="H17" i="2" s="1"/>
  <c r="H48" i="2" s="1"/>
  <c r="K35" i="16" l="1"/>
  <c r="K21" i="16"/>
  <c r="K39" i="16" s="1"/>
  <c r="K42" i="16"/>
  <c r="K14" i="16" s="1"/>
  <c r="K16" i="16" s="1"/>
  <c r="L33" i="16"/>
  <c r="L21" i="16" s="1"/>
  <c r="L39" i="16" s="1"/>
  <c r="K47" i="16"/>
  <c r="K26" i="16"/>
  <c r="H29" i="2"/>
  <c r="H15" i="2"/>
  <c r="H46" i="2" s="1"/>
  <c r="J50" i="16"/>
  <c r="J16" i="3" s="1"/>
  <c r="J20" i="3" s="1"/>
  <c r="J15" i="2"/>
  <c r="J46" i="2" s="1"/>
  <c r="J29" i="2"/>
  <c r="L15" i="2"/>
  <c r="L46" i="2" s="1"/>
  <c r="L29" i="2"/>
  <c r="I15" i="2"/>
  <c r="I46" i="2" s="1"/>
  <c r="I29" i="2"/>
  <c r="K29" i="2"/>
  <c r="K15" i="2"/>
  <c r="K46" i="2" s="1"/>
  <c r="I15" i="8"/>
  <c r="L8" i="8"/>
  <c r="H75" i="1"/>
  <c r="J75" i="1"/>
  <c r="I75" i="1"/>
  <c r="L75" i="1"/>
  <c r="L28" i="8"/>
  <c r="L11" i="8"/>
  <c r="L9" i="8"/>
  <c r="L27" i="8"/>
  <c r="K75" i="1"/>
  <c r="L38" i="16" l="1"/>
  <c r="L42" i="16" s="1"/>
  <c r="L14" i="16" s="1"/>
  <c r="L35" i="16"/>
  <c r="L13" i="16"/>
  <c r="L47" i="16" s="1"/>
  <c r="K48" i="16"/>
  <c r="K50" i="16" s="1"/>
  <c r="K16" i="3" s="1"/>
  <c r="K20" i="3" s="1"/>
  <c r="K44" i="16"/>
  <c r="J15" i="8"/>
  <c r="L26" i="16" l="1"/>
  <c r="L16" i="16"/>
  <c r="L48" i="16"/>
  <c r="L50" i="16" s="1"/>
  <c r="L16" i="3" s="1"/>
  <c r="L20" i="3" s="1"/>
  <c r="L44" i="16"/>
  <c r="I105" i="16"/>
  <c r="H105" i="16"/>
  <c r="I106" i="16"/>
  <c r="H106" i="16"/>
  <c r="J106" i="16"/>
  <c r="K105" i="16"/>
  <c r="K106" i="16"/>
  <c r="L106" i="16"/>
  <c r="J105" i="16"/>
  <c r="L105" i="16"/>
  <c r="K15" i="8"/>
  <c r="H107" i="16" l="1"/>
  <c r="H117" i="16" s="1"/>
  <c r="L107" i="16"/>
  <c r="J107" i="16"/>
  <c r="J118" i="16" s="1"/>
  <c r="J27" i="3" s="1"/>
  <c r="J30" i="3" s="1"/>
  <c r="I107" i="16"/>
  <c r="I117" i="16" s="1"/>
  <c r="H118" i="16"/>
  <c r="H27" i="3" s="1"/>
  <c r="H30" i="3" s="1"/>
  <c r="L118" i="16"/>
  <c r="L27" i="3" s="1"/>
  <c r="L30" i="3" s="1"/>
  <c r="L117" i="16"/>
  <c r="L11" i="3" s="1"/>
  <c r="K107" i="16"/>
  <c r="H11" i="3"/>
  <c r="H120" i="16" l="1"/>
  <c r="H122" i="16" s="1"/>
  <c r="L120" i="16"/>
  <c r="L122" i="16" s="1"/>
  <c r="I118" i="16"/>
  <c r="I27" i="3" s="1"/>
  <c r="I30" i="3" s="1"/>
  <c r="J117" i="16"/>
  <c r="J11" i="3" s="1"/>
  <c r="K117" i="16"/>
  <c r="K118" i="16"/>
  <c r="K27" i="3" s="1"/>
  <c r="K30" i="3" s="1"/>
  <c r="I11" i="3"/>
  <c r="L15" i="8"/>
  <c r="H121" i="16" l="1"/>
  <c r="L26" i="8"/>
  <c r="K26" i="8"/>
  <c r="I26" i="8"/>
  <c r="J26" i="8"/>
  <c r="I120" i="16"/>
  <c r="J120" i="16"/>
  <c r="K120" i="16"/>
  <c r="K11" i="3"/>
  <c r="K10" i="8" s="1"/>
  <c r="J122" i="16"/>
  <c r="H26" i="8"/>
  <c r="J10" i="8"/>
  <c r="L10" i="8" l="1"/>
  <c r="K121" i="16"/>
  <c r="J121" i="16"/>
  <c r="I121" i="16"/>
  <c r="I122" i="16"/>
  <c r="K122" i="16"/>
  <c r="L121" i="16"/>
  <c r="H10" i="8"/>
  <c r="I10" i="8"/>
  <c r="H82" i="16" l="1"/>
  <c r="I78" i="16"/>
  <c r="H75" i="16"/>
  <c r="H89" i="16" l="1"/>
  <c r="H90" i="16" l="1"/>
  <c r="H33" i="3"/>
  <c r="H35" i="3" l="1"/>
  <c r="H37" i="3" s="1"/>
  <c r="I81" i="16"/>
  <c r="I82" i="16" l="1"/>
  <c r="I75" i="16"/>
  <c r="I89" i="16" s="1"/>
  <c r="J78" i="16"/>
  <c r="I80" i="16"/>
  <c r="I94" i="16" l="1"/>
  <c r="I95" i="16" s="1"/>
  <c r="I20" i="2" s="1"/>
  <c r="I51" i="2" s="1"/>
  <c r="I90" i="16"/>
  <c r="I33" i="3" l="1"/>
  <c r="I35" i="3" s="1"/>
  <c r="I37" i="3" s="1"/>
  <c r="I32" i="8"/>
  <c r="J81" i="16" l="1"/>
  <c r="J82" i="16" s="1"/>
  <c r="J75" i="16" l="1"/>
  <c r="J89" i="16" s="1"/>
  <c r="J90" i="16" s="1"/>
  <c r="K78" i="16"/>
  <c r="J80" i="16"/>
  <c r="J94" i="16" l="1"/>
  <c r="J95" i="16" s="1"/>
  <c r="J20" i="2" s="1"/>
  <c r="J33" i="3"/>
  <c r="I22" i="2" l="1"/>
  <c r="I24" i="2" s="1"/>
  <c r="J51" i="2"/>
  <c r="J32" i="8"/>
  <c r="J35" i="3"/>
  <c r="J37" i="3" s="1"/>
  <c r="I53" i="2" l="1"/>
  <c r="I26" i="2" l="1"/>
  <c r="I55" i="2"/>
  <c r="I57" i="2" l="1"/>
  <c r="I31" i="2"/>
  <c r="I9" i="7"/>
  <c r="I10" i="7" s="1"/>
  <c r="I50" i="8" s="1"/>
  <c r="I3" i="8"/>
  <c r="I48" i="8" s="1"/>
  <c r="K81" i="16"/>
  <c r="K82" i="16" s="1"/>
  <c r="I53" i="8" l="1"/>
  <c r="F40" i="11"/>
  <c r="F41" i="11" s="1"/>
  <c r="F16" i="11"/>
  <c r="F17" i="11" s="1"/>
  <c r="K75" i="16"/>
  <c r="L78" i="16"/>
  <c r="K80" i="16"/>
  <c r="K89" i="16" l="1"/>
  <c r="K94" i="16"/>
  <c r="K95" i="16" s="1"/>
  <c r="K20" i="2" s="1"/>
  <c r="J22" i="2" l="1"/>
  <c r="K51" i="2"/>
  <c r="K33" i="3"/>
  <c r="K90" i="16"/>
  <c r="J53" i="2" l="1"/>
  <c r="J24" i="2"/>
  <c r="J26" i="2" s="1"/>
  <c r="K32" i="8"/>
  <c r="K35" i="3"/>
  <c r="K37" i="3" s="1"/>
  <c r="J57" i="2" l="1"/>
  <c r="J9" i="7"/>
  <c r="J10" i="7" s="1"/>
  <c r="J50" i="8" s="1"/>
  <c r="J31" i="2"/>
  <c r="J3" i="8"/>
  <c r="J48" i="8" s="1"/>
  <c r="G40" i="11" s="1"/>
  <c r="G41" i="11" s="1"/>
  <c r="J55" i="2"/>
  <c r="G16" i="11" l="1"/>
  <c r="G17" i="11" s="1"/>
  <c r="J53" i="8"/>
  <c r="L81" i="16"/>
  <c r="L80" i="16" s="1"/>
  <c r="L75" i="16" l="1"/>
  <c r="L82" i="16"/>
  <c r="L89" i="16" l="1"/>
  <c r="L94" i="16"/>
  <c r="L95" i="16" s="1"/>
  <c r="L20" i="2" s="1"/>
  <c r="K22" i="2" l="1"/>
  <c r="L33" i="3"/>
  <c r="L90" i="16"/>
  <c r="K53" i="2" l="1"/>
  <c r="K24" i="2"/>
  <c r="K26" i="2" s="1"/>
  <c r="L22" i="2"/>
  <c r="L24" i="2" s="1"/>
  <c r="L51" i="2"/>
  <c r="L35" i="3"/>
  <c r="L37" i="3" s="1"/>
  <c r="L32" i="8"/>
  <c r="K55" i="2" l="1"/>
  <c r="K57" i="2"/>
  <c r="K3" i="8"/>
  <c r="K48" i="8" s="1"/>
  <c r="H40" i="11" s="1"/>
  <c r="H41" i="11" s="1"/>
  <c r="K9" i="7"/>
  <c r="K10" i="7" s="1"/>
  <c r="K50" i="8" s="1"/>
  <c r="K31" i="2"/>
  <c r="L53" i="2"/>
  <c r="L26" i="2"/>
  <c r="L55" i="2"/>
  <c r="K53" i="8" l="1"/>
  <c r="H16" i="11"/>
  <c r="H17" i="11" s="1"/>
  <c r="L57" i="2"/>
  <c r="L31" i="2"/>
  <c r="L3" i="8"/>
  <c r="L48" i="8" s="1"/>
  <c r="L9" i="7"/>
  <c r="L10" i="7" s="1"/>
  <c r="L50" i="8" s="1"/>
  <c r="I16" i="11" l="1"/>
  <c r="B21" i="11" s="1"/>
  <c r="I40" i="11"/>
  <c r="L53" i="8"/>
  <c r="I41" i="11" l="1"/>
  <c r="B43" i="11"/>
  <c r="B22" i="11"/>
  <c r="I17" i="11"/>
  <c r="B44" i="11" l="1"/>
  <c r="H80" i="16"/>
  <c r="G82" i="16"/>
  <c r="G80" i="16"/>
  <c r="G94" i="16"/>
  <c r="G95" i="16" s="1"/>
  <c r="G20" i="2" s="1"/>
  <c r="G89" i="16"/>
  <c r="G90" i="16" s="1"/>
  <c r="G33" i="3" l="1"/>
  <c r="H94" i="16"/>
  <c r="H95" i="16" s="1"/>
  <c r="H20" i="2" s="1"/>
  <c r="H51" i="2" s="1"/>
  <c r="G51" i="2"/>
  <c r="G22" i="2"/>
  <c r="G35" i="3"/>
  <c r="G37" i="3" s="1"/>
  <c r="H32" i="8" l="1"/>
  <c r="G32" i="8"/>
  <c r="H22" i="2"/>
  <c r="H53" i="2" s="1"/>
  <c r="G53" i="2"/>
  <c r="G24" i="2"/>
  <c r="G55" i="2" s="1"/>
  <c r="H24" i="2" l="1"/>
  <c r="H55" i="2" s="1"/>
  <c r="H26" i="2"/>
  <c r="G26" i="2"/>
  <c r="G9" i="7" l="1"/>
  <c r="G3" i="8"/>
  <c r="G48" i="8" s="1"/>
  <c r="G57" i="2"/>
  <c r="G31" i="2"/>
  <c r="H31" i="2"/>
  <c r="H57" i="2"/>
  <c r="H9" i="7"/>
  <c r="H10" i="7" s="1"/>
  <c r="H50" i="8" s="1"/>
  <c r="H3" i="8"/>
  <c r="H48" i="8" s="1"/>
  <c r="G10" i="7" l="1"/>
  <c r="G50" i="8" s="1"/>
  <c r="H53" i="8"/>
  <c r="E16" i="11"/>
  <c r="E17" i="11" s="1"/>
  <c r="E40" i="11"/>
  <c r="E41" i="11" s="1"/>
  <c r="G53" i="8"/>
  <c r="G56" i="8" s="1"/>
  <c r="D40" i="11"/>
  <c r="D41" i="11" s="1"/>
  <c r="D16" i="11"/>
  <c r="D17" i="11" s="1"/>
  <c r="G13" i="7" l="1"/>
  <c r="B45" i="11"/>
  <c r="B46" i="11" s="1"/>
  <c r="B48" i="11" s="1"/>
  <c r="B23" i="11"/>
  <c r="B24" i="11" s="1"/>
  <c r="B8" i="11" s="1"/>
  <c r="H55" i="8"/>
  <c r="H56" i="8" s="1"/>
  <c r="G8" i="3"/>
  <c r="G13" i="3" s="1"/>
  <c r="G22" i="3" s="1"/>
  <c r="E18" i="15" l="1"/>
  <c r="E20" i="15" s="1"/>
  <c r="H8" i="7"/>
  <c r="H13" i="7" s="1"/>
  <c r="G47" i="7"/>
  <c r="G52" i="7" s="1"/>
  <c r="G42" i="3"/>
  <c r="G45" i="3" s="1"/>
  <c r="B26" i="11"/>
  <c r="B9" i="11"/>
  <c r="E19" i="15" s="1"/>
  <c r="I55" i="8"/>
  <c r="I56" i="8" s="1"/>
  <c r="H8" i="3"/>
  <c r="H13" i="3" s="1"/>
  <c r="H22" i="3" s="1"/>
  <c r="E21" i="15" l="1"/>
  <c r="E23" i="15" s="1"/>
  <c r="E15" i="15" s="1"/>
  <c r="G85" i="16"/>
  <c r="G47" i="3"/>
  <c r="G49" i="3" s="1"/>
  <c r="H42" i="3"/>
  <c r="H45" i="3" s="1"/>
  <c r="H47" i="7"/>
  <c r="H52" i="7" s="1"/>
  <c r="I8" i="7"/>
  <c r="I13" i="7" s="1"/>
  <c r="I8" i="3"/>
  <c r="I13" i="3" s="1"/>
  <c r="I22" i="3" s="1"/>
  <c r="J55" i="8"/>
  <c r="J56" i="8" s="1"/>
  <c r="H85" i="16" l="1"/>
  <c r="H47" i="3"/>
  <c r="H49" i="3" s="1"/>
  <c r="I42" i="3"/>
  <c r="I45" i="3" s="1"/>
  <c r="J8" i="7"/>
  <c r="J13" i="7" s="1"/>
  <c r="I47" i="7"/>
  <c r="I52" i="7" s="1"/>
  <c r="J8" i="3"/>
  <c r="J13" i="3" s="1"/>
  <c r="J22" i="3" s="1"/>
  <c r="K55" i="8"/>
  <c r="K56" i="8" s="1"/>
  <c r="J42" i="3" l="1"/>
  <c r="J45" i="3" s="1"/>
  <c r="J47" i="7"/>
  <c r="J52" i="7" s="1"/>
  <c r="K8" i="7"/>
  <c r="K13" i="7" s="1"/>
  <c r="I85" i="16"/>
  <c r="I47" i="3"/>
  <c r="I49" i="3" s="1"/>
  <c r="K8" i="3"/>
  <c r="K13" i="3" s="1"/>
  <c r="K22" i="3" s="1"/>
  <c r="L55" i="8"/>
  <c r="L56" i="8" s="1"/>
  <c r="L8" i="3" s="1"/>
  <c r="L13" i="3" s="1"/>
  <c r="L22" i="3" s="1"/>
  <c r="K42" i="3" l="1"/>
  <c r="K45" i="3" s="1"/>
  <c r="L8" i="7"/>
  <c r="L13" i="7" s="1"/>
  <c r="K47" i="7"/>
  <c r="K52" i="7" s="1"/>
  <c r="J85" i="16"/>
  <c r="J47" i="3"/>
  <c r="J49" i="3" s="1"/>
  <c r="L47" i="7" l="1"/>
  <c r="L52" i="7" s="1"/>
  <c r="L42" i="3"/>
  <c r="L45" i="3" s="1"/>
  <c r="K85" i="16"/>
  <c r="K47" i="3"/>
  <c r="K49" i="3" s="1"/>
  <c r="L85" i="16" l="1"/>
  <c r="L47" i="3"/>
  <c r="L4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tc={2E6362A4-8BD8-4C4A-B7BE-8B366C6B5074}</author>
    <author>tc={3073F9D7-6185-4297-9C31-0C6DB5B4EC5F}</author>
    <author>tc={A9B6B299-1BAD-430C-80D7-C29F6C2A0C01}</author>
    <author>tc={F2F0CD33-EB8F-4741-A68D-170DE6944973}</author>
    <author>sravan vemireddy</author>
  </authors>
  <commentList>
    <comment ref="C8" authorId="0" shapeId="0" xr:uid="{2E6362A4-8BD8-4C4A-B7BE-8B366C6B50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2022 10-K Annual Report (2022 10k bd.pdf), Revenue by Major Products &amp; Services, Segment Information, and Backlog</t>
      </text>
    </comment>
    <comment ref="D8" authorId="1" shapeId="0" xr:uid="{3073F9D7-6185-4297-9C31-0C6DB5B4EC5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2023 10-K Annual Report (2023 10k gd.pdf), Revenue by Major Products &amp; Services, Segment Information, and Backlog</t>
      </text>
    </comment>
    <comment ref="E8" authorId="2" shapeId="0" xr:uid="{A9B6B299-1BAD-430C-80D7-C29F6C2A0C0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2024 10-K Annual Report (2024 10k gd.pdf), Revenue by Major Products &amp; Services, Segment Information, and Backlog</t>
      </text>
    </comment>
    <comment ref="F8" authorId="3" shapeId="0" xr:uid="{F2F0CD33-EB8F-4741-A68D-170DE694497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2025 10-K Annual Report (2025 10k gd.pdf), Revenue by Major Products &amp; Services, Segment Information, and Backlog</t>
      </text>
    </comment>
    <comment ref="G10" authorId="4" shapeId="0" xr:uid="{0944923B-D59C-467B-9CC0-6DAB95E685EE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Guidance: approx 13.6 revenue</t>
        </r>
      </text>
    </comment>
    <comment ref="G20" authorId="4" shapeId="0" xr:uid="{95D3510D-03E1-4C53-BE59-4883270884A4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14 approx op margin-forward guidance
</t>
        </r>
      </text>
    </comment>
    <comment ref="G26" authorId="4" shapeId="0" xr:uid="{84CCD369-8279-445A-A282-442DE297E54C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17.3-17.7--guidance
</t>
        </r>
      </text>
    </comment>
    <comment ref="G33" authorId="4" shapeId="0" xr:uid="{15CA50BE-E6AD-4609-B68B-01B8EFC649AF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around 7.3% op margin:guidance
</t>
        </r>
      </text>
    </comment>
    <comment ref="G39" authorId="4" shapeId="0" xr:uid="{B2D3EC38-A09E-42CF-9948-6C55F81EB484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guidance:9.6-9.7 approx
</t>
        </r>
      </text>
    </comment>
    <comment ref="G46" authorId="4" shapeId="0" xr:uid="{BA0EB559-C40A-41A7-979E-D80C6D5A7B64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guidance: approx 14.1%
</t>
        </r>
      </text>
    </comment>
    <comment ref="G51" authorId="4" shapeId="0" xr:uid="{32291503-4E75-458E-8E23-089F5E469660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guidance:13.8
</t>
        </r>
      </text>
    </comment>
    <comment ref="C77" authorId="4" shapeId="0" xr:uid="{A6E9EB26-4105-4616-889B-06BD68429CC3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NDAA enacted levels. FY2021: ~$740B, FY2022: ~$782B. Macrotrends/SIPRI &amp; Congressional Research Service.</t>
        </r>
      </text>
    </comment>
    <comment ref="D77" authorId="4" shapeId="0" xr:uid="{CB132D17-26A4-4115-9A87-5E3438BA140D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NDAA enacted. FY2023: ~$816B.</t>
        </r>
      </text>
    </comment>
    <comment ref="E77" authorId="4" shapeId="0" xr:uid="{1A3F5A8F-C4F0-4E34-BD1C-27FE2B0D3C84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NDAA enacted. FY2024: ~$831B.</t>
        </r>
      </text>
    </comment>
    <comment ref="F77" authorId="4" shapeId="0" xr:uid="{989953AF-E5BF-46CF-B80A-6DC1903AC1D4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FY2025 CR at ~$831B.</t>
        </r>
      </text>
    </comment>
    <comment ref="G77" authorId="4" shapeId="0" xr:uid="{5293B525-362D-4A9B-9BBB-8D140EE7B394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FY2026 enacted $839B per Air &amp; Space Forces Mag.</t>
        </r>
      </text>
    </comment>
    <comment ref="H77" authorId="4" shapeId="0" xr:uid="{544E12BF-1EAF-4F24-BE44-C41B56FC4BAB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Estimate based on CBO FYDP projections (0.9% real + ~3% inflation). FY2027 $1.5T proposal still pending Congress.</t>
        </r>
      </text>
    </comment>
    <comment ref="I77" authorId="4" shapeId="0" xr:uid="{11CAD7ED-A293-4E86-B618-B5D84EB4EEE6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CBO long-term estimate, ~0.9% real growth + inflation.</t>
        </r>
      </text>
    </comment>
    <comment ref="J77" authorId="4" shapeId="0" xr:uid="{8132B9B2-7F14-43EF-8DAC-17F17E02C60F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CBO long-term estimate, ~0.9% real growth + inflation.</t>
        </r>
      </text>
    </comment>
    <comment ref="K77" authorId="4" shapeId="0" xr:uid="{2D3EEE64-3995-475B-9F57-14F3106B3F37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CBO long-term estimate, ~0.9% real growth + inflation.</t>
        </r>
      </text>
    </comment>
    <comment ref="L77" authorId="4" shapeId="0" xr:uid="{4670D4D5-9C5F-4F5E-A41E-9FAC26DBC7B5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Source: CBO long-term estimate, ~0.9% real growth + inflation.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tc={2F6C3CDB-2F3F-44CD-BB11-FFAB7770B2BD}</author>
    <author>tc={A5935ABF-E574-4ACD-A710-EBC860C5C73B}</author>
    <author>tc={1991F28D-24AA-462E-96DD-2B8F27156F48}</author>
    <author>tc={9AD9DF98-1085-4A91-B3CC-2E0BA819DFF4}</author>
    <author>tc={36D74A2B-B7FF-4323-B63D-3492C58F8EF4}</author>
  </authors>
  <commentList>
    <comment ref="B7" authorId="0" shapeId="0" xr:uid="{2F6C3CDB-2F3F-44CD-BB11-FFAB7770B2B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2021 10-K Annual Report (2021 10k bd.pdf), Consolidated Statement of Earnings</t>
      </text>
    </comment>
    <comment ref="C7" authorId="1" shapeId="0" xr:uid="{A5935ABF-E574-4ACD-A710-EBC860C5C73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2022 10-K Annual Report (2022 10k bd.pdf), Consolidated Statement of Earnings</t>
      </text>
    </comment>
    <comment ref="D7" authorId="2" shapeId="0" xr:uid="{1991F28D-24AA-462E-96DD-2B8F27156F4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2023 10-K Annual Report (2023 10k gd.pdf), Consolidated Statement of Earnings</t>
      </text>
    </comment>
    <comment ref="E7" authorId="3" shapeId="0" xr:uid="{9AD9DF98-1085-4A91-B3CC-2E0BA819DFF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2024 10-K Annual Report (2024 10k gd.pdf), Consolidated Statement of Earnings</t>
      </text>
    </comment>
    <comment ref="F7" authorId="4" shapeId="0" xr:uid="{36D74A2B-B7FF-4323-B63D-3492C58F8EF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2025 10-K Annual Report (2025 10k gd.pdf), Consolidated Statement of Earnings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tc={16497248-41CA-460E-AFE1-295E17EA4166}</author>
    <author>tc={E6C8982D-975C-476B-B5D2-3D9145596A45}</author>
    <author>tc={A6EC8726-A4FB-4394-8A1D-B1C4C543A017}</author>
    <author>tc={62301C26-7C37-4FA9-BC2E-1AA33BCB6D63}</author>
    <author>tc={FE629813-10BE-4BE1-ABA7-3B5C20F935FF}</author>
    <author>sravan vemireddy</author>
  </authors>
  <commentList>
    <comment ref="B8" authorId="0" shapeId="0" xr:uid="{16497248-41CA-460E-AFE1-295E17EA416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2021 10-K Annual Report (2021 10k bd.pdf), Consolidated Balance Sheet</t>
      </text>
    </comment>
    <comment ref="C8" authorId="1" shapeId="0" xr:uid="{E6C8982D-975C-476B-B5D2-3D914559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2022 10-K Annual Report (2022 10k bd.pdf), Consolidated Balance Sheet</t>
      </text>
    </comment>
    <comment ref="D8" authorId="2" shapeId="0" xr:uid="{A6EC8726-A4FB-4394-8A1D-B1C4C543A01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2023 10-K Annual Report (2023 10k gd.pdf), Consolidated Balance Sheet</t>
      </text>
    </comment>
    <comment ref="E8" authorId="3" shapeId="0" xr:uid="{62301C26-7C37-4FA9-BC2E-1AA33BCB6D6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2024 10-K Annual Report (2024 10k gd.pdf), Consolidated Balance Sheet</t>
      </text>
    </comment>
    <comment ref="F8" authorId="4" shapeId="0" xr:uid="{FE629813-10BE-4BE1-ABA7-3B5C20F935F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General Dynamics 2025 10-K Annual Report (2025 10k gd.pdf), Consolidated Balance Sheet</t>
      </text>
    </comment>
    <comment ref="G75" authorId="5" shapeId="0" xr:uid="{B22A54B2-508B-4BEC-9D71-6C3FB4E1DD91}">
      <text>
        <r>
          <rPr>
            <b/>
            <sz val="9"/>
            <color indexed="81"/>
            <rFont val="Tahoma"/>
            <charset val="1"/>
          </rPr>
          <t>sravan vemireddy:</t>
        </r>
        <r>
          <rPr>
            <sz val="9"/>
            <color indexed="81"/>
            <rFont val="Tahoma"/>
            <charset val="1"/>
          </rPr>
          <t xml:space="preserve">
Current portion of LTD = next year scheduled maturity per 2025 10-K Note K debt maturity schedule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tc={2400733D-DB70-4F3D-A040-FD6852616CD3}</author>
    <author>tc={629534AD-1329-44A2-88D3-68A5CC81D0AE}</author>
    <author>tc={AA919549-2936-44A4-AFC8-147B88AE6221}</author>
    <author>tc={02D6A480-F977-4356-BBDC-F71B7165D570}</author>
    <author>tc={77D1D833-E9EF-4875-88FB-2435FE39EC14}</author>
    <author>tc={7B951276-876D-405B-90BC-29F4A9E4CAE6}</author>
    <author>tc={F91BD7FC-1DC1-4994-92B6-2118EE25CA71}</author>
  </authors>
  <commentList>
    <comment ref="B8" authorId="0" shapeId="0" xr:uid="{2400733D-DB70-4F3D-A040-FD6852616CD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Derived from GD FY2020 10-K retained earnings balance. Source: SEC EDGAR, https://www.sec.gov/Archives/edgar/data/40533/000004053321000010/gd-20201231.htm</t>
      </text>
    </comment>
    <comment ref="G10" authorId="1" shapeId="0" xr:uid="{629534AD-1329-44A2-88D3-68A5CC81D0A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Dividends grow at 5% per year, consistent with GD's historical dividend growth rate .</t>
      </text>
    </comment>
    <comment ref="B17" authorId="2" shapeId="0" xr:uid="{AA919549-2936-44A4-AFC8-147B88AE622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Derived from GD FY2020 10-K treasury stock balance. Source: SEC EDGAR, https://www.sec.gov/Archives/edgar/data/40533/000004053321000010/gd-20201231.htm</t>
      </text>
    </comment>
    <comment ref="G18" authorId="3" shapeId="0" xr:uid="{02D6A480-F977-4356-BBDC-F71B7165D57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Share repurchases of ~$1,500M/year based on GD's average historical repurchase activity.</t>
      </text>
    </comment>
    <comment ref="B26" authorId="4" shapeId="0" xr:uid="{77D1D833-E9EF-4875-88FB-2435FE39EC1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Derived from GD FY2020 10-K surplus/APIC balance. Source: SEC EDGAR, https://www.sec.gov/Archives/edgar/data/40533/000004053321000010/gd-20201231.htm</t>
      </text>
    </comment>
    <comment ref="B36" authorId="5" shapeId="0" xr:uid="{7B951276-876D-405B-90BC-29F4A9E4CAE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Derived from GD FY2020 10-K AOCI balance. Source: SEC EDGAR, https://www.sec.gov/Archives/edgar/data/40533/000004053321000010/gd-20201231.htm</t>
      </text>
    </comment>
    <comment ref="G37" authorId="6" shapeId="0" xr:uid="{F91BD7FC-1DC1-4994-92B6-2118EE25CA7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AOCI gradually normalizes toward zero reflecting expected pension and FX adjustments.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<sst xmlns="http://schemas.openxmlformats.org/spreadsheetml/2006/main" count="956" uniqueCount="498">
  <si>
    <t>General Dynamics Corporation</t>
  </si>
  <si>
    <t>Consolidated Statement of Earnings</t>
  </si>
  <si>
    <t>(Dollars in millions, except per-share amounts)</t>
  </si>
  <si>
    <t>Year Ended December 31</t>
  </si>
  <si>
    <t>Revenue:</t>
  </si>
  <si>
    <t xml:space="preserve">   Products</t>
  </si>
  <si>
    <t xml:space="preserve">   Services</t>
  </si>
  <si>
    <t>Total Revenue</t>
  </si>
  <si>
    <t>Operating costs and expenses:</t>
  </si>
  <si>
    <t xml:space="preserve">   General and administrative (G&amp;A)</t>
  </si>
  <si>
    <t>Total Operating Costs and Expenses</t>
  </si>
  <si>
    <t>Operating Earnings</t>
  </si>
  <si>
    <t xml:space="preserve">   Other, net</t>
  </si>
  <si>
    <t xml:space="preserve">   Interest, net</t>
  </si>
  <si>
    <t>Earnings Before Income Tax</t>
  </si>
  <si>
    <t xml:space="preserve">   Provision for income tax, net</t>
  </si>
  <si>
    <t>Net Earnings</t>
  </si>
  <si>
    <t>Operating Margin</t>
  </si>
  <si>
    <t>Effective Tax Rate</t>
  </si>
  <si>
    <t>Net Margin</t>
  </si>
  <si>
    <t>Key Margins</t>
  </si>
  <si>
    <t>Consolidated Balance Sheet</t>
  </si>
  <si>
    <t>(Dollars in millions)</t>
  </si>
  <si>
    <t>ASSETS</t>
  </si>
  <si>
    <t>Current assets:</t>
  </si>
  <si>
    <t xml:space="preserve">   Cash and equivalents</t>
  </si>
  <si>
    <t xml:space="preserve">   Accounts receivable</t>
  </si>
  <si>
    <t xml:space="preserve">   Unbilled receivables</t>
  </si>
  <si>
    <t xml:space="preserve">   Inventories</t>
  </si>
  <si>
    <t xml:space="preserve">   Other current assets</t>
  </si>
  <si>
    <t>Total current assets</t>
  </si>
  <si>
    <t>Noncurrent assets:</t>
  </si>
  <si>
    <t xml:space="preserve">   Property, plant and equipment, net</t>
  </si>
  <si>
    <t xml:space="preserve">   Intangible assets, net</t>
  </si>
  <si>
    <t xml:space="preserve">   Goodwill</t>
  </si>
  <si>
    <t xml:space="preserve">   Other assets</t>
  </si>
  <si>
    <t>Total noncurrent assets</t>
  </si>
  <si>
    <t>Total assets</t>
  </si>
  <si>
    <t>LIABILITIES AND SHAREHOLDERS' EQUITY</t>
  </si>
  <si>
    <t>Current liabilities:</t>
  </si>
  <si>
    <t xml:space="preserve">   Short-term debt and current portion of long-term debt</t>
  </si>
  <si>
    <t xml:space="preserve">   Accounts payable</t>
  </si>
  <si>
    <t xml:space="preserve">   Customer advances and deposits</t>
  </si>
  <si>
    <t xml:space="preserve">   Other current liabilities</t>
  </si>
  <si>
    <t>Total current liabilities</t>
  </si>
  <si>
    <t>Noncurrent liabilities:</t>
  </si>
  <si>
    <t xml:space="preserve">   Long-term debt</t>
  </si>
  <si>
    <t xml:space="preserve">   Other liabilities</t>
  </si>
  <si>
    <t>Total noncurrent liabilities</t>
  </si>
  <si>
    <t>Total liabilities</t>
  </si>
  <si>
    <t>Shareholders' equity:</t>
  </si>
  <si>
    <t xml:space="preserve">   Common stock</t>
  </si>
  <si>
    <t xml:space="preserve">   Surplus</t>
  </si>
  <si>
    <t xml:space="preserve">   Retained earnings</t>
  </si>
  <si>
    <t xml:space="preserve">   Treasury stock</t>
  </si>
  <si>
    <t xml:space="preserve">   Accumulated other comprehensive loss</t>
  </si>
  <si>
    <t>Total shareholders' equity</t>
  </si>
  <si>
    <t>Total liabilities and shareholders' equity</t>
  </si>
  <si>
    <t>Balance Check (Assets - L&amp;E)</t>
  </si>
  <si>
    <t>Bottom-Up Revenue Model</t>
  </si>
  <si>
    <t>(Dollars in millions, except units and per-unit amounts)</t>
  </si>
  <si>
    <t>2026E</t>
  </si>
  <si>
    <t>2027E</t>
  </si>
  <si>
    <t>2028E</t>
  </si>
  <si>
    <t>2029E</t>
  </si>
  <si>
    <t>2030E</t>
  </si>
  <si>
    <t>2031E</t>
  </si>
  <si>
    <t>AEROSPACE</t>
  </si>
  <si>
    <t xml:space="preserve">   Aircraft manufacturing</t>
  </si>
  <si>
    <t xml:space="preserve">   Aircraft services</t>
  </si>
  <si>
    <t>Total Aerospace Revenue</t>
  </si>
  <si>
    <t>Key Drivers:</t>
  </si>
  <si>
    <t xml:space="preserve">   Gulfstream deliveries (units)</t>
  </si>
  <si>
    <t xml:space="preserve">   Implied ASP per aircraft ($M)</t>
  </si>
  <si>
    <t xml:space="preserve">   Aircraft mfg. revenue growth</t>
  </si>
  <si>
    <t>n/a</t>
  </si>
  <si>
    <t xml:space="preserve">   Aircraft services revenue growth</t>
  </si>
  <si>
    <t xml:space="preserve">   Operating Earnings</t>
  </si>
  <si>
    <t xml:space="preserve">   Operating Margin</t>
  </si>
  <si>
    <t>MARINE SYSTEMS</t>
  </si>
  <si>
    <t xml:space="preserve">   Nuclear-powered submarines</t>
  </si>
  <si>
    <t xml:space="preserve">   Surface ships</t>
  </si>
  <si>
    <t xml:space="preserve">   Repair and other services</t>
  </si>
  <si>
    <t>Total Marine Systems Revenue</t>
  </si>
  <si>
    <t xml:space="preserve">   Submarine revenue growth</t>
  </si>
  <si>
    <t xml:space="preserve">   Surface ships revenue growth</t>
  </si>
  <si>
    <t>COMBAT SYSTEMS</t>
  </si>
  <si>
    <t xml:space="preserve">   Military vehicles</t>
  </si>
  <si>
    <t xml:space="preserve">   Weapons systems and munitions</t>
  </si>
  <si>
    <t xml:space="preserve">   Engineering and other services</t>
  </si>
  <si>
    <t>Total Combat Systems Revenue</t>
  </si>
  <si>
    <t xml:space="preserve">   Military vehicles revenue growth</t>
  </si>
  <si>
    <t xml:space="preserve">   Weapons systems revenue growth</t>
  </si>
  <si>
    <t>TECHNOLOGIES</t>
  </si>
  <si>
    <t xml:space="preserve">   Information technology (IT) services</t>
  </si>
  <si>
    <t xml:space="preserve">   C5ISR solutions</t>
  </si>
  <si>
    <t>Total Technologies Revenue</t>
  </si>
  <si>
    <t xml:space="preserve">   IT services revenue growth</t>
  </si>
  <si>
    <t xml:space="preserve">   C5ISR solutions revenue growth</t>
  </si>
  <si>
    <t>CONSOLIDATED REVENUE</t>
  </si>
  <si>
    <t xml:space="preserve">   Aerospace</t>
  </si>
  <si>
    <t xml:space="preserve">   Marine Systems</t>
  </si>
  <si>
    <t xml:space="preserve">   Combat Systems</t>
  </si>
  <si>
    <t xml:space="preserve">   Technologies</t>
  </si>
  <si>
    <t>Total Consolidated Revenue</t>
  </si>
  <si>
    <t>YoY Revenue Growth</t>
  </si>
  <si>
    <t>CONSOLIDATED OPERATING EARNINGS</t>
  </si>
  <si>
    <t xml:space="preserve">   Corporate</t>
  </si>
  <si>
    <t>Total Operating Earnings</t>
  </si>
  <si>
    <t>Consolidated Operating Margin</t>
  </si>
  <si>
    <t>BACKLOG ANALYSIS</t>
  </si>
  <si>
    <t>Total Backlog</t>
  </si>
  <si>
    <t>Shareholders' Equity Schedule</t>
  </si>
  <si>
    <t>RETAINED EARNINGS ROLLFORWARD</t>
  </si>
  <si>
    <t xml:space="preserve">   Beginning Balance</t>
  </si>
  <si>
    <t xml:space="preserve">   Net Earnings</t>
  </si>
  <si>
    <t xml:space="preserve">   Dividends Declared</t>
  </si>
  <si>
    <t xml:space="preserve">   Other</t>
  </si>
  <si>
    <t xml:space="preserve">   Ending Balance</t>
  </si>
  <si>
    <t>TREASURY STOCK / SHARE REPURCHASES</t>
  </si>
  <si>
    <t xml:space="preserve">   Share Repurchases</t>
  </si>
  <si>
    <t xml:space="preserve">   Other (exercise/vesting)</t>
  </si>
  <si>
    <t>SURPLUS (APIC / SBC)</t>
  </si>
  <si>
    <t xml:space="preserve">   Stock-Based Compensation</t>
  </si>
  <si>
    <t xml:space="preserve">   Other (options/vesting)</t>
  </si>
  <si>
    <t>ACCUMULATED OTHER COMPREHENSIVE INCOME (LOSS)</t>
  </si>
  <si>
    <t xml:space="preserve">   Other Comprehensive Income (Loss)</t>
  </si>
  <si>
    <t>TOTAL SHAREHOLDERS' EQUITY</t>
  </si>
  <si>
    <t xml:space="preserve">   Common Stock</t>
  </si>
  <si>
    <t xml:space="preserve">   Surplus (APIC)</t>
  </si>
  <si>
    <t xml:space="preserve">   Retained Earnings</t>
  </si>
  <si>
    <t xml:space="preserve">   Treasury Stock</t>
  </si>
  <si>
    <t xml:space="preserve">   AOCI</t>
  </si>
  <si>
    <t>Total Shareholders' Equity</t>
  </si>
  <si>
    <t>Property, Plant &amp; Equipment Schedule</t>
  </si>
  <si>
    <t>ASSUMPTIONS</t>
  </si>
  <si>
    <t xml:space="preserve">   Depreciation Expense</t>
  </si>
  <si>
    <t xml:space="preserve">   CapEx as % of Revenue</t>
  </si>
  <si>
    <t xml:space="preserve">   (+) Capital Expenditures</t>
  </si>
  <si>
    <t xml:space="preserve">   (-) Disposals / Retirements</t>
  </si>
  <si>
    <t xml:space="preserve">   Ending Gross PP&amp;E</t>
  </si>
  <si>
    <t xml:space="preserve">   (+) Depreciation Expense</t>
  </si>
  <si>
    <t xml:space="preserve">   Ending Accumulated Depreciation</t>
  </si>
  <si>
    <t xml:space="preserve">   Gross PP&amp;E</t>
  </si>
  <si>
    <t xml:space="preserve">   Net PP&amp;E</t>
  </si>
  <si>
    <t>GROSS PP&amp;E BY ASSET CLASS</t>
  </si>
  <si>
    <t xml:space="preserve">   Machinery and equipment</t>
  </si>
  <si>
    <t xml:space="preserve">   Buildings and improvements</t>
  </si>
  <si>
    <t xml:space="preserve">   Construction in process</t>
  </si>
  <si>
    <t xml:space="preserve">   Land and improvements</t>
  </si>
  <si>
    <t>Total Gross PP&amp;E</t>
  </si>
  <si>
    <t xml:space="preserve">   Accumulated depreciation</t>
  </si>
  <si>
    <t>PP&amp;E, net</t>
  </si>
  <si>
    <t xml:space="preserve">   Capital Expenditures</t>
  </si>
  <si>
    <t xml:space="preserve">   Disposals / Retirements</t>
  </si>
  <si>
    <t xml:space="preserve">   Implied Useful Life (years)</t>
  </si>
  <si>
    <t>GROSS PP&amp;E ROLLFORWARD</t>
  </si>
  <si>
    <t xml:space="preserve">   Beginning Gross PP&amp;E</t>
  </si>
  <si>
    <t xml:space="preserve">   YoY Change</t>
  </si>
  <si>
    <t>ACCUMULATED DEPRECIATION ROLLFORWARD</t>
  </si>
  <si>
    <t xml:space="preserve">   Beginning Accumulated Depreciation</t>
  </si>
  <si>
    <t xml:space="preserve">   (-) Disposals removed</t>
  </si>
  <si>
    <t xml:space="preserve">   Accum. Dep as % of Gross PP&amp;E</t>
  </si>
  <si>
    <t>NET PP&amp;E SUMMARY</t>
  </si>
  <si>
    <t xml:space="preserve">   Accumulated Depreciation</t>
  </si>
  <si>
    <t>Repair and other services growth</t>
  </si>
  <si>
    <t xml:space="preserve">   Engineering and other services growth</t>
  </si>
  <si>
    <t>NET INCOME</t>
  </si>
  <si>
    <t xml:space="preserve">   Accounts receivable — DSO (days)</t>
  </si>
  <si>
    <t xml:space="preserve">   Inventories — DSI (days)</t>
  </si>
  <si>
    <t xml:space="preserve">   Accounts payable — DPO (days)</t>
  </si>
  <si>
    <t>Working Capital Schedule</t>
  </si>
  <si>
    <t>REFERENCE DATA</t>
  </si>
  <si>
    <t xml:space="preserve">   Total Revenue</t>
  </si>
  <si>
    <t xml:space="preserve">   Product COGS</t>
  </si>
  <si>
    <t xml:space="preserve">   Service COGS</t>
  </si>
  <si>
    <t xml:space="preserve">   Total COGS</t>
  </si>
  <si>
    <t>EFFICIENCY RATIOS</t>
  </si>
  <si>
    <t xml:space="preserve">   DSO (Days Sales Outstanding)</t>
  </si>
  <si>
    <t xml:space="preserve">   DSI (Days Sales of Inventory)</t>
  </si>
  <si>
    <t xml:space="preserve">   DPO (Days Payable Outstanding)</t>
  </si>
  <si>
    <t xml:space="preserve">   CCC (Cash Conversion Cycle)</t>
  </si>
  <si>
    <t>PROJECTED WORKING CAPITAL BALANCES</t>
  </si>
  <si>
    <t xml:space="preserve">   Accounts Receivable</t>
  </si>
  <si>
    <t xml:space="preserve">   Accounts Payable</t>
  </si>
  <si>
    <t>Net Working Capital (AR + Inv - AP)</t>
  </si>
  <si>
    <t xml:space="preserve">   Change in Net Working Capital</t>
  </si>
  <si>
    <t xml:space="preserve">   NWC as % of Revenue</t>
  </si>
  <si>
    <t>Debt Schedule</t>
  </si>
  <si>
    <t>OUTSTANDING NOTES DETAIL</t>
  </si>
  <si>
    <t xml:space="preserve">   1.150% Fixed-Rate Notes</t>
  </si>
  <si>
    <t xml:space="preserve">   2.125% Fixed-Rate Notes</t>
  </si>
  <si>
    <t xml:space="preserve">   3.500% Fixed-Rate Notes</t>
  </si>
  <si>
    <t xml:space="preserve">   2.625% Fixed-Rate Notes</t>
  </si>
  <si>
    <t xml:space="preserve">   3.750% Fixed-Rate Notes</t>
  </si>
  <si>
    <t xml:space="preserve">   3.625% Fixed-Rate Notes</t>
  </si>
  <si>
    <t xml:space="preserve">   2.250% Fixed-Rate Notes</t>
  </si>
  <si>
    <t xml:space="preserve">   4.950% Fixed-Rate Notes</t>
  </si>
  <si>
    <t xml:space="preserve">   4.250% Fixed-Rate Notes</t>
  </si>
  <si>
    <t xml:space="preserve">   2.850% Fixed-Rate Notes</t>
  </si>
  <si>
    <t xml:space="preserve">   3.600% Fixed-Rate Notes</t>
  </si>
  <si>
    <t>Total Debt Principal</t>
  </si>
  <si>
    <t xml:space="preserve">   Less: Unamortized issuance costs &amp; discounts</t>
  </si>
  <si>
    <t>Total Debt (Book Value)</t>
  </si>
  <si>
    <t>DEBT ROLLFORWARD</t>
  </si>
  <si>
    <t xml:space="preserve">   Beginning Debt Principal</t>
  </si>
  <si>
    <t xml:space="preserve">   (+) New Issuances</t>
  </si>
  <si>
    <t xml:space="preserve">   (-) Repayments</t>
  </si>
  <si>
    <t xml:space="preserve">   Ending Debt Principal</t>
  </si>
  <si>
    <t xml:space="preserve">   Check (Ending = Total Principal)</t>
  </si>
  <si>
    <t>BALANCE SHEET CLASSIFICATION</t>
  </si>
  <si>
    <t xml:space="preserve">   Short-term Debt (Current Portion of LTD)</t>
  </si>
  <si>
    <t xml:space="preserve">   Long-term Debt</t>
  </si>
  <si>
    <t xml:space="preserve">   Total Debt</t>
  </si>
  <si>
    <t>INTEREST EXPENSE ESTIMATE</t>
  </si>
  <si>
    <t xml:space="preserve">   Wtd. Avg. Interest Rate</t>
  </si>
  <si>
    <t xml:space="preserve">   Avg. Total Debt (Book Value)</t>
  </si>
  <si>
    <t xml:space="preserve">   Interest Expense</t>
  </si>
  <si>
    <t>Common size statement</t>
  </si>
  <si>
    <t>Net</t>
  </si>
  <si>
    <t>Dividends</t>
  </si>
  <si>
    <t>Repurchases</t>
  </si>
  <si>
    <t>Cash Generated</t>
  </si>
  <si>
    <t>Opening Cash</t>
  </si>
  <si>
    <t>Closing Cash</t>
  </si>
  <si>
    <t>FCFE</t>
  </si>
  <si>
    <t>LEVERAGE ANALYSIS</t>
  </si>
  <si>
    <t>Share count in Millions</t>
  </si>
  <si>
    <t>Cost of Equity</t>
  </si>
  <si>
    <t>Today</t>
  </si>
  <si>
    <t>Number of Shares in thousands:</t>
  </si>
  <si>
    <t>One year</t>
  </si>
  <si>
    <t>Two year</t>
  </si>
  <si>
    <t>Actual Price:</t>
  </si>
  <si>
    <t>At close oct 22, 2025</t>
  </si>
  <si>
    <t>Model Valuation:</t>
  </si>
  <si>
    <t>Model 12 Month Price Target:</t>
  </si>
  <si>
    <t>Model Current Valuation with Sensitivity of Ke</t>
  </si>
  <si>
    <t>Time period (years)</t>
  </si>
  <si>
    <t>Nominal FCFE:</t>
  </si>
  <si>
    <t>PV FCFE:</t>
  </si>
  <si>
    <t>Terminal Growth Rate</t>
  </si>
  <si>
    <t>Terminal Value in 2030</t>
  </si>
  <si>
    <t>PV of Terminal Value</t>
  </si>
  <si>
    <t>Total PV:</t>
  </si>
  <si>
    <t>Valuation per Share ($):</t>
  </si>
  <si>
    <t>Cost Of Equity Ke</t>
  </si>
  <si>
    <t>Model 12 Month Price Target with Sensitivity of Ke</t>
  </si>
  <si>
    <t>Time period</t>
  </si>
  <si>
    <t>Company name</t>
  </si>
  <si>
    <t>Company ticker</t>
  </si>
  <si>
    <r>
      <t>(</t>
    </r>
    <r>
      <rPr>
        <sz val="11"/>
        <color rgb="FF0000FF"/>
        <rFont val="Aptos Narrow"/>
        <family val="2"/>
        <scheme val="minor"/>
      </rPr>
      <t>Blue = input</t>
    </r>
    <r>
      <rPr>
        <sz val="11"/>
        <color theme="1"/>
        <rFont val="Aptos Narrow"/>
        <family val="2"/>
        <scheme val="minor"/>
      </rPr>
      <t>, Black = calculation)</t>
    </r>
  </si>
  <si>
    <t>S&amp;P 500 data</t>
  </si>
  <si>
    <t> </t>
  </si>
  <si>
    <t>Source</t>
  </si>
  <si>
    <t>S&amp;P500 Forward P/E</t>
  </si>
  <si>
    <t>WSJ</t>
  </si>
  <si>
    <r>
      <t xml:space="preserve">Projected EPS growth rate (g </t>
    </r>
    <r>
      <rPr>
        <vertAlign val="subscript"/>
        <sz val="11"/>
        <color theme="1"/>
        <rFont val="Calibri (Body)"/>
      </rPr>
      <t>S&amp;P</t>
    </r>
    <r>
      <rPr>
        <sz val="11"/>
        <color theme="1"/>
        <rFont val="Aptos Narrow"/>
        <family val="2"/>
        <scheme val="minor"/>
      </rPr>
      <t>)</t>
    </r>
  </si>
  <si>
    <t>Yahoo Finance</t>
  </si>
  <si>
    <t>CapIQ / Bloomberg</t>
  </si>
  <si>
    <t>(5 years)</t>
  </si>
  <si>
    <r>
      <t>Risk-free rate (R</t>
    </r>
    <r>
      <rPr>
        <vertAlign val="subscript"/>
        <sz val="11"/>
        <color theme="1"/>
        <rFont val="Calibri (Body)"/>
      </rPr>
      <t>f</t>
    </r>
    <r>
      <rPr>
        <sz val="11"/>
        <color theme="1"/>
        <rFont val="Aptos Narrow"/>
        <family val="2"/>
        <scheme val="minor"/>
      </rPr>
      <t>)</t>
    </r>
  </si>
  <si>
    <t>Market quote</t>
  </si>
  <si>
    <r>
      <t>Implied required return on equity (R</t>
    </r>
    <r>
      <rPr>
        <vertAlign val="subscript"/>
        <sz val="11"/>
        <color theme="1"/>
        <rFont val="Calibri (Body)"/>
      </rPr>
      <t>s&amp;p</t>
    </r>
    <r>
      <rPr>
        <vertAlign val="subscript"/>
        <sz val="11"/>
        <color theme="1"/>
        <rFont val="Aptos Narrow"/>
        <family val="2"/>
        <scheme val="minor"/>
      </rPr>
      <t>500</t>
    </r>
    <r>
      <rPr>
        <sz val="11"/>
        <color theme="1"/>
        <rFont val="Aptos Narrow"/>
        <family val="2"/>
        <scheme val="minor"/>
      </rPr>
      <t>)</t>
    </r>
  </si>
  <si>
    <r>
      <t>Implied equity risk premium (R</t>
    </r>
    <r>
      <rPr>
        <vertAlign val="subscript"/>
        <sz val="11"/>
        <color theme="1"/>
        <rFont val="Calibri (Body)"/>
      </rPr>
      <t>m</t>
    </r>
    <r>
      <rPr>
        <sz val="11"/>
        <color theme="1"/>
        <rFont val="Aptos Narrow"/>
        <family val="2"/>
        <scheme val="minor"/>
      </rPr>
      <t>)</t>
    </r>
  </si>
  <si>
    <t>Beta</t>
  </si>
  <si>
    <t>Current Price (P)</t>
  </si>
  <si>
    <t>Yahoo!Finance</t>
  </si>
  <si>
    <t>Book</t>
  </si>
  <si>
    <t>Forward EPS (E)</t>
  </si>
  <si>
    <t>Company</t>
  </si>
  <si>
    <t>D/E Ratio</t>
  </si>
  <si>
    <t>Tax Rate</t>
  </si>
  <si>
    <t>P/E ratio</t>
  </si>
  <si>
    <t>Projected EPS growth rate (g)</t>
  </si>
  <si>
    <t>LSEG&gt;Estmates&gt;Recommendations &amp; Target Price</t>
  </si>
  <si>
    <t>Implied required return on equity (Re)</t>
  </si>
  <si>
    <t>Forward (Bf)</t>
  </si>
  <si>
    <t>Historical (Bh)</t>
  </si>
  <si>
    <t>Average Beta</t>
  </si>
  <si>
    <t>Comperable Beta</t>
  </si>
  <si>
    <t>Calculation</t>
  </si>
  <si>
    <t xml:space="preserve">Relevered </t>
  </si>
  <si>
    <t>Cost of Equity:</t>
  </si>
  <si>
    <t>Historic equity risk premium</t>
  </si>
  <si>
    <t>Using Forward Beta</t>
  </si>
  <si>
    <t>Using Historic Beta</t>
  </si>
  <si>
    <t>Weighted COE</t>
  </si>
  <si>
    <t>Market COE (beta = 1)</t>
  </si>
  <si>
    <t>USD</t>
  </si>
  <si>
    <t>COMPARABLE COMPANY ANALYSIS</t>
  </si>
  <si>
    <t>COMPANY DATA</t>
  </si>
  <si>
    <t>(in millions)</t>
  </si>
  <si>
    <t>Recent</t>
  </si>
  <si>
    <t>52 week</t>
  </si>
  <si>
    <t>Shares</t>
  </si>
  <si>
    <t>Market</t>
  </si>
  <si>
    <t>Total</t>
  </si>
  <si>
    <t>Enterprise</t>
  </si>
  <si>
    <t>WS 12-mo</t>
  </si>
  <si>
    <t>Company Name</t>
  </si>
  <si>
    <t>Ticker</t>
  </si>
  <si>
    <t>Price</t>
  </si>
  <si>
    <t>High</t>
  </si>
  <si>
    <t>Out</t>
  </si>
  <si>
    <t>Cap</t>
  </si>
  <si>
    <t>Debt</t>
  </si>
  <si>
    <t>Cash</t>
  </si>
  <si>
    <t>Value</t>
  </si>
  <si>
    <t>Price Target</t>
  </si>
  <si>
    <t/>
  </si>
  <si>
    <t>I/B/E/S  ESTIMATES</t>
  </si>
  <si>
    <t>SALES</t>
  </si>
  <si>
    <t>EPS</t>
  </si>
  <si>
    <t>EBIT</t>
  </si>
  <si>
    <t>EBITDA</t>
  </si>
  <si>
    <t>EPS 5-yr</t>
  </si>
  <si>
    <t>Last FY</t>
  </si>
  <si>
    <t>FYR1</t>
  </si>
  <si>
    <t>FYR2</t>
  </si>
  <si>
    <t>FYR3</t>
  </si>
  <si>
    <t>Growth %</t>
  </si>
  <si>
    <t>Not available</t>
  </si>
  <si>
    <t>VALUATION MULTIPLES</t>
  </si>
  <si>
    <t xml:space="preserve">Price / </t>
  </si>
  <si>
    <t>Price/Sales</t>
  </si>
  <si>
    <t>P/E</t>
  </si>
  <si>
    <t>PEG</t>
  </si>
  <si>
    <t>EV/EBITDA</t>
  </si>
  <si>
    <t>Average</t>
  </si>
  <si>
    <t>Median</t>
  </si>
  <si>
    <t>ws.OperatingProfitMargin[ws.cpa]</t>
  </si>
  <si>
    <t>ws.AssetTurnover[ws.cpa]</t>
  </si>
  <si>
    <t>ws.InventoryTurnover[ws.cpa]</t>
  </si>
  <si>
    <t>ws.ReceivablesTurnover[ws.cpa]</t>
  </si>
  <si>
    <t>ws.TotalDebtPctCommonEquity[ws.cpa]</t>
  </si>
  <si>
    <t>ws.LTDebtPctCommonEquity[ws.cpa]</t>
  </si>
  <si>
    <t>ws.LTDebtPctTotalCapital[ws.cpa]</t>
  </si>
  <si>
    <t>ws.QuickRatio[ws.cpa]</t>
  </si>
  <si>
    <t>ws.CurrentRatio[ws.cpa]</t>
  </si>
  <si>
    <t>RATIO ANALYSIS</t>
  </si>
  <si>
    <t>Gross</t>
  </si>
  <si>
    <t>Operating</t>
  </si>
  <si>
    <t>Asset</t>
  </si>
  <si>
    <t>Inventory</t>
  </si>
  <si>
    <t>Receivables</t>
  </si>
  <si>
    <t>Quick</t>
  </si>
  <si>
    <t>Current</t>
  </si>
  <si>
    <t>Interest</t>
  </si>
  <si>
    <t>Margin</t>
  </si>
  <si>
    <t>ROA</t>
  </si>
  <si>
    <t>ROE</t>
  </si>
  <si>
    <t>Turnvover</t>
  </si>
  <si>
    <t>Debt/E</t>
  </si>
  <si>
    <t>LTD/TC</t>
  </si>
  <si>
    <t>Ratio</t>
  </si>
  <si>
    <t>Coverage</t>
  </si>
  <si>
    <t>GD</t>
  </si>
  <si>
    <t>LMT</t>
  </si>
  <si>
    <t>RTX</t>
  </si>
  <si>
    <t>NOC</t>
  </si>
  <si>
    <t>LHX</t>
  </si>
  <si>
    <t>Lockheed Martin Corp</t>
  </si>
  <si>
    <t>RTX Corp</t>
  </si>
  <si>
    <t>Northrop Grumman Corp</t>
  </si>
  <si>
    <t>L3Harris Technologies Inc</t>
  </si>
  <si>
    <t>General Dynamics Corp</t>
  </si>
  <si>
    <t>General Dynamics</t>
  </si>
  <si>
    <t>share price</t>
  </si>
  <si>
    <t>total shares</t>
  </si>
  <si>
    <t>Valuation Date:</t>
  </si>
  <si>
    <t>Scenario Switchboard</t>
  </si>
  <si>
    <t>Company Name:</t>
  </si>
  <si>
    <t>Sector:</t>
  </si>
  <si>
    <t>Revenue &amp; Operating Expenses</t>
  </si>
  <si>
    <t>Industry:</t>
  </si>
  <si>
    <t>Rating:</t>
  </si>
  <si>
    <t>Current Price</t>
  </si>
  <si>
    <t>Valuation Price</t>
  </si>
  <si>
    <t>12-month Valuation Price</t>
  </si>
  <si>
    <t>Valuation Appreciation</t>
  </si>
  <si>
    <t>12-mo Valuation Appreciation</t>
  </si>
  <si>
    <t>Scenario Key</t>
  </si>
  <si>
    <t>Dividend Yield</t>
  </si>
  <si>
    <t>Bull</t>
  </si>
  <si>
    <t>Total Valuation Appreciation</t>
  </si>
  <si>
    <t>Base</t>
  </si>
  <si>
    <t>Bear</t>
  </si>
  <si>
    <t>GENERAL DYNAMICS Corporation</t>
  </si>
  <si>
    <t>Industrials — Aerospace &amp; Defense</t>
  </si>
  <si>
    <t>Aerospace &amp; Defense</t>
  </si>
  <si>
    <t>NYSE: GD</t>
  </si>
  <si>
    <r>
      <t>b</t>
    </r>
    <r>
      <rPr>
        <vertAlign val="subscript"/>
        <sz val="11"/>
        <color theme="0"/>
        <rFont val="Calibri (Body)"/>
      </rPr>
      <t>U</t>
    </r>
    <r>
      <rPr>
        <sz val="11"/>
        <color theme="0"/>
        <rFont val="Aptos Narrow"/>
        <family val="2"/>
        <scheme val="minor"/>
      </rPr>
      <t xml:space="preserve"> = </t>
    </r>
    <r>
      <rPr>
        <sz val="11"/>
        <color theme="0"/>
        <rFont val="Aptos Narrow"/>
        <family val="1"/>
        <charset val="2"/>
        <scheme val="minor"/>
      </rPr>
      <t>b</t>
    </r>
    <r>
      <rPr>
        <vertAlign val="subscript"/>
        <sz val="11"/>
        <color theme="0"/>
        <rFont val="Calibri (Body)"/>
      </rPr>
      <t xml:space="preserve">L / </t>
    </r>
    <r>
      <rPr>
        <sz val="11"/>
        <color theme="0"/>
        <rFont val="Aptos Narrow"/>
        <family val="2"/>
        <scheme val="minor"/>
      </rPr>
      <t>(1+ ((1-t)D/E))</t>
    </r>
  </si>
  <si>
    <r>
      <t>b</t>
    </r>
    <r>
      <rPr>
        <vertAlign val="subscript"/>
        <sz val="11"/>
        <color theme="0"/>
        <rFont val="Calibri (Body)"/>
      </rPr>
      <t>L</t>
    </r>
    <r>
      <rPr>
        <sz val="11"/>
        <color theme="0"/>
        <rFont val="Aptos Narrow"/>
        <family val="2"/>
        <scheme val="minor"/>
      </rPr>
      <t xml:space="preserve"> = </t>
    </r>
    <r>
      <rPr>
        <sz val="11"/>
        <color theme="0"/>
        <rFont val="Aptos Narrow"/>
        <family val="1"/>
        <charset val="2"/>
        <scheme val="minor"/>
      </rPr>
      <t>b</t>
    </r>
    <r>
      <rPr>
        <sz val="11"/>
        <color theme="0"/>
        <rFont val="Aptos Narrow"/>
        <family val="2"/>
        <scheme val="minor"/>
      </rPr>
      <t>u (1+ ((1-t)D/E))</t>
    </r>
  </si>
  <si>
    <t xml:space="preserve"> </t>
  </si>
  <si>
    <t>Projection Assumptions</t>
  </si>
  <si>
    <t>Gulfstream deliveries: 3% growth in 2026E tapering to 1% by 2030–31E. Supported by strong backlog ($21.8B in 2025) and management guidance for ~158 deliveries in 2025 with continued ramp. Growth decelerates as delivery ramp matures and approaches steady-state production capacity.</t>
  </si>
  <si>
    <t>ASP per aircraft: 3% annual price escalation in 2026E, stepping up to 4% from 2029E onward. Reflects Gulfstream's historical pricing power (2021–2025 implied ASP CAGR ~4.8%) and premium market positioning. Conservative vs. historical given mix normalization as new models ramp.</t>
  </si>
  <si>
    <t>Aircraft mfg. revenue: Derived as deliveries × ASP. No independent assumption — flows from the unit and pricing drivers above.</t>
  </si>
  <si>
    <t>Aircraft services: 5% annual growth throughout projection. Historical growth volatile (8–18%) driven by expanding installed fleet and recurring aftermarket demand. 5% is a moderated steady-state assumption reflecting fleet growth net of cycle normalization.</t>
  </si>
  <si>
    <t>Aerospace Operating Earnings: Derived from operating margin × total segment revenue.</t>
  </si>
  <si>
    <t>Aerospace Operating Margin: 13.5% in 2026E, rising to 14% by 2028E and held flat thereafter. 2026 management forward guidance is ~14% operating margin. Tapered entry from 13.0% actual in 2024 / 13.3% in 2025 reflects gradual margin expansion as Gulfstream production ramp yields operating leverage. Historical range: 12.7–13.7%.</t>
  </si>
  <si>
    <t>Submarine revenue: 10% growth in 2026E, tapering to 5% by 2031E. Driven by Columbia-class SSBN production ramp and Virginia-class Block V orders. Backlog of $52.3B (2025) provides multi-year visibility. Growth decelerates as Columbia production stabilizes.</t>
  </si>
  <si>
    <t>Surface ships: 4% annual growth held flat. Reflects steady DDG-51 and DDG(X) program contributions. Historical growth volatile (4–10%); 4% is conservative given stable Navy shipbuilding budget expectations.</t>
  </si>
  <si>
    <t>Repair &amp; other services: 2% annual growth. Stable recurring maintenance and modernization work on the existing fleet. Historical range volatile (-3% to +8%); 2% reflects normalized sustainment demand.</t>
  </si>
  <si>
    <t>Marine Operating Earnings: Derived from operating margin × total segment revenue.</t>
  </si>
  <si>
    <t>Marine Operating Margin: 7.3% in 2026E per management guidance (~7.3%), rising modestly to 7.4% in 2028E+. Historically compressed (7.0–8.3%) due to cost-plus contract mix in submarine programs. Limited margin expansion expected given program mix and Navy pricing dynamics.</t>
  </si>
  <si>
    <t>Military vehicles: 2% annual growth. Reflects steady Abrams tank and Stryker vehicle production. Historical growth volatile (-2.5% to +10%); 2% is a conservative steady-state reflecting stable but not accelerating Army procurement budgets.</t>
  </si>
  <si>
    <t>Combat Operating Margin: 14.1% in 2026E per management guidance (~14.1%), rising to 14.2–14.3% by 2028–30E. Reflects strong mix shift toward higher-margin munitions and engineering services. Historical range: 13.9–14.8%. Modest expansion assumed as higher-margin revenue lines grow faster.</t>
  </si>
  <si>
    <t>IT services: 3.4% annual growth (held at 3-yr historical average of 2022–2025). Reflects steady federal IT modernization spend and GDIT contract wins. Formula uses =AVERAGE of prior 3 years’ growth rates. Conservative given large contract base and competitive rebid dynamics.</t>
  </si>
  <si>
    <t>C5ISR solutions: 1% annual growth. Historical growth volatile (-2% to +4%); 1% reflects a maturing product cycle with stable but not expanding intelligence/surveillance programs. Below-average growth assumed due to potential program transitions.</t>
  </si>
  <si>
    <t>Technologies Operating Margin: 9.2% in 2026E per management guidance (~9.2%), rising to 9.3–9.4% by 2028–30E. Historical range: 9.3–10.2%. Near-term margin compression from GDIT integration costs and competitive pricing, with gradual recovery as contract mix improves.</t>
  </si>
  <si>
    <t>CONSOLIDATED REVENUE &amp; EARNINGS</t>
  </si>
  <si>
    <t>Aerospace revenue: Sum of aircraft manufacturing + services. Flows from bottom-up drivers above.</t>
  </si>
  <si>
    <t>Marine Systems revenue: Sum of submarines + surface ships + repair services. Flows from sub-segment growth rates above.</t>
  </si>
  <si>
    <t>Combat Systems revenue: Sum of military vehicles + weapons + engineering. Flows from sub-segment growth rates above.</t>
  </si>
  <si>
    <t>Technologies revenue: Sum of IT services + C5ISR. Flows from sub-segment growth rates above.</t>
  </si>
  <si>
    <t>Total consolidated revenue: Sum of four segments. No intercompany eliminations modeled (historically immaterial).</t>
  </si>
  <si>
    <t>Corporate expense: Held flat at -$160M for projection years. Historical range: -$84M to -$175M. Conservative flat assumption; no significant change in corporate overhead structure expected.</t>
  </si>
  <si>
    <t>Consolidated operating margin: Derived (total operating earnings / total revenue). Projects ~10.2–10.6% over forecast, gradually expanding from 10.2% (2025) as segment margins improve. Consistent with management’s stated goal of margin expansion.</t>
  </si>
  <si>
    <t>Product revenue: Linked from Revenue model. Sum of aircraft mfg, submarine, surface ships, military vehicles, and weapons systems revenue across all four segments.</t>
  </si>
  <si>
    <t>Service revenue: Linked from Revenue model. Sum of aircraft services, marine repair, combat engineering, IT services, and C5ISR across all four segments.</t>
  </si>
  <si>
    <t>Product COGS: Allocated as a share of total OpEx (excl. G&amp;A) using the 2025 actual product-to-service COGS split ratio (~62.8%/37.2%). Assumes product vs. service cost mix remains stable. Historically stable at 48–53% of revenue.</t>
  </si>
  <si>
    <t>Service COGS: Remainder of total OpEx (excl. G&amp;A) after product COGS allocation. Same split methodology as products. Historically stable at 31–35% of revenue.</t>
  </si>
  <si>
    <t>G&amp;A expense: Projected as a % of revenue using the 2025 actual G&amp;A-to-revenue ratio (~4.9%), rounded. Historical range: 4.9–5.8% of revenue. Declining trend reflects operating leverage as revenue scales faster than corporate overhead.</t>
  </si>
  <si>
    <t>Other, net: Flat at $50M for all projection years. Historical range volatile ($61–$189M) including gains/losses on investments and other non-operating items. $50M is a conservative normalized estimate below the 2021–2025 average of ~$97M.</t>
  </si>
  <si>
    <t>Interest expense, net: Linked from Schedules debt schedule. Calculated as weighted-average interest rate × average total debt balance. Rate held at ~4.1–4.25% reflecting blended coupon on existing fixed-rate notes plus new issuances.</t>
  </si>
  <si>
    <t>Income tax provision: Projected using 2025 effective tax rate (~17.5%) held constant. Historical range: 15.9–17.5%. The 2025 rate is used as the best current estimate; no significant tax law changes assumed. Applied as EBT × (tax provision / EBT from 2025).</t>
  </si>
  <si>
    <t>Accounts receivable: Projected using DSO of 17 days (held flat). Historical DSO ranged 17–29 days; 17 days matches 2025 actual and reflects GD’s efficient collections on government contracts with predictable payment cycles.</t>
  </si>
  <si>
    <t>Unbilled receivables: Projected at 16% of revenue (held flat). Historical range: 16–22% of revenue. 2025 actual of 15.9% used as baseline. Reflects contract revenue recognition timing on long-duration defense programs.</t>
  </si>
  <si>
    <t>Inventories: Projected using DSI of 75 days (held flat). Historical DSI ranged 61–88 days; 75 days reflects 2025 actual and normalized inventory levels after the 2023–2024 Gulfstream production ramp build-up.</t>
  </si>
  <si>
    <t>Other current assets: Projected at 4.0% of revenue (held flat). Historical range: 3.6–5.0%. Stable relationship to revenue; includes prepaid expenses and other miscellaneous current items.</t>
  </si>
  <si>
    <t>Intangible assets, net: Annual amortization of -$150M (held flat). Historical annual decline ranged -$136M to -$168M. Reflects steady amortization of acquired intangibles from CSRA acquisition with no significant new acquisitions assumed.</t>
  </si>
  <si>
    <t>Goodwill: Held flat at $21,009M (2025 level). No impairments or acquisitions assumed. Goodwill primarily from 2018 CSRA acquisition ($9.7B) and historical deals. Would only change with M&amp;A activity.</t>
  </si>
  <si>
    <t>Other noncurrent assets: Held flat at $3,092M (2025 level). Includes operating lease ROU assets, deferred tax assets, and other long-term items. Stable historical trajectory with no specific growth driver identified.</t>
  </si>
  <si>
    <t>Short-term debt: Current portion of LTD from debt maturity schedule. Equals notes maturing within 12 months per 2025 10-K Note K debt maturity detail. Linked from Schedules debt schedule.</t>
  </si>
  <si>
    <t>Accounts payable: Projected using DPO of 22 days (held flat). Historical DPO ranged 22–38 days; 22 days matches 2025 actual. Reflects GD’s disciplined payables management and shorter payment cycles typical of defense primes.</t>
  </si>
  <si>
    <t>Customer advances &amp; deposits: Projected at ~19.3% of revenue (5-yr historical average). Historical range: 16.3–22.6%. Reflects advance payments received on large defense contracts, particularly submarines and combat vehicles. Averaged to smooth volatility.</t>
  </si>
  <si>
    <t>Other current liabilities: Projected at 6.0% of revenue (held flat). Historical range: 6.3–9.2%; 6.0% is slightly below historical average reflecting normalization of accrued compensation and other current obligations.</t>
  </si>
  <si>
    <t>Long-term debt: Linked from Schedules debt schedule. Reflects total debt book value less current portion. New issuances of $1,650M/yr in 2026–28E and $1,000–1,600M/yr thereafter to maintain target D/V ratio of ~24%.</t>
  </si>
  <si>
    <t>Other noncurrent liabilities: Held flat at $7,824M (2025 level). Includes pension obligations, deferred revenue (noncurrent), and other long-term liabilities. Pension obligations expected to remain stable given GD’s funded status.</t>
  </si>
  <si>
    <t>Common stock: Held flat at $482M. Par value of common shares; does not change with repurchases.</t>
  </si>
  <si>
    <t>Surplus (APIC): Grows by $340M/yr reflecting annual stock-based compensation expense. Historical SBC ranged $204–$341M; $340M is consistent with recent trend and reflects ongoing equity compensation programs.</t>
  </si>
  <si>
    <t>Retained earnings: Beginning balance + net earnings – dividends. Dividends grow 5% annually from 2025 base ($1,617M), reflecting GD’s consistent dividend growth track record (increased for 27+ consecutive years).</t>
  </si>
  <si>
    <t>Treasury stock: $1,500M annual share repurchases assumed. Historical buybacks volatile ($333M–$1,856M); $1,500M reflects management’s stated commitment to returning capital via repurchases. Share count declines ~1.7% annually at projected prices.</t>
  </si>
  <si>
    <t>AOCI: Gradual recovery toward zero. +$100M/yr in 2026–28E, then +$50M/yr. Reflects expected improvement in pension-related AOCI as interest rates normalize and pension funded status improves. Historical swings large ($+1,035M to -$359M).</t>
  </si>
  <si>
    <t>Disposals: Zero assumed for projection years (except $1 in 2031E as placeholder). Historical disposals small and irregular ($0–$160M); immaterial to the PP&amp;E rollforward and conservatively excluded.</t>
  </si>
  <si>
    <t>Implied useful life: Derived (gross PP&amp;E / depreciation). Rises gradually from ~24.5 to ~27.4 years reflecting growing PP&amp;E base relative to stable depreciation rates.</t>
  </si>
  <si>
    <t>Individual note balances: Based on actual outstanding notes from GD 2024/2025 10-K filings. Each note matures per its stated maturity date (balances go to zero in maturity year). 1.150% and 2.125% notes matured in 2026E; 3.500% and 2.625% notes mature in 2027E, etc.</t>
  </si>
  <si>
    <t>Unamortized costs: Gradually declining from -$55 to -$25 as older notes mature and issuance costs amortize. Approximated based on historical trend.</t>
  </si>
  <si>
    <t>New issuances: $1,650M/yr in 2026–28E, stepping down to $1,000–1,600M/yr in 2029–31E. Sized to maintain target D/V ratio of ~24% as equity grows from retained earnings. Consistent with GD's historical pattern of periodic bond issuances to manage capital structure.</t>
  </si>
  <si>
    <t>Repayments: Driven by maturing notes per the note detail above. No early repayments assumed.</t>
  </si>
  <si>
    <t>Short-term debt (current portion): Equals sum of notes maturing within 12 months. Linked from the note maturity schedule above.</t>
  </si>
  <si>
    <t>Long-term debt: Total debt book value minus current portion.</t>
  </si>
  <si>
    <t>Weighted-avg interest rate: 4.11% in 2026E (carried from 2025 actual), stepping up to 4.25% from 2027E onward. Reflects blended coupon on existing fixed-rate notes (~3.0–4.95%) plus new issuances assumed at higher current market rates (~4.5–5.0%).</t>
  </si>
  <si>
    <t>Average total debt: Simple average of beginning and ending debt book values for each year.</t>
  </si>
  <si>
    <t>Interest expense: Wtd. avg. rate × avg. total debt. Links to Income statement interest, net line. Historical interest ranged $314–$424M; rises over projection as total debt grows.</t>
  </si>
  <si>
    <t>DSO: 17 days (held flat). Historical range: 17–29 days. 2025 actual was 16.7 days, the lowest in the period. 17 days reflects GD's efficient collections on government contracts with predictable payment cycles. Conservative rounding up from 2025.</t>
  </si>
  <si>
    <t>DSI: 75 days (held flat). Historical range: 61–88 days. 2025 actual was 75.6 days. Reflects normalized inventory levels after the Gulfstream production ramp build-up in 2023–24 (which peaked at 88 days).</t>
  </si>
  <si>
    <t>DPO: 22 days (held flat). Historical range: 22–38 days. 2025 actual was 21.9 days, the lowest in the period. Reflects GD's disciplined payables management and shorter payment cycles typical of defense primes.</t>
  </si>
  <si>
    <t>CCC: 70 days (derived: DSO + DSI – DPO). Stable throughout projection reflecting flat efficiency ratios. Historical CCC ranged 54–82 days.</t>
  </si>
  <si>
    <t>Accounts receivable: = DSO / 365 × total revenue. Linked to Balance sheet.</t>
  </si>
  <si>
    <t>Inventories: = DSI / 365 × total COGS. Linked to Balance sheet.</t>
  </si>
  <si>
    <t>Accounts payable: = DPO / 365 × total COGS. Linked to Balance sheet.</t>
  </si>
  <si>
    <t>SHAREHOLDERS' EQUITY SCHEDULE</t>
  </si>
  <si>
    <t>Share price: Grows annually at the cost of equity rate (from Ke sheet). Used to estimate shares retired from repurchases.</t>
  </si>
  <si>
    <t>Shares outstanding: Derived from beginning shares plus shares repurchased (repurchase amount / share price). Declines ~1.7% annually.</t>
  </si>
  <si>
    <t>Stock-based compensation: $340M annually. Historical SBC ranged $204–$341M. $340M is at the top of historical range, reflecting GD's growing equity compensation programs and competitive hiring in the defense sector. Held flat as a simplification.</t>
  </si>
  <si>
    <t>Marine submarine growth: 10% in 2026E tapering to 5% by 2031E. See row 23 for detail.</t>
  </si>
  <si>
    <t>Marine surface ships growth: 4% annual. See row 24 for detail.</t>
  </si>
  <si>
    <t>Marine repair services growth: 2% annual. See row 25 for detail.</t>
  </si>
  <si>
    <t>sensitivity</t>
  </si>
  <si>
    <t>bull</t>
  </si>
  <si>
    <t>base</t>
  </si>
  <si>
    <t>bear</t>
  </si>
  <si>
    <t>IT op .margin</t>
  </si>
  <si>
    <t>IT revenue</t>
  </si>
  <si>
    <t>Marine revenue</t>
  </si>
  <si>
    <t>Marine op.margin</t>
  </si>
  <si>
    <t>Combat revenue</t>
  </si>
  <si>
    <t>Combat op.margin</t>
  </si>
  <si>
    <t xml:space="preserve">   DoD Budget YoY Growth</t>
  </si>
  <si>
    <t>DoD budget YoY growth: FY2021–2026 based on enacted NDAA levels. FY2027–2031E estimated at ~4% nominal (CBO baseline: 0.9% real + ~3% inflation). Note: $1.5T FY2027 proposal, if enacted, would represent ~66% increase.</t>
  </si>
  <si>
    <t xml:space="preserve">   GD Defense Revenue YoY Growth</t>
  </si>
  <si>
    <t>GD defense revenue growth: YoY growth of Marine + Combat + Technologies (excludes Aerospace, which is largely commercial Gulfstream). Comparable to DoD budget growth for assessing whether GD's defense segments are outpacing government spending.</t>
  </si>
  <si>
    <t xml:space="preserve">   D&amp;A as % of Avg Gross PP&amp;E</t>
  </si>
  <si>
    <t>Depreciation: Projected at 4.5% of average gross PP&amp;E (beginning + ending / 2). Historical range: 4.5–4.7%. Per professor feedback, depreciation is better estimated as % of PP&amp;E rather than revenue since it's the PP&amp;E that is depreciating. Implied useful life stabilizes at ~23 years.</t>
  </si>
  <si>
    <t>Dividends: 40% payout ratio of net income. Historical payout ratio ranged 38–44% (5-yr avg ~41%). Per professor feedback, payout ratio is a better assumption than fixed YoY growth since it ties dividends to earnings capacity rather than an arbitrary growth rate. GD has increased dividends for 27+ consecutive years.</t>
  </si>
  <si>
    <t>PP&amp;E, net: Linked from Schedules PP&amp;E schedule. Driven by CapEx at 2.2% of revenue and D&amp;A at 4.5% of average gross PP&amp;E. See Schedules sheet for detailed rollforward.</t>
  </si>
  <si>
    <t>OCI: Held constant at 2025 level (-$483M) per professor feedback. Historical swings large and volatile (+$1,035M to -$359M); too unpredictable to forecast. No change assumed.</t>
  </si>
  <si>
    <t>Share repurchases: Gradually increasing from $1,500M (2026) to $2,500M (2031) in $200M annual increments. Historical buybacks ranged $333M–$1,856M. Ramp reflects management's commitment to returning excess cash to shareholders as earnings and FCF grow, preventing excessive cash accumulation on the balance sheet.</t>
  </si>
  <si>
    <t>new shares</t>
  </si>
  <si>
    <t>added back to total shares</t>
  </si>
  <si>
    <t xml:space="preserve">   D/E Ratio (Total Debt / Equity)</t>
  </si>
  <si>
    <t>D/E ratio: Simple Debt / Equity. Historical and projected. Total Debt from balance sheet classification divided by Total Shareholders' Equity.</t>
  </si>
  <si>
    <t>General dynamics corporation</t>
  </si>
  <si>
    <t>Weapons systems &amp; munitions: 7% annual growth (2027E+). Driven by sustained global ammunition restocking cycle post-Ukraine conflict and elevated allied nation replenishment orders. Multi-year demand cycle supported by historically low inventory levels. 2026E at 5.5% per guidance.</t>
  </si>
  <si>
    <t>Engineering &amp; other services: 15% annual growth (2027E+). Strong but moderated from 18% to reflect more sustainable long-term trajectory as European programs transition from engineering to production. Supported by Combat Systems book-to-bill of 2.1x and $27.2B backlog. 2026E at 18% per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</si>
</sst>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#,##0.00_);[Red]\(&quot;$&quot;#,##0.00\)"/>
    <numFmt numFmtId="164" formatCode="#,##0;\(#,##0\);\-"/>
    <numFmt numFmtId="165" formatCode="&quot;$&quot;#,##0.00"/>
    <numFmt numFmtId="166" formatCode="0.0%"/>
    <numFmt numFmtId="167" formatCode="0.0\x"/>
    <numFmt numFmtId="168" formatCode="#,##0;\(#,##0\);&quot;-&quot;"/>
    <numFmt numFmtId="169" formatCode="0.0&quot;d&quot;"/>
    <numFmt numFmtId="170" formatCode="m/d/yy;@"/>
    <numFmt numFmtId="171" formatCode="_([$$-409]* #,##0.00_);_([$$-409]* \(#,##0.00\);_([$$-409]* &quot;-&quot;??_);_(@_)"/>
    <numFmt numFmtId="172" formatCode="_ * #,##0.00_ ;_ * \-#,##0.00_ ;_ * &quot;-&quot;??_ ;_ @_ "/>
    <numFmt numFmtId="173" formatCode="_(* #,##0.0_);_(* \(#,##0.0\);_(* &quot;-&quot;??_);_(@_)"/>
    <numFmt numFmtId="174" formatCode="&quot;$&quot;#,##0"/>
    <numFmt numFmtId="175" formatCode="0.00\x"/>
    <numFmt numFmtId="176" formatCode="_ &quot;₹&quot;\ * #,##0.00_ ;_ &quot;₹&quot;\ * \-#,##0.00_ ;_ &quot;₹&quot;\ * &quot;-&quot;??_ ;_ @_ "/>
    <numFmt numFmtId="177" formatCode="0.0"/>
    <numFmt numFmtId="178" formatCode="0.000"/>
    <numFmt numFmtId="179" formatCode="#,##0.00;\(#,##0.00\);&quot;-&quot;"/>
  </numFmts>
  <fonts count="74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sz val="10"/>
      <color theme="1"/>
      <name val="Calibri"/>
    </font>
    <font>
      <sz val="10"/>
      <color rgb="FF0000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666666"/>
      <name val="Calibri"/>
    </font>
    <font>
      <sz val="11"/>
      <color rgb="FF999999"/>
      <name val="Aptos Narrow"/>
      <family val="2"/>
      <scheme val="minor"/>
    </font>
    <font>
      <b/>
      <sz val="11"/>
      <color rgb="FFFFFFFF"/>
      <name val="Calibri"/>
    </font>
    <font>
      <sz val="11"/>
      <color rgb="FF0000FF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vertAlign val="subscript"/>
      <sz val="11"/>
      <color theme="1"/>
      <name val="Calibri (Body)"/>
    </font>
    <font>
      <vertAlign val="subscript"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name val="Times New Roman"/>
      <family val="1"/>
    </font>
    <font>
      <sz val="12"/>
      <color theme="1"/>
      <name val="Helvetica"/>
      <family val="2"/>
    </font>
    <font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</font>
    <font>
      <i/>
      <sz val="10"/>
      <color rgb="FF666666"/>
      <name val="Calibri"/>
    </font>
    <font>
      <i/>
      <sz val="10"/>
      <color rgb="FF000000"/>
      <name val="Calibri"/>
    </font>
    <font>
      <b/>
      <sz val="14"/>
      <color rgb="FF003366"/>
      <name val="Calibri"/>
    </font>
    <font>
      <b/>
      <sz val="11"/>
      <color rgb="FF000000"/>
      <name val="Calibri"/>
    </font>
    <font>
      <b/>
      <sz val="10"/>
      <color rgb="FF003366"/>
      <name val="Calibri"/>
    </font>
    <font>
      <b/>
      <i/>
      <sz val="10"/>
      <color rgb="FF000000"/>
      <name val="Calibri"/>
    </font>
    <font>
      <sz val="10"/>
      <color rgb="FFFFFFFF"/>
      <name val="Calibri"/>
    </font>
    <font>
      <sz val="14"/>
      <color rgb="FF000000"/>
      <name val="Calibri"/>
    </font>
    <font>
      <b/>
      <sz val="11"/>
      <color rgb="FF003366"/>
      <name val="Calibri"/>
    </font>
    <font>
      <b/>
      <sz val="10"/>
      <color rgb="FF0000FF"/>
      <name val="Calibri"/>
    </font>
    <font>
      <b/>
      <sz val="10"/>
      <color rgb="FF1F3864"/>
      <name val="Calibri"/>
    </font>
    <font>
      <b/>
      <sz val="10"/>
      <color theme="0"/>
      <name val="Calibri"/>
    </font>
    <font>
      <sz val="11"/>
      <color rgb="FF000000"/>
      <name val="Calibri"/>
    </font>
    <font>
      <u/>
      <sz val="10"/>
      <color rgb="FF000000"/>
      <name val="Calibri"/>
    </font>
    <font>
      <b/>
      <sz val="12"/>
      <color rgb="FF003366"/>
      <name val="Calibri"/>
    </font>
    <font>
      <sz val="14"/>
      <color theme="1"/>
      <name val="Calibri"/>
    </font>
    <font>
      <b/>
      <sz val="14"/>
      <color rgb="FFFFFFFF"/>
      <name val="Calibri"/>
    </font>
    <font>
      <b/>
      <i/>
      <sz val="14"/>
      <color rgb="FF808080"/>
      <name val="Calibri"/>
    </font>
    <font>
      <b/>
      <sz val="22"/>
      <color rgb="FF003366"/>
      <name val="Calibri"/>
    </font>
    <font>
      <i/>
      <sz val="12"/>
      <color rgb="FF666666"/>
      <name val="Calibri"/>
    </font>
    <font>
      <sz val="11"/>
      <color rgb="FF333333"/>
      <name val="Calibri"/>
    </font>
    <font>
      <b/>
      <sz val="12"/>
      <color rgb="FF000000"/>
      <name val="Calibri"/>
    </font>
    <font>
      <b/>
      <sz val="12"/>
      <color rgb="FF006100"/>
      <name val="Calibri"/>
    </font>
    <font>
      <sz val="12"/>
      <color rgb="FF000000"/>
      <name val="Calibri"/>
    </font>
    <font>
      <b/>
      <i/>
      <sz val="11"/>
      <color rgb="FF003366"/>
      <name val="Calibri"/>
    </font>
    <font>
      <b/>
      <sz val="10"/>
      <color rgb="FF333333"/>
      <name val="Calibri"/>
    </font>
    <font>
      <sz val="10"/>
      <color rgb="FF003366"/>
      <name val="Calibri"/>
    </font>
    <font>
      <vertAlign val="subscript"/>
      <sz val="11"/>
      <color theme="0"/>
      <name val="Calibri (Body)"/>
    </font>
    <font>
      <sz val="11"/>
      <color theme="0"/>
      <name val="Aptos Narrow"/>
      <family val="1"/>
      <charset val="2"/>
      <scheme val="minor"/>
    </font>
    <font>
      <b/>
      <sz val="10"/>
      <color theme="0"/>
      <name val="Calibri"/>
      <family val="2"/>
    </font>
    <font>
      <sz val="10"/>
      <color rgb="FF002060"/>
      <name val="Calibri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000000"/>
      <name val="Calibri"/>
      <family val="2"/>
    </font>
    <font>
      <i/>
      <sz val="10"/>
      <color rgb="FF002060"/>
      <name val="Calibri"/>
      <family val="2"/>
    </font>
    <font>
      <i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u/>
      <sz val="10"/>
      <color rgb="FFFFFFFF"/>
      <name val="Calibri"/>
    </font>
    <font>
      <b/>
      <u/>
      <sz val="11"/>
      <color theme="1"/>
      <name val="Aptos Narrow"/>
      <family val="2"/>
      <scheme val="minor"/>
    </font>
    <font>
      <b/>
      <sz val="10"/>
      <color rgb="FF666666"/>
      <name val="Calibri"/>
      <family val="2"/>
    </font>
    <font>
      <sz val="11"/>
      <color theme="1"/>
      <name val="Calibri"/>
      <family val="2"/>
    </font>
    <font>
      <sz val="10"/>
      <color rgb="FF333333"/>
      <name val="Calibri"/>
      <family val="2"/>
    </font>
    <font>
      <b/>
      <sz val="11"/>
      <color theme="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13A81"/>
        <bgColor indexed="64"/>
      </patternFill>
    </fill>
    <fill>
      <patternFill patternType="solid">
        <fgColor rgb="FFA8996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13A81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CE6F1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FFFDE8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rgb="FF003366"/>
      </left>
      <right/>
      <top style="medium">
        <color rgb="FF003366"/>
      </top>
      <bottom/>
      <diagonal/>
    </border>
    <border>
      <left/>
      <right style="medium">
        <color rgb="FF003366"/>
      </right>
      <top style="medium">
        <color rgb="FF003366"/>
      </top>
      <bottom/>
      <diagonal/>
    </border>
    <border>
      <left style="medium">
        <color rgb="FF003366"/>
      </left>
      <right/>
      <top style="thin">
        <color rgb="FFB2B2B2"/>
      </top>
      <bottom/>
      <diagonal/>
    </border>
    <border>
      <left/>
      <right style="medium">
        <color rgb="FF003366"/>
      </right>
      <top style="thin">
        <color rgb="FFB2B2B2"/>
      </top>
      <bottom/>
      <diagonal/>
    </border>
    <border>
      <left style="medium">
        <color rgb="FF003366"/>
      </left>
      <right/>
      <top style="thin">
        <color rgb="FFB2B2B2"/>
      </top>
      <bottom style="medium">
        <color rgb="FF003366"/>
      </bottom>
      <diagonal/>
    </border>
    <border>
      <left/>
      <right style="medium">
        <color rgb="FF003366"/>
      </right>
      <top style="thin">
        <color rgb="FFB2B2B2"/>
      </top>
      <bottom style="medium">
        <color rgb="FF003366"/>
      </bottom>
      <diagonal/>
    </border>
    <border>
      <left style="medium">
        <color rgb="FF003366"/>
      </left>
      <right/>
      <top style="medium">
        <color indexed="64"/>
      </top>
      <bottom/>
      <diagonal/>
    </border>
    <border>
      <left style="thin">
        <color rgb="FFB2B2B2"/>
      </left>
      <right style="medium">
        <color rgb="FF003366"/>
      </right>
      <top style="medium">
        <color indexed="64"/>
      </top>
      <bottom/>
      <diagonal/>
    </border>
    <border>
      <left style="thin">
        <color rgb="FFB2B2B2"/>
      </left>
      <right style="medium">
        <color rgb="FF003366"/>
      </right>
      <top style="thin">
        <color rgb="FFB2B2B2"/>
      </top>
      <bottom/>
      <diagonal/>
    </border>
    <border>
      <left style="thin">
        <color rgb="FFB2B2B2"/>
      </left>
      <right style="medium">
        <color rgb="FF003366"/>
      </right>
      <top style="thin">
        <color rgb="FFB2B2B2"/>
      </top>
      <bottom style="medium">
        <color rgb="FF003366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double">
        <color auto="1"/>
      </bottom>
      <diagonal/>
    </border>
  </borders>
  <cellStyleXfs count="10">
    <xf numFmtId="0" fontId="0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6" fillId="0" borderId="0"/>
    <xf numFmtId="0" fontId="10" fillId="0" borderId="0"/>
    <xf numFmtId="9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172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3" fillId="0" borderId="0"/>
  </cellStyleXfs>
  <cellXfs count="489">
    <xf numFmtId="0" fontId="0" fillId="0" borderId="0" xfId="0"/>
    <xf numFmtId="0" fontId="2" fillId="0" borderId="0" xfId="0" applyFont="1"/>
    <xf numFmtId="164" fontId="4" fillId="0" borderId="2" xfId="0" applyNumberFormat="1" applyFont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0" fontId="6" fillId="0" borderId="0" xfId="0" applyFont="1"/>
    <xf numFmtId="166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4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165" fontId="0" fillId="0" borderId="0" xfId="0" applyNumberFormat="1"/>
    <xf numFmtId="4" fontId="0" fillId="0" borderId="0" xfId="0" applyNumberFormat="1"/>
    <xf numFmtId="0" fontId="17" fillId="0" borderId="0" xfId="0" applyFont="1"/>
    <xf numFmtId="0" fontId="20" fillId="0" borderId="0" xfId="4" applyFont="1"/>
    <xf numFmtId="0" fontId="20" fillId="0" borderId="0" xfId="4" applyFont="1" applyAlignment="1">
      <alignment wrapText="1"/>
    </xf>
    <xf numFmtId="0" fontId="21" fillId="0" borderId="0" xfId="4" applyFont="1"/>
    <xf numFmtId="0" fontId="22" fillId="0" borderId="0" xfId="4" applyFont="1"/>
    <xf numFmtId="0" fontId="22" fillId="0" borderId="0" xfId="4" applyFont="1" applyAlignment="1">
      <alignment wrapText="1"/>
    </xf>
    <xf numFmtId="4" fontId="17" fillId="0" borderId="0" xfId="4" applyNumberFormat="1" applyFont="1"/>
    <xf numFmtId="0" fontId="24" fillId="0" borderId="0" xfId="4" applyFont="1"/>
    <xf numFmtId="0" fontId="28" fillId="0" borderId="0" xfId="0" applyFont="1"/>
    <xf numFmtId="0" fontId="4" fillId="0" borderId="0" xfId="0" applyFont="1"/>
    <xf numFmtId="0" fontId="5" fillId="0" borderId="0" xfId="0" applyFont="1"/>
    <xf numFmtId="0" fontId="29" fillId="0" borderId="0" xfId="0" applyFont="1"/>
    <xf numFmtId="164" fontId="5" fillId="0" borderId="2" xfId="0" applyNumberFormat="1" applyFont="1" applyBorder="1" applyAlignment="1">
      <alignment horizontal="center"/>
    </xf>
    <xf numFmtId="0" fontId="4" fillId="3" borderId="0" xfId="0" applyFont="1" applyFill="1"/>
    <xf numFmtId="164" fontId="5" fillId="3" borderId="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30" fillId="0" borderId="0" xfId="0" applyFont="1"/>
    <xf numFmtId="0" fontId="31" fillId="0" borderId="0" xfId="0" applyFont="1"/>
    <xf numFmtId="0" fontId="1" fillId="19" borderId="1" xfId="0" applyFont="1" applyFill="1" applyBorder="1" applyAlignment="1">
      <alignment horizontal="left"/>
    </xf>
    <xf numFmtId="0" fontId="1" fillId="19" borderId="1" xfId="0" applyFont="1" applyFill="1" applyBorder="1" applyAlignment="1">
      <alignment horizontal="center"/>
    </xf>
    <xf numFmtId="1" fontId="1" fillId="19" borderId="1" xfId="0" applyNumberFormat="1" applyFont="1" applyFill="1" applyBorder="1" applyAlignment="1">
      <alignment horizontal="center"/>
    </xf>
    <xf numFmtId="0" fontId="4" fillId="0" borderId="5" xfId="0" applyFont="1" applyBorder="1"/>
    <xf numFmtId="0" fontId="4" fillId="20" borderId="5" xfId="0" applyFont="1" applyFill="1" applyBorder="1"/>
    <xf numFmtId="0" fontId="5" fillId="0" borderId="0" xfId="0" applyFont="1" applyAlignment="1">
      <alignment horizontal="center"/>
    </xf>
    <xf numFmtId="168" fontId="5" fillId="0" borderId="0" xfId="0" applyNumberFormat="1" applyFont="1" applyAlignment="1">
      <alignment horizontal="center"/>
    </xf>
    <xf numFmtId="168" fontId="4" fillId="0" borderId="5" xfId="0" applyNumberFormat="1" applyFont="1" applyBorder="1" applyAlignment="1">
      <alignment horizontal="center"/>
    </xf>
    <xf numFmtId="168" fontId="4" fillId="20" borderId="5" xfId="0" applyNumberFormat="1" applyFont="1" applyFill="1" applyBorder="1" applyAlignment="1">
      <alignment horizontal="center"/>
    </xf>
    <xf numFmtId="168" fontId="4" fillId="20" borderId="40" xfId="0" applyNumberFormat="1" applyFont="1" applyFill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9" fontId="5" fillId="0" borderId="0" xfId="1" applyFont="1" applyAlignment="1">
      <alignment horizontal="center"/>
    </xf>
    <xf numFmtId="169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49" fontId="1" fillId="19" borderId="1" xfId="0" applyNumberFormat="1" applyFont="1" applyFill="1" applyBorder="1" applyAlignment="1">
      <alignment horizontal="left"/>
    </xf>
    <xf numFmtId="0" fontId="33" fillId="0" borderId="0" xfId="0" applyFont="1"/>
    <xf numFmtId="168" fontId="4" fillId="0" borderId="0" xfId="0" applyNumberFormat="1" applyFont="1" applyAlignment="1">
      <alignment horizontal="center"/>
    </xf>
    <xf numFmtId="0" fontId="1" fillId="19" borderId="0" xfId="0" applyFont="1" applyFill="1"/>
    <xf numFmtId="0" fontId="34" fillId="19" borderId="0" xfId="0" applyFont="1" applyFill="1"/>
    <xf numFmtId="0" fontId="1" fillId="19" borderId="41" xfId="0" applyFont="1" applyFill="1" applyBorder="1"/>
    <xf numFmtId="49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1" fontId="1" fillId="19" borderId="41" xfId="0" applyNumberFormat="1" applyFont="1" applyFill="1" applyBorder="1" applyAlignment="1">
      <alignment horizontal="center"/>
    </xf>
    <xf numFmtId="0" fontId="1" fillId="19" borderId="1" xfId="0" applyFont="1" applyFill="1" applyBorder="1"/>
    <xf numFmtId="1" fontId="5" fillId="0" borderId="0" xfId="0" applyNumberFormat="1" applyFont="1" applyAlignment="1">
      <alignment horizontal="center"/>
    </xf>
    <xf numFmtId="168" fontId="4" fillId="20" borderId="6" xfId="0" applyNumberFormat="1" applyFont="1" applyFill="1" applyBorder="1" applyAlignment="1">
      <alignment horizontal="center"/>
    </xf>
    <xf numFmtId="168" fontId="5" fillId="0" borderId="0" xfId="0" applyNumberFormat="1" applyFont="1"/>
    <xf numFmtId="0" fontId="4" fillId="4" borderId="0" xfId="0" applyFont="1" applyFill="1"/>
    <xf numFmtId="0" fontId="5" fillId="4" borderId="0" xfId="0" applyFont="1" applyFill="1"/>
    <xf numFmtId="164" fontId="5" fillId="5" borderId="2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4" fillId="2" borderId="0" xfId="0" applyFont="1" applyFill="1"/>
    <xf numFmtId="49" fontId="1" fillId="19" borderId="1" xfId="0" applyNumberFormat="1" applyFont="1" applyFill="1" applyBorder="1" applyAlignment="1">
      <alignment horizontal="center"/>
    </xf>
    <xf numFmtId="0" fontId="36" fillId="4" borderId="0" xfId="0" applyFont="1" applyFill="1"/>
    <xf numFmtId="0" fontId="36" fillId="0" borderId="0" xfId="0" applyFont="1"/>
    <xf numFmtId="168" fontId="5" fillId="2" borderId="0" xfId="0" applyNumberFormat="1" applyFont="1" applyFill="1"/>
    <xf numFmtId="168" fontId="5" fillId="2" borderId="0" xfId="0" applyNumberFormat="1" applyFont="1" applyFill="1" applyAlignment="1">
      <alignment horizontal="center"/>
    </xf>
    <xf numFmtId="166" fontId="5" fillId="0" borderId="0" xfId="0" applyNumberFormat="1" applyFont="1"/>
    <xf numFmtId="166" fontId="5" fillId="4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8" fontId="37" fillId="5" borderId="2" xfId="0" applyNumberFormat="1" applyFont="1" applyFill="1" applyBorder="1" applyAlignment="1">
      <alignment horizontal="center"/>
    </xf>
    <xf numFmtId="0" fontId="32" fillId="5" borderId="0" xfId="0" applyFont="1" applyFill="1"/>
    <xf numFmtId="166" fontId="3" fillId="0" borderId="0" xfId="0" applyNumberFormat="1" applyFont="1"/>
    <xf numFmtId="0" fontId="4" fillId="6" borderId="0" xfId="0" applyFont="1" applyFill="1"/>
    <xf numFmtId="0" fontId="5" fillId="6" borderId="0" xfId="0" applyFont="1" applyFill="1"/>
    <xf numFmtId="0" fontId="1" fillId="19" borderId="8" xfId="0" applyFont="1" applyFill="1" applyBorder="1"/>
    <xf numFmtId="1" fontId="1" fillId="19" borderId="8" xfId="0" applyNumberFormat="1" applyFont="1" applyFill="1" applyBorder="1" applyAlignment="1">
      <alignment horizontal="center"/>
    </xf>
    <xf numFmtId="0" fontId="38" fillId="6" borderId="0" xfId="0" applyFont="1" applyFill="1"/>
    <xf numFmtId="0" fontId="38" fillId="0" borderId="0" xfId="0" applyFont="1"/>
    <xf numFmtId="166" fontId="4" fillId="0" borderId="0" xfId="0" applyNumberFormat="1" applyFont="1"/>
    <xf numFmtId="168" fontId="5" fillId="6" borderId="0" xfId="0" applyNumberFormat="1" applyFont="1" applyFill="1"/>
    <xf numFmtId="168" fontId="5" fillId="6" borderId="0" xfId="0" applyNumberFormat="1" applyFont="1" applyFill="1" applyAlignment="1">
      <alignment horizontal="center"/>
    </xf>
    <xf numFmtId="177" fontId="5" fillId="0" borderId="0" xfId="0" applyNumberFormat="1" applyFont="1" applyAlignment="1">
      <alignment horizontal="center"/>
    </xf>
    <xf numFmtId="168" fontId="4" fillId="6" borderId="5" xfId="0" applyNumberFormat="1" applyFont="1" applyFill="1" applyBorder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166" fontId="5" fillId="6" borderId="0" xfId="0" applyNumberFormat="1" applyFont="1" applyFill="1" applyAlignment="1">
      <alignment horizontal="center"/>
    </xf>
    <xf numFmtId="168" fontId="3" fillId="6" borderId="0" xfId="0" applyNumberFormat="1" applyFont="1" applyFill="1" applyAlignment="1">
      <alignment horizontal="center"/>
    </xf>
    <xf numFmtId="0" fontId="4" fillId="20" borderId="37" xfId="0" applyFont="1" applyFill="1" applyBorder="1"/>
    <xf numFmtId="4" fontId="5" fillId="0" borderId="0" xfId="0" applyNumberFormat="1" applyFont="1" applyAlignment="1">
      <alignment horizontal="center"/>
    </xf>
    <xf numFmtId="0" fontId="4" fillId="0" borderId="0" xfId="3" applyFont="1" applyAlignment="1">
      <alignment horizontal="center"/>
    </xf>
    <xf numFmtId="0" fontId="5" fillId="0" borderId="0" xfId="3" applyFont="1"/>
    <xf numFmtId="0" fontId="4" fillId="0" borderId="0" xfId="3" applyFont="1"/>
    <xf numFmtId="0" fontId="4" fillId="0" borderId="9" xfId="3" applyFont="1" applyBorder="1"/>
    <xf numFmtId="10" fontId="4" fillId="0" borderId="10" xfId="3" applyNumberFormat="1" applyFont="1" applyBorder="1"/>
    <xf numFmtId="10" fontId="4" fillId="0" borderId="11" xfId="3" applyNumberFormat="1" applyFont="1" applyBorder="1"/>
    <xf numFmtId="14" fontId="5" fillId="0" borderId="0" xfId="3" applyNumberFormat="1" applyFont="1"/>
    <xf numFmtId="0" fontId="5" fillId="0" borderId="12" xfId="3" applyFont="1" applyBorder="1"/>
    <xf numFmtId="3" fontId="5" fillId="0" borderId="0" xfId="3" applyNumberFormat="1" applyFont="1"/>
    <xf numFmtId="14" fontId="5" fillId="0" borderId="13" xfId="3" applyNumberFormat="1" applyFont="1" applyBorder="1" applyAlignment="1">
      <alignment horizontal="right"/>
    </xf>
    <xf numFmtId="4" fontId="5" fillId="0" borderId="0" xfId="3" applyNumberFormat="1" applyFont="1"/>
    <xf numFmtId="0" fontId="5" fillId="0" borderId="13" xfId="3" applyFont="1" applyBorder="1"/>
    <xf numFmtId="0" fontId="29" fillId="0" borderId="13" xfId="3" applyFont="1" applyBorder="1"/>
    <xf numFmtId="165" fontId="4" fillId="0" borderId="0" xfId="3" applyNumberFormat="1" applyFont="1"/>
    <xf numFmtId="0" fontId="4" fillId="7" borderId="9" xfId="3" applyFont="1" applyFill="1" applyBorder="1" applyAlignment="1">
      <alignment horizontal="centerContinuous"/>
    </xf>
    <xf numFmtId="0" fontId="4" fillId="7" borderId="10" xfId="3" applyFont="1" applyFill="1" applyBorder="1" applyAlignment="1">
      <alignment horizontal="centerContinuous"/>
    </xf>
    <xf numFmtId="0" fontId="4" fillId="7" borderId="11" xfId="3" applyFont="1" applyFill="1" applyBorder="1" applyAlignment="1">
      <alignment horizontal="centerContinuous"/>
    </xf>
    <xf numFmtId="10" fontId="5" fillId="0" borderId="0" xfId="3" applyNumberFormat="1" applyFont="1"/>
    <xf numFmtId="0" fontId="5" fillId="0" borderId="15" xfId="3" applyFont="1" applyBorder="1"/>
    <xf numFmtId="2" fontId="4" fillId="0" borderId="0" xfId="3" applyNumberFormat="1" applyFont="1"/>
    <xf numFmtId="0" fontId="4" fillId="7" borderId="0" xfId="3" applyFont="1" applyFill="1" applyAlignment="1">
      <alignment horizontal="centerContinuous"/>
    </xf>
    <xf numFmtId="0" fontId="5" fillId="0" borderId="0" xfId="4" applyFont="1"/>
    <xf numFmtId="0" fontId="4" fillId="0" borderId="0" xfId="3" applyFont="1" applyAlignment="1">
      <alignment horizontal="centerContinuous"/>
    </xf>
    <xf numFmtId="170" fontId="4" fillId="0" borderId="8" xfId="3" applyNumberFormat="1" applyFont="1" applyBorder="1"/>
    <xf numFmtId="2" fontId="5" fillId="0" borderId="0" xfId="3" applyNumberFormat="1" applyFont="1"/>
    <xf numFmtId="0" fontId="4" fillId="0" borderId="8" xfId="3" applyFont="1" applyBorder="1"/>
    <xf numFmtId="0" fontId="5" fillId="0" borderId="8" xfId="3" applyFont="1" applyBorder="1"/>
    <xf numFmtId="37" fontId="5" fillId="0" borderId="8" xfId="3" applyNumberFormat="1" applyFont="1" applyBorder="1"/>
    <xf numFmtId="37" fontId="5" fillId="0" borderId="0" xfId="3" applyNumberFormat="1" applyFont="1"/>
    <xf numFmtId="9" fontId="5" fillId="0" borderId="0" xfId="5" applyFont="1"/>
    <xf numFmtId="166" fontId="4" fillId="0" borderId="0" xfId="3" applyNumberFormat="1" applyFont="1"/>
    <xf numFmtId="167" fontId="5" fillId="0" borderId="0" xfId="3" applyNumberFormat="1" applyFont="1"/>
    <xf numFmtId="3" fontId="5" fillId="0" borderId="8" xfId="3" applyNumberFormat="1" applyFont="1" applyBorder="1"/>
    <xf numFmtId="0" fontId="4" fillId="0" borderId="17" xfId="3" applyFont="1" applyBorder="1"/>
    <xf numFmtId="0" fontId="5" fillId="0" borderId="0" xfId="3" applyFont="1" applyAlignment="1">
      <alignment horizontal="centerContinuous"/>
    </xf>
    <xf numFmtId="165" fontId="5" fillId="0" borderId="0" xfId="3" applyNumberFormat="1" applyFont="1" applyAlignment="1">
      <alignment horizontal="right" vertical="center"/>
    </xf>
    <xf numFmtId="10" fontId="5" fillId="0" borderId="0" xfId="4" applyNumberFormat="1" applyFont="1"/>
    <xf numFmtId="165" fontId="5" fillId="0" borderId="18" xfId="3" applyNumberFormat="1" applyFont="1" applyBorder="1" applyAlignment="1">
      <alignment horizontal="center"/>
    </xf>
    <xf numFmtId="165" fontId="5" fillId="0" borderId="19" xfId="3" applyNumberFormat="1" applyFont="1" applyBorder="1" applyAlignment="1">
      <alignment horizontal="center"/>
    </xf>
    <xf numFmtId="165" fontId="5" fillId="9" borderId="19" xfId="3" applyNumberFormat="1" applyFont="1" applyFill="1" applyBorder="1" applyAlignment="1">
      <alignment horizontal="center"/>
    </xf>
    <xf numFmtId="165" fontId="5" fillId="0" borderId="20" xfId="3" applyNumberFormat="1" applyFont="1" applyBorder="1" applyAlignment="1">
      <alignment horizontal="center"/>
    </xf>
    <xf numFmtId="165" fontId="5" fillId="0" borderId="21" xfId="3" applyNumberFormat="1" applyFont="1" applyBorder="1" applyAlignment="1">
      <alignment horizontal="center"/>
    </xf>
    <xf numFmtId="165" fontId="5" fillId="0" borderId="0" xfId="3" applyNumberFormat="1" applyFont="1" applyAlignment="1">
      <alignment horizontal="center"/>
    </xf>
    <xf numFmtId="165" fontId="5" fillId="9" borderId="0" xfId="3" applyNumberFormat="1" applyFont="1" applyFill="1" applyAlignment="1">
      <alignment horizontal="center"/>
    </xf>
    <xf numFmtId="165" fontId="5" fillId="0" borderId="22" xfId="3" applyNumberFormat="1" applyFont="1" applyBorder="1" applyAlignment="1">
      <alignment horizontal="center"/>
    </xf>
    <xf numFmtId="165" fontId="5" fillId="8" borderId="9" xfId="3" applyNumberFormat="1" applyFont="1" applyFill="1" applyBorder="1" applyAlignment="1">
      <alignment horizontal="center" vertical="center"/>
    </xf>
    <xf numFmtId="165" fontId="5" fillId="8" borderId="10" xfId="3" applyNumberFormat="1" applyFont="1" applyFill="1" applyBorder="1" applyAlignment="1">
      <alignment horizontal="center" vertical="center"/>
    </xf>
    <xf numFmtId="165" fontId="5" fillId="8" borderId="11" xfId="3" applyNumberFormat="1" applyFont="1" applyFill="1" applyBorder="1" applyAlignment="1">
      <alignment horizontal="center" vertical="center"/>
    </xf>
    <xf numFmtId="165" fontId="5" fillId="9" borderId="21" xfId="3" applyNumberFormat="1" applyFont="1" applyFill="1" applyBorder="1" applyAlignment="1">
      <alignment horizontal="center" vertical="center"/>
    </xf>
    <xf numFmtId="165" fontId="5" fillId="9" borderId="0" xfId="3" applyNumberFormat="1" applyFont="1" applyFill="1" applyAlignment="1">
      <alignment horizontal="center" vertical="center"/>
    </xf>
    <xf numFmtId="165" fontId="5" fillId="8" borderId="12" xfId="3" applyNumberFormat="1" applyFont="1" applyFill="1" applyBorder="1" applyAlignment="1">
      <alignment horizontal="center" vertical="center"/>
    </xf>
    <xf numFmtId="165" fontId="4" fillId="8" borderId="16" xfId="3" applyNumberFormat="1" applyFont="1" applyFill="1" applyBorder="1" applyAlignment="1">
      <alignment horizontal="center" vertical="center"/>
    </xf>
    <xf numFmtId="165" fontId="5" fillId="8" borderId="13" xfId="3" applyNumberFormat="1" applyFont="1" applyFill="1" applyBorder="1" applyAlignment="1">
      <alignment horizontal="center" vertical="center"/>
    </xf>
    <xf numFmtId="165" fontId="5" fillId="9" borderId="22" xfId="3" applyNumberFormat="1" applyFont="1" applyFill="1" applyBorder="1" applyAlignment="1">
      <alignment horizontal="center" vertical="center"/>
    </xf>
    <xf numFmtId="165" fontId="5" fillId="8" borderId="14" xfId="3" applyNumberFormat="1" applyFont="1" applyFill="1" applyBorder="1" applyAlignment="1">
      <alignment horizontal="center" vertical="center"/>
    </xf>
    <xf numFmtId="165" fontId="5" fillId="8" borderId="4" xfId="3" applyNumberFormat="1" applyFont="1" applyFill="1" applyBorder="1" applyAlignment="1">
      <alignment horizontal="center" vertical="center"/>
    </xf>
    <xf numFmtId="165" fontId="5" fillId="8" borderId="15" xfId="3" applyNumberFormat="1" applyFont="1" applyFill="1" applyBorder="1" applyAlignment="1">
      <alignment horizontal="center" vertical="center"/>
    </xf>
    <xf numFmtId="165" fontId="5" fillId="0" borderId="23" xfId="3" applyNumberFormat="1" applyFont="1" applyBorder="1" applyAlignment="1">
      <alignment horizontal="center"/>
    </xf>
    <xf numFmtId="165" fontId="5" fillId="0" borderId="24" xfId="3" applyNumberFormat="1" applyFont="1" applyBorder="1" applyAlignment="1">
      <alignment horizontal="center"/>
    </xf>
    <xf numFmtId="165" fontId="5" fillId="9" borderId="24" xfId="3" applyNumberFormat="1" applyFont="1" applyFill="1" applyBorder="1" applyAlignment="1">
      <alignment horizontal="center"/>
    </xf>
    <xf numFmtId="165" fontId="5" fillId="0" borderId="25" xfId="3" applyNumberFormat="1" applyFont="1" applyBorder="1" applyAlignment="1">
      <alignment horizontal="center"/>
    </xf>
    <xf numFmtId="4" fontId="5" fillId="0" borderId="0" xfId="3" applyNumberFormat="1" applyFont="1" applyAlignment="1">
      <alignment horizontal="center"/>
    </xf>
    <xf numFmtId="4" fontId="4" fillId="0" borderId="0" xfId="3" applyNumberFormat="1" applyFont="1"/>
    <xf numFmtId="0" fontId="5" fillId="0" borderId="0" xfId="3" applyFont="1" applyAlignment="1">
      <alignment horizontal="centerContinuous" vertical="center"/>
    </xf>
    <xf numFmtId="0" fontId="4" fillId="0" borderId="12" xfId="3" applyFont="1" applyBorder="1"/>
    <xf numFmtId="165" fontId="1" fillId="19" borderId="0" xfId="3" applyNumberFormat="1" applyFont="1" applyFill="1" applyAlignment="1">
      <alignment horizontal="centerContinuous"/>
    </xf>
    <xf numFmtId="0" fontId="4" fillId="0" borderId="14" xfId="3" applyFont="1" applyBorder="1"/>
    <xf numFmtId="165" fontId="5" fillId="0" borderId="0" xfId="4" applyNumberFormat="1" applyFont="1"/>
    <xf numFmtId="1" fontId="4" fillId="0" borderId="8" xfId="3" applyNumberFormat="1" applyFont="1" applyBorder="1" applyAlignment="1">
      <alignment horizontal="center"/>
    </xf>
    <xf numFmtId="2" fontId="5" fillId="0" borderId="0" xfId="3" applyNumberFormat="1" applyFont="1" applyAlignment="1">
      <alignment horizontal="center"/>
    </xf>
    <xf numFmtId="168" fontId="5" fillId="0" borderId="8" xfId="3" applyNumberFormat="1" applyFont="1" applyBorder="1" applyAlignment="1">
      <alignment horizontal="center"/>
    </xf>
    <xf numFmtId="168" fontId="5" fillId="0" borderId="0" xfId="3" applyNumberFormat="1" applyFont="1" applyAlignment="1">
      <alignment horizontal="center"/>
    </xf>
    <xf numFmtId="166" fontId="4" fillId="0" borderId="16" xfId="3" applyNumberFormat="1" applyFont="1" applyBorder="1"/>
    <xf numFmtId="165" fontId="4" fillId="20" borderId="17" xfId="3" applyNumberFormat="1" applyFont="1" applyFill="1" applyBorder="1"/>
    <xf numFmtId="0" fontId="32" fillId="0" borderId="0" xfId="3" applyFont="1" applyAlignment="1">
      <alignment horizontal="centerContinuous"/>
    </xf>
    <xf numFmtId="166" fontId="1" fillId="19" borderId="0" xfId="3" applyNumberFormat="1" applyFont="1" applyFill="1" applyAlignment="1">
      <alignment horizontal="center"/>
    </xf>
    <xf numFmtId="166" fontId="1" fillId="19" borderId="0" xfId="3" applyNumberFormat="1" applyFont="1" applyFill="1" applyAlignment="1">
      <alignment horizontal="right" vertical="center"/>
    </xf>
    <xf numFmtId="0" fontId="32" fillId="0" borderId="0" xfId="3" applyFont="1" applyAlignment="1">
      <alignment horizontal="center"/>
    </xf>
    <xf numFmtId="0" fontId="32" fillId="0" borderId="0" xfId="3" applyFont="1" applyAlignment="1">
      <alignment horizontal="centerContinuous" vertical="center"/>
    </xf>
    <xf numFmtId="4" fontId="5" fillId="0" borderId="0" xfId="0" applyNumberFormat="1" applyFont="1"/>
    <xf numFmtId="10" fontId="37" fillId="11" borderId="0" xfId="0" applyNumberFormat="1" applyFont="1" applyFill="1"/>
    <xf numFmtId="0" fontId="5" fillId="0" borderId="13" xfId="0" applyFont="1" applyBorder="1"/>
    <xf numFmtId="0" fontId="4" fillId="12" borderId="26" xfId="4" applyFont="1" applyFill="1" applyBorder="1"/>
    <xf numFmtId="2" fontId="5" fillId="0" borderId="26" xfId="4" applyNumberFormat="1" applyFont="1" applyBorder="1"/>
    <xf numFmtId="10" fontId="5" fillId="0" borderId="26" xfId="4" applyNumberFormat="1" applyFont="1" applyBorder="1"/>
    <xf numFmtId="4" fontId="5" fillId="0" borderId="26" xfId="4" applyNumberFormat="1" applyFont="1" applyBorder="1"/>
    <xf numFmtId="2" fontId="37" fillId="11" borderId="0" xfId="0" applyNumberFormat="1" applyFont="1" applyFill="1"/>
    <xf numFmtId="0" fontId="5" fillId="0" borderId="26" xfId="4" applyFont="1" applyBorder="1"/>
    <xf numFmtId="0" fontId="5" fillId="0" borderId="12" xfId="0" applyFont="1" applyBorder="1"/>
    <xf numFmtId="0" fontId="41" fillId="0" borderId="13" xfId="2" applyFont="1" applyBorder="1"/>
    <xf numFmtId="0" fontId="41" fillId="0" borderId="0" xfId="2" applyFont="1"/>
    <xf numFmtId="0" fontId="4" fillId="10" borderId="0" xfId="0" applyFont="1" applyFill="1"/>
    <xf numFmtId="0" fontId="5" fillId="10" borderId="0" xfId="0" applyFont="1" applyFill="1"/>
    <xf numFmtId="0" fontId="5" fillId="10" borderId="13" xfId="0" applyFont="1" applyFill="1" applyBorder="1"/>
    <xf numFmtId="0" fontId="4" fillId="0" borderId="12" xfId="0" applyFont="1" applyBorder="1"/>
    <xf numFmtId="171" fontId="5" fillId="0" borderId="0" xfId="0" applyNumberFormat="1" applyFont="1"/>
    <xf numFmtId="8" fontId="5" fillId="0" borderId="0" xfId="0" applyNumberFormat="1" applyFont="1"/>
    <xf numFmtId="0" fontId="5" fillId="0" borderId="26" xfId="4" applyFont="1" applyBorder="1" applyAlignment="1">
      <alignment horizontal="center"/>
    </xf>
    <xf numFmtId="0" fontId="5" fillId="0" borderId="26" xfId="4" quotePrefix="1" applyFont="1" applyBorder="1" applyAlignment="1">
      <alignment horizontal="center"/>
    </xf>
    <xf numFmtId="0" fontId="4" fillId="14" borderId="0" xfId="0" applyFont="1" applyFill="1"/>
    <xf numFmtId="0" fontId="5" fillId="0" borderId="14" xfId="0" applyFont="1" applyBorder="1"/>
    <xf numFmtId="0" fontId="4" fillId="0" borderId="4" xfId="0" applyFont="1" applyBorder="1"/>
    <xf numFmtId="10" fontId="4" fillId="0" borderId="4" xfId="0" applyNumberFormat="1" applyFont="1" applyBorder="1"/>
    <xf numFmtId="0" fontId="5" fillId="0" borderId="4" xfId="0" applyFont="1" applyBorder="1"/>
    <xf numFmtId="0" fontId="5" fillId="0" borderId="15" xfId="0" applyFont="1" applyBorder="1"/>
    <xf numFmtId="0" fontId="42" fillId="0" borderId="0" xfId="0" applyFont="1"/>
    <xf numFmtId="0" fontId="5" fillId="10" borderId="43" xfId="0" applyFont="1" applyFill="1" applyBorder="1"/>
    <xf numFmtId="0" fontId="4" fillId="10" borderId="43" xfId="0" applyFont="1" applyFill="1" applyBorder="1"/>
    <xf numFmtId="0" fontId="5" fillId="10" borderId="44" xfId="0" applyFont="1" applyFill="1" applyBorder="1"/>
    <xf numFmtId="166" fontId="37" fillId="11" borderId="0" xfId="0" applyNumberFormat="1" applyFont="1" applyFill="1"/>
    <xf numFmtId="166" fontId="4" fillId="0" borderId="0" xfId="6" applyNumberFormat="1" applyFont="1" applyBorder="1"/>
    <xf numFmtId="0" fontId="4" fillId="10" borderId="8" xfId="0" applyFont="1" applyFill="1" applyBorder="1"/>
    <xf numFmtId="0" fontId="5" fillId="10" borderId="8" xfId="0" applyFont="1" applyFill="1" applyBorder="1"/>
    <xf numFmtId="0" fontId="5" fillId="10" borderId="46" xfId="0" applyFont="1" applyFill="1" applyBorder="1"/>
    <xf numFmtId="165" fontId="37" fillId="11" borderId="0" xfId="0" applyNumberFormat="1" applyFont="1" applyFill="1"/>
    <xf numFmtId="177" fontId="4" fillId="0" borderId="0" xfId="0" applyNumberFormat="1" applyFont="1"/>
    <xf numFmtId="178" fontId="4" fillId="0" borderId="0" xfId="0" applyNumberFormat="1" applyFont="1"/>
    <xf numFmtId="178" fontId="5" fillId="0" borderId="26" xfId="4" applyNumberFormat="1" applyFont="1" applyBorder="1"/>
    <xf numFmtId="166" fontId="5" fillId="0" borderId="26" xfId="4" applyNumberFormat="1" applyFont="1" applyBorder="1"/>
    <xf numFmtId="178" fontId="4" fillId="13" borderId="26" xfId="4" applyNumberFormat="1" applyFont="1" applyFill="1" applyBorder="1"/>
    <xf numFmtId="0" fontId="38" fillId="0" borderId="45" xfId="0" applyFont="1" applyBorder="1"/>
    <xf numFmtId="0" fontId="5" fillId="0" borderId="8" xfId="0" applyFont="1" applyBorder="1"/>
    <xf numFmtId="10" fontId="4" fillId="11" borderId="8" xfId="0" applyNumberFormat="1" applyFont="1" applyFill="1" applyBorder="1"/>
    <xf numFmtId="0" fontId="5" fillId="0" borderId="46" xfId="0" applyFont="1" applyBorder="1"/>
    <xf numFmtId="166" fontId="4" fillId="14" borderId="0" xfId="0" applyNumberFormat="1" applyFont="1" applyFill="1"/>
    <xf numFmtId="10" fontId="4" fillId="20" borderId="0" xfId="0" applyNumberFormat="1" applyFont="1" applyFill="1"/>
    <xf numFmtId="9" fontId="5" fillId="0" borderId="0" xfId="0" applyNumberFormat="1" applyFont="1"/>
    <xf numFmtId="0" fontId="5" fillId="0" borderId="0" xfId="4" applyFont="1" applyAlignment="1">
      <alignment horizontal="center"/>
    </xf>
    <xf numFmtId="0" fontId="4" fillId="7" borderId="0" xfId="4" applyFont="1" applyFill="1"/>
    <xf numFmtId="0" fontId="4" fillId="15" borderId="0" xfId="4" applyFont="1" applyFill="1"/>
    <xf numFmtId="0" fontId="5" fillId="15" borderId="0" xfId="4" applyFont="1" applyFill="1"/>
    <xf numFmtId="0" fontId="5" fillId="0" borderId="27" xfId="4" applyFont="1" applyBorder="1"/>
    <xf numFmtId="0" fontId="5" fillId="0" borderId="27" xfId="4" applyFont="1" applyBorder="1" applyAlignment="1">
      <alignment horizontal="center"/>
    </xf>
    <xf numFmtId="0" fontId="4" fillId="0" borderId="28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29" xfId="4" applyFont="1" applyBorder="1" applyAlignment="1">
      <alignment horizontal="center"/>
    </xf>
    <xf numFmtId="0" fontId="4" fillId="0" borderId="27" xfId="4" applyFont="1" applyBorder="1" applyAlignment="1">
      <alignment horizontal="center"/>
    </xf>
    <xf numFmtId="0" fontId="4" fillId="0" borderId="30" xfId="4" applyFont="1" applyBorder="1" applyAlignment="1">
      <alignment horizontal="center"/>
    </xf>
    <xf numFmtId="0" fontId="4" fillId="0" borderId="31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" fillId="0" borderId="33" xfId="4" applyFont="1" applyBorder="1"/>
    <xf numFmtId="0" fontId="5" fillId="16" borderId="34" xfId="4" applyFont="1" applyFill="1" applyBorder="1" applyAlignment="1">
      <alignment horizontal="center"/>
    </xf>
    <xf numFmtId="165" fontId="5" fillId="0" borderId="28" xfId="4" applyNumberFormat="1" applyFont="1" applyBorder="1"/>
    <xf numFmtId="165" fontId="5" fillId="0" borderId="5" xfId="4" applyNumberFormat="1" applyFont="1" applyBorder="1"/>
    <xf numFmtId="173" fontId="5" fillId="0" borderId="0" xfId="7" applyNumberFormat="1" applyFont="1"/>
    <xf numFmtId="174" fontId="5" fillId="0" borderId="5" xfId="7" applyNumberFormat="1" applyFont="1" applyBorder="1"/>
    <xf numFmtId="174" fontId="5" fillId="0" borderId="0" xfId="7" applyNumberFormat="1" applyFont="1"/>
    <xf numFmtId="4" fontId="5" fillId="0" borderId="27" xfId="4" applyNumberFormat="1" applyFont="1" applyBorder="1"/>
    <xf numFmtId="8" fontId="5" fillId="0" borderId="27" xfId="7" applyNumberFormat="1" applyFont="1" applyBorder="1"/>
    <xf numFmtId="10" fontId="5" fillId="0" borderId="0" xfId="5" applyNumberFormat="1" applyFont="1"/>
    <xf numFmtId="165" fontId="5" fillId="0" borderId="35" xfId="4" applyNumberFormat="1" applyFont="1" applyBorder="1"/>
    <xf numFmtId="4" fontId="5" fillId="0" borderId="33" xfId="4" applyNumberFormat="1" applyFont="1" applyBorder="1"/>
    <xf numFmtId="8" fontId="5" fillId="0" borderId="33" xfId="7" applyNumberFormat="1" applyFont="1" applyBorder="1"/>
    <xf numFmtId="0" fontId="5" fillId="17" borderId="33" xfId="4" quotePrefix="1" applyFont="1" applyFill="1" applyBorder="1" applyAlignment="1">
      <alignment horizontal="center"/>
    </xf>
    <xf numFmtId="0" fontId="5" fillId="17" borderId="26" xfId="4" applyFont="1" applyFill="1" applyBorder="1" applyAlignment="1">
      <alignment horizontal="center"/>
    </xf>
    <xf numFmtId="165" fontId="5" fillId="0" borderId="36" xfId="4" applyNumberFormat="1" applyFont="1" applyBorder="1"/>
    <xf numFmtId="165" fontId="5" fillId="0" borderId="37" xfId="4" applyNumberFormat="1" applyFont="1" applyBorder="1"/>
    <xf numFmtId="173" fontId="5" fillId="0" borderId="37" xfId="7" applyNumberFormat="1" applyFont="1" applyBorder="1"/>
    <xf numFmtId="174" fontId="5" fillId="0" borderId="37" xfId="7" applyNumberFormat="1" applyFont="1" applyBorder="1"/>
    <xf numFmtId="8" fontId="5" fillId="0" borderId="26" xfId="7" applyNumberFormat="1" applyFont="1" applyBorder="1"/>
    <xf numFmtId="0" fontId="4" fillId="15" borderId="0" xfId="4" applyFont="1" applyFill="1" applyAlignment="1">
      <alignment horizontal="center"/>
    </xf>
    <xf numFmtId="0" fontId="4" fillId="0" borderId="36" xfId="4" applyFont="1" applyBorder="1" applyAlignment="1">
      <alignment horizontal="centerContinuous"/>
    </xf>
    <xf numFmtId="0" fontId="4" fillId="0" borderId="37" xfId="4" applyFont="1" applyBorder="1" applyAlignment="1">
      <alignment horizontal="centerContinuous"/>
    </xf>
    <xf numFmtId="0" fontId="4" fillId="0" borderId="38" xfId="4" applyFont="1" applyBorder="1" applyAlignment="1">
      <alignment horizontal="centerContinuous"/>
    </xf>
    <xf numFmtId="0" fontId="4" fillId="0" borderId="36" xfId="4" applyFont="1" applyBorder="1" applyAlignment="1">
      <alignment horizontal="center"/>
    </xf>
    <xf numFmtId="0" fontId="4" fillId="0" borderId="37" xfId="4" applyFont="1" applyBorder="1" applyAlignment="1">
      <alignment horizontal="center"/>
    </xf>
    <xf numFmtId="0" fontId="4" fillId="0" borderId="38" xfId="4" applyFont="1" applyBorder="1" applyAlignment="1">
      <alignment horizontal="center"/>
    </xf>
    <xf numFmtId="0" fontId="4" fillId="0" borderId="33" xfId="4" applyFont="1" applyBorder="1" applyAlignment="1">
      <alignment horizontal="center"/>
    </xf>
    <xf numFmtId="0" fontId="5" fillId="0" borderId="33" xfId="4" applyFont="1" applyBorder="1" applyAlignment="1">
      <alignment horizontal="center"/>
    </xf>
    <xf numFmtId="174" fontId="5" fillId="0" borderId="0" xfId="4" applyNumberFormat="1" applyFont="1" applyAlignment="1">
      <alignment horizontal="center"/>
    </xf>
    <xf numFmtId="174" fontId="5" fillId="0" borderId="29" xfId="4" applyNumberFormat="1" applyFont="1" applyBorder="1" applyAlignment="1">
      <alignment horizontal="center"/>
    </xf>
    <xf numFmtId="165" fontId="5" fillId="0" borderId="0" xfId="4" applyNumberFormat="1" applyFont="1" applyAlignment="1">
      <alignment horizontal="center"/>
    </xf>
    <xf numFmtId="165" fontId="5" fillId="0" borderId="39" xfId="4" applyNumberFormat="1" applyFont="1" applyBorder="1" applyAlignment="1">
      <alignment horizontal="center"/>
    </xf>
    <xf numFmtId="165" fontId="5" fillId="0" borderId="35" xfId="4" applyNumberFormat="1" applyFont="1" applyBorder="1" applyAlignment="1">
      <alignment horizontal="center"/>
    </xf>
    <xf numFmtId="166" fontId="5" fillId="0" borderId="27" xfId="5" applyNumberFormat="1" applyFont="1" applyBorder="1" applyAlignment="1">
      <alignment horizontal="center"/>
    </xf>
    <xf numFmtId="174" fontId="5" fillId="0" borderId="39" xfId="4" applyNumberFormat="1" applyFont="1" applyBorder="1" applyAlignment="1">
      <alignment horizontal="center"/>
    </xf>
    <xf numFmtId="0" fontId="5" fillId="0" borderId="0" xfId="4" quotePrefix="1" applyFont="1"/>
    <xf numFmtId="174" fontId="5" fillId="0" borderId="35" xfId="4" applyNumberFormat="1" applyFont="1" applyBorder="1" applyAlignment="1">
      <alignment horizontal="center"/>
    </xf>
    <xf numFmtId="3" fontId="5" fillId="0" borderId="36" xfId="4" applyNumberFormat="1" applyFont="1" applyBorder="1" applyAlignment="1">
      <alignment horizontal="center"/>
    </xf>
    <xf numFmtId="3" fontId="5" fillId="0" borderId="37" xfId="4" applyNumberFormat="1" applyFont="1" applyBorder="1" applyAlignment="1">
      <alignment horizontal="center"/>
    </xf>
    <xf numFmtId="3" fontId="5" fillId="0" borderId="38" xfId="4" applyNumberFormat="1" applyFont="1" applyBorder="1" applyAlignment="1">
      <alignment horizontal="center"/>
    </xf>
    <xf numFmtId="165" fontId="5" fillId="0" borderId="36" xfId="4" applyNumberFormat="1" applyFont="1" applyBorder="1" applyAlignment="1">
      <alignment horizontal="center"/>
    </xf>
    <xf numFmtId="165" fontId="5" fillId="0" borderId="37" xfId="4" applyNumberFormat="1" applyFont="1" applyBorder="1" applyAlignment="1">
      <alignment horizontal="center"/>
    </xf>
    <xf numFmtId="165" fontId="5" fillId="0" borderId="38" xfId="4" applyNumberFormat="1" applyFont="1" applyBorder="1" applyAlignment="1">
      <alignment horizontal="center"/>
    </xf>
    <xf numFmtId="166" fontId="5" fillId="0" borderId="26" xfId="5" applyNumberFormat="1" applyFont="1" applyBorder="1" applyAlignment="1">
      <alignment horizontal="center"/>
    </xf>
    <xf numFmtId="3" fontId="5" fillId="0" borderId="5" xfId="4" applyNumberFormat="1" applyFont="1" applyBorder="1" applyAlignment="1">
      <alignment horizontal="centerContinuous"/>
    </xf>
    <xf numFmtId="3" fontId="5" fillId="0" borderId="29" xfId="4" applyNumberFormat="1" applyFont="1" applyBorder="1" applyAlignment="1">
      <alignment horizontal="centerContinuous"/>
    </xf>
    <xf numFmtId="0" fontId="5" fillId="0" borderId="35" xfId="4" applyFont="1" applyBorder="1" applyAlignment="1">
      <alignment horizontal="center"/>
    </xf>
    <xf numFmtId="165" fontId="5" fillId="0" borderId="33" xfId="4" applyNumberFormat="1" applyFont="1" applyBorder="1" applyAlignment="1">
      <alignment horizontal="center"/>
    </xf>
    <xf numFmtId="175" fontId="5" fillId="0" borderId="35" xfId="7" applyNumberFormat="1" applyFont="1" applyBorder="1" applyAlignment="1">
      <alignment horizontal="center"/>
    </xf>
    <xf numFmtId="175" fontId="5" fillId="0" borderId="0" xfId="7" applyNumberFormat="1" applyFont="1" applyAlignment="1">
      <alignment horizontal="center"/>
    </xf>
    <xf numFmtId="175" fontId="5" fillId="0" borderId="39" xfId="7" applyNumberFormat="1" applyFont="1" applyBorder="1" applyAlignment="1">
      <alignment horizontal="center"/>
    </xf>
    <xf numFmtId="175" fontId="5" fillId="0" borderId="35" xfId="4" applyNumberFormat="1" applyFont="1" applyBorder="1" applyAlignment="1">
      <alignment horizontal="center"/>
    </xf>
    <xf numFmtId="175" fontId="5" fillId="0" borderId="0" xfId="4" applyNumberFormat="1" applyFont="1" applyAlignment="1">
      <alignment horizontal="center"/>
    </xf>
    <xf numFmtId="175" fontId="5" fillId="0" borderId="39" xfId="4" applyNumberFormat="1" applyFont="1" applyBorder="1" applyAlignment="1">
      <alignment horizontal="center"/>
    </xf>
    <xf numFmtId="165" fontId="5" fillId="0" borderId="26" xfId="4" applyNumberFormat="1" applyFont="1" applyBorder="1" applyAlignment="1">
      <alignment horizontal="center"/>
    </xf>
    <xf numFmtId="175" fontId="5" fillId="0" borderId="36" xfId="7" applyNumberFormat="1" applyFont="1" applyBorder="1" applyAlignment="1">
      <alignment horizontal="center"/>
    </xf>
    <xf numFmtId="175" fontId="5" fillId="0" borderId="37" xfId="7" applyNumberFormat="1" applyFont="1" applyBorder="1" applyAlignment="1">
      <alignment horizontal="center"/>
    </xf>
    <xf numFmtId="175" fontId="5" fillId="0" borderId="38" xfId="7" applyNumberFormat="1" applyFont="1" applyBorder="1" applyAlignment="1">
      <alignment horizontal="center"/>
    </xf>
    <xf numFmtId="175" fontId="5" fillId="0" borderId="36" xfId="4" applyNumberFormat="1" applyFont="1" applyBorder="1" applyAlignment="1">
      <alignment horizontal="center"/>
    </xf>
    <xf numFmtId="175" fontId="5" fillId="0" borderId="37" xfId="4" applyNumberFormat="1" applyFont="1" applyBorder="1" applyAlignment="1">
      <alignment horizontal="center"/>
    </xf>
    <xf numFmtId="175" fontId="5" fillId="0" borderId="38" xfId="4" applyNumberFormat="1" applyFont="1" applyBorder="1" applyAlignment="1">
      <alignment horizontal="center"/>
    </xf>
    <xf numFmtId="175" fontId="5" fillId="0" borderId="28" xfId="7" applyNumberFormat="1" applyFont="1" applyBorder="1" applyAlignment="1">
      <alignment horizontal="center"/>
    </xf>
    <xf numFmtId="175" fontId="5" fillId="0" borderId="5" xfId="7" applyNumberFormat="1" applyFont="1" applyBorder="1" applyAlignment="1">
      <alignment horizontal="center"/>
    </xf>
    <xf numFmtId="175" fontId="5" fillId="0" borderId="29" xfId="7" applyNumberFormat="1" applyFont="1" applyBorder="1" applyAlignment="1">
      <alignment horizontal="center"/>
    </xf>
    <xf numFmtId="175" fontId="5" fillId="0" borderId="28" xfId="4" applyNumberFormat="1" applyFont="1" applyBorder="1" applyAlignment="1">
      <alignment horizontal="center"/>
    </xf>
    <xf numFmtId="175" fontId="5" fillId="0" borderId="5" xfId="4" applyNumberFormat="1" applyFont="1" applyBorder="1" applyAlignment="1">
      <alignment horizontal="center"/>
    </xf>
    <xf numFmtId="175" fontId="5" fillId="0" borderId="29" xfId="4" applyNumberFormat="1" applyFont="1" applyBorder="1" applyAlignment="1">
      <alignment horizontal="center"/>
    </xf>
    <xf numFmtId="175" fontId="5" fillId="0" borderId="31" xfId="7" applyNumberFormat="1" applyFont="1" applyBorder="1" applyAlignment="1">
      <alignment horizontal="center"/>
    </xf>
    <xf numFmtId="175" fontId="5" fillId="0" borderId="8" xfId="7" applyNumberFormat="1" applyFont="1" applyBorder="1" applyAlignment="1">
      <alignment horizontal="center"/>
    </xf>
    <xf numFmtId="175" fontId="5" fillId="0" borderId="32" xfId="7" applyNumberFormat="1" applyFont="1" applyBorder="1" applyAlignment="1">
      <alignment horizontal="center"/>
    </xf>
    <xf numFmtId="175" fontId="5" fillId="0" borderId="31" xfId="4" applyNumberFormat="1" applyFont="1" applyBorder="1" applyAlignment="1">
      <alignment horizontal="center"/>
    </xf>
    <xf numFmtId="175" fontId="5" fillId="0" borderId="8" xfId="4" applyNumberFormat="1" applyFont="1" applyBorder="1" applyAlignment="1">
      <alignment horizontal="center"/>
    </xf>
    <xf numFmtId="175" fontId="5" fillId="0" borderId="32" xfId="4" applyNumberFormat="1" applyFont="1" applyBorder="1" applyAlignment="1">
      <alignment horizontal="center"/>
    </xf>
    <xf numFmtId="176" fontId="5" fillId="0" borderId="28" xfId="8" applyFont="1" applyBorder="1" applyAlignment="1">
      <alignment horizontal="center"/>
    </xf>
    <xf numFmtId="176" fontId="5" fillId="0" borderId="5" xfId="8" applyFont="1" applyBorder="1" applyAlignment="1">
      <alignment horizontal="center"/>
    </xf>
    <xf numFmtId="176" fontId="5" fillId="0" borderId="29" xfId="8" applyFont="1" applyBorder="1" applyAlignment="1">
      <alignment horizontal="center"/>
    </xf>
    <xf numFmtId="176" fontId="5" fillId="0" borderId="31" xfId="8" applyFont="1" applyBorder="1" applyAlignment="1">
      <alignment horizontal="center"/>
    </xf>
    <xf numFmtId="176" fontId="5" fillId="0" borderId="8" xfId="8" applyFont="1" applyBorder="1" applyAlignment="1">
      <alignment horizontal="center"/>
    </xf>
    <xf numFmtId="176" fontId="5" fillId="0" borderId="32" xfId="8" applyFont="1" applyBorder="1" applyAlignment="1">
      <alignment horizontal="center"/>
    </xf>
    <xf numFmtId="0" fontId="5" fillId="0" borderId="0" xfId="9" applyFont="1" applyProtection="1">
      <protection locked="0"/>
    </xf>
    <xf numFmtId="165" fontId="5" fillId="0" borderId="0" xfId="9" applyNumberFormat="1" applyFont="1" applyProtection="1">
      <protection locked="0"/>
    </xf>
    <xf numFmtId="166" fontId="5" fillId="0" borderId="28" xfId="5" applyNumberFormat="1" applyFont="1" applyBorder="1" applyAlignment="1">
      <alignment horizontal="center"/>
    </xf>
    <xf numFmtId="166" fontId="5" fillId="0" borderId="5" xfId="5" applyNumberFormat="1" applyFont="1" applyBorder="1" applyAlignment="1">
      <alignment horizontal="center"/>
    </xf>
    <xf numFmtId="2" fontId="5" fillId="0" borderId="28" xfId="5" applyNumberFormat="1" applyFont="1" applyBorder="1" applyAlignment="1">
      <alignment horizontal="center"/>
    </xf>
    <xf numFmtId="2" fontId="5" fillId="9" borderId="5" xfId="5" applyNumberFormat="1" applyFont="1" applyFill="1" applyBorder="1" applyAlignment="1">
      <alignment horizontal="center"/>
    </xf>
    <xf numFmtId="2" fontId="5" fillId="0" borderId="5" xfId="5" applyNumberFormat="1" applyFont="1" applyBorder="1" applyAlignment="1">
      <alignment horizontal="center"/>
    </xf>
    <xf numFmtId="2" fontId="5" fillId="0" borderId="35" xfId="5" applyNumberFormat="1" applyFont="1" applyBorder="1" applyAlignment="1">
      <alignment horizontal="center"/>
    </xf>
    <xf numFmtId="2" fontId="5" fillId="0" borderId="39" xfId="5" applyNumberFormat="1" applyFont="1" applyBorder="1" applyAlignment="1">
      <alignment horizontal="center"/>
    </xf>
    <xf numFmtId="2" fontId="5" fillId="9" borderId="35" xfId="5" applyNumberFormat="1" applyFont="1" applyFill="1" applyBorder="1" applyAlignment="1">
      <alignment horizontal="center"/>
    </xf>
    <xf numFmtId="2" fontId="5" fillId="9" borderId="39" xfId="5" applyNumberFormat="1" applyFont="1" applyFill="1" applyBorder="1" applyAlignment="1">
      <alignment horizontal="center"/>
    </xf>
    <xf numFmtId="2" fontId="5" fillId="0" borderId="33" xfId="5" applyNumberFormat="1" applyFont="1" applyBorder="1" applyAlignment="1">
      <alignment horizontal="center"/>
    </xf>
    <xf numFmtId="166" fontId="5" fillId="0" borderId="35" xfId="5" applyNumberFormat="1" applyFont="1" applyBorder="1" applyAlignment="1">
      <alignment horizontal="center"/>
    </xf>
    <xf numFmtId="166" fontId="5" fillId="0" borderId="0" xfId="5" applyNumberFormat="1" applyFont="1" applyAlignment="1">
      <alignment horizontal="center"/>
    </xf>
    <xf numFmtId="166" fontId="5" fillId="0" borderId="39" xfId="5" applyNumberFormat="1" applyFont="1" applyBorder="1" applyAlignment="1">
      <alignment horizontal="center"/>
    </xf>
    <xf numFmtId="2" fontId="5" fillId="9" borderId="0" xfId="5" applyNumberFormat="1" applyFont="1" applyFill="1" applyAlignment="1">
      <alignment horizontal="center"/>
    </xf>
    <xf numFmtId="2" fontId="5" fillId="0" borderId="0" xfId="5" applyNumberFormat="1" applyFont="1" applyAlignment="1">
      <alignment horizontal="center"/>
    </xf>
    <xf numFmtId="166" fontId="5" fillId="0" borderId="36" xfId="5" applyNumberFormat="1" applyFont="1" applyBorder="1" applyAlignment="1">
      <alignment horizontal="center"/>
    </xf>
    <xf numFmtId="166" fontId="5" fillId="0" borderId="37" xfId="5" applyNumberFormat="1" applyFont="1" applyBorder="1" applyAlignment="1">
      <alignment horizontal="center"/>
    </xf>
    <xf numFmtId="166" fontId="5" fillId="0" borderId="38" xfId="5" applyNumberFormat="1" applyFont="1" applyBorder="1" applyAlignment="1">
      <alignment horizontal="center"/>
    </xf>
    <xf numFmtId="2" fontId="5" fillId="0" borderId="36" xfId="5" applyNumberFormat="1" applyFont="1" applyBorder="1" applyAlignment="1">
      <alignment horizontal="center"/>
    </xf>
    <xf numFmtId="2" fontId="5" fillId="9" borderId="37" xfId="5" applyNumberFormat="1" applyFont="1" applyFill="1" applyBorder="1" applyAlignment="1">
      <alignment horizontal="center"/>
    </xf>
    <xf numFmtId="2" fontId="5" fillId="0" borderId="37" xfId="5" applyNumberFormat="1" applyFont="1" applyBorder="1" applyAlignment="1">
      <alignment horizontal="center"/>
    </xf>
    <xf numFmtId="2" fontId="5" fillId="0" borderId="38" xfId="5" applyNumberFormat="1" applyFont="1" applyBorder="1" applyAlignment="1">
      <alignment horizontal="center"/>
    </xf>
    <xf numFmtId="2" fontId="5" fillId="9" borderId="36" xfId="5" applyNumberFormat="1" applyFont="1" applyFill="1" applyBorder="1" applyAlignment="1">
      <alignment horizontal="center"/>
    </xf>
    <xf numFmtId="2" fontId="5" fillId="9" borderId="38" xfId="5" applyNumberFormat="1" applyFont="1" applyFill="1" applyBorder="1" applyAlignment="1">
      <alignment horizontal="center"/>
    </xf>
    <xf numFmtId="2" fontId="5" fillId="0" borderId="26" xfId="5" applyNumberFormat="1" applyFont="1" applyBorder="1" applyAlignment="1">
      <alignment horizontal="center"/>
    </xf>
    <xf numFmtId="0" fontId="1" fillId="19" borderId="0" xfId="4" applyFont="1" applyFill="1"/>
    <xf numFmtId="0" fontId="1" fillId="19" borderId="0" xfId="4" applyFont="1" applyFill="1" applyAlignment="1">
      <alignment horizontal="center"/>
    </xf>
    <xf numFmtId="0" fontId="4" fillId="21" borderId="0" xfId="4" applyFont="1" applyFill="1"/>
    <xf numFmtId="0" fontId="5" fillId="21" borderId="0" xfId="4" applyFont="1" applyFill="1" applyAlignment="1">
      <alignment horizontal="center"/>
    </xf>
    <xf numFmtId="0" fontId="5" fillId="21" borderId="0" xfId="4" applyFont="1" applyFill="1"/>
    <xf numFmtId="168" fontId="4" fillId="0" borderId="2" xfId="0" applyNumberFormat="1" applyFont="1" applyBorder="1" applyAlignment="1">
      <alignment horizontal="center"/>
    </xf>
    <xf numFmtId="177" fontId="5" fillId="0" borderId="0" xfId="1" applyNumberFormat="1" applyFont="1" applyAlignment="1">
      <alignment horizontal="center"/>
    </xf>
    <xf numFmtId="168" fontId="5" fillId="0" borderId="2" xfId="0" applyNumberFormat="1" applyFont="1" applyBorder="1" applyAlignment="1">
      <alignment horizontal="center"/>
    </xf>
    <xf numFmtId="0" fontId="25" fillId="0" borderId="0" xfId="0" applyFont="1"/>
    <xf numFmtId="0" fontId="43" fillId="0" borderId="0" xfId="0" applyFont="1"/>
    <xf numFmtId="0" fontId="27" fillId="0" borderId="0" xfId="0" applyFont="1"/>
    <xf numFmtId="0" fontId="35" fillId="0" borderId="0" xfId="0" applyFont="1"/>
    <xf numFmtId="0" fontId="35" fillId="0" borderId="12" xfId="0" applyFont="1" applyBorder="1" applyAlignment="1">
      <alignment wrapText="1"/>
    </xf>
    <xf numFmtId="0" fontId="35" fillId="0" borderId="13" xfId="0" applyFont="1" applyBorder="1"/>
    <xf numFmtId="0" fontId="45" fillId="0" borderId="0" xfId="0" applyFont="1"/>
    <xf numFmtId="0" fontId="25" fillId="19" borderId="0" xfId="0" applyFont="1" applyFill="1"/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36" fillId="0" borderId="0" xfId="0" applyFont="1" applyAlignment="1">
      <alignment horizontal="right"/>
    </xf>
    <xf numFmtId="14" fontId="40" fillId="22" borderId="7" xfId="0" applyNumberFormat="1" applyFont="1" applyFill="1" applyBorder="1"/>
    <xf numFmtId="0" fontId="48" fillId="0" borderId="0" xfId="0" applyFont="1"/>
    <xf numFmtId="0" fontId="50" fillId="18" borderId="0" xfId="0" applyFont="1" applyFill="1" applyAlignment="1">
      <alignment horizontal="center" wrapText="1"/>
    </xf>
    <xf numFmtId="0" fontId="48" fillId="23" borderId="47" xfId="0" applyFont="1" applyFill="1" applyBorder="1"/>
    <xf numFmtId="165" fontId="30" fillId="23" borderId="48" xfId="0" applyNumberFormat="1" applyFont="1" applyFill="1" applyBorder="1"/>
    <xf numFmtId="0" fontId="48" fillId="24" borderId="49" xfId="0" applyFont="1" applyFill="1" applyBorder="1"/>
    <xf numFmtId="165" fontId="30" fillId="24" borderId="50" xfId="0" applyNumberFormat="1" applyFont="1" applyFill="1" applyBorder="1"/>
    <xf numFmtId="0" fontId="48" fillId="20" borderId="49" xfId="0" applyFont="1" applyFill="1" applyBorder="1"/>
    <xf numFmtId="10" fontId="49" fillId="20" borderId="50" xfId="0" applyNumberFormat="1" applyFont="1" applyFill="1" applyBorder="1"/>
    <xf numFmtId="10" fontId="51" fillId="20" borderId="50" xfId="0" applyNumberFormat="1" applyFont="1" applyFill="1" applyBorder="1"/>
    <xf numFmtId="0" fontId="8" fillId="19" borderId="51" xfId="0" applyFont="1" applyFill="1" applyBorder="1"/>
    <xf numFmtId="10" fontId="44" fillId="19" borderId="52" xfId="0" applyNumberFormat="1" applyFont="1" applyFill="1" applyBorder="1"/>
    <xf numFmtId="0" fontId="1" fillId="19" borderId="12" xfId="0" applyFont="1" applyFill="1" applyBorder="1" applyAlignment="1">
      <alignment wrapText="1"/>
    </xf>
    <xf numFmtId="0" fontId="1" fillId="19" borderId="13" xfId="0" applyFont="1" applyFill="1" applyBorder="1"/>
    <xf numFmtId="0" fontId="52" fillId="25" borderId="13" xfId="0" applyFont="1" applyFill="1" applyBorder="1" applyAlignment="1">
      <alignment horizontal="center"/>
    </xf>
    <xf numFmtId="0" fontId="52" fillId="25" borderId="15" xfId="0" applyFont="1" applyFill="1" applyBorder="1" applyAlignment="1">
      <alignment horizontal="center"/>
    </xf>
    <xf numFmtId="0" fontId="1" fillId="19" borderId="53" xfId="0" applyFont="1" applyFill="1" applyBorder="1" applyAlignment="1">
      <alignment wrapText="1"/>
    </xf>
    <xf numFmtId="0" fontId="1" fillId="19" borderId="54" xfId="0" applyFont="1" applyFill="1" applyBorder="1"/>
    <xf numFmtId="0" fontId="53" fillId="22" borderId="49" xfId="0" applyFont="1" applyFill="1" applyBorder="1" applyAlignment="1">
      <alignment wrapText="1"/>
    </xf>
    <xf numFmtId="0" fontId="54" fillId="22" borderId="55" xfId="0" applyFont="1" applyFill="1" applyBorder="1" applyAlignment="1">
      <alignment horizontal="center"/>
    </xf>
    <xf numFmtId="0" fontId="53" fillId="22" borderId="51" xfId="0" applyFont="1" applyFill="1" applyBorder="1" applyAlignment="1">
      <alignment wrapText="1"/>
    </xf>
    <xf numFmtId="0" fontId="54" fillId="22" borderId="56" xfId="0" applyFont="1" applyFill="1" applyBorder="1" applyAlignment="1">
      <alignment horizontal="center"/>
    </xf>
    <xf numFmtId="0" fontId="1" fillId="19" borderId="33" xfId="4" applyFont="1" applyFill="1" applyBorder="1" applyAlignment="1">
      <alignment wrapText="1"/>
    </xf>
    <xf numFmtId="0" fontId="39" fillId="19" borderId="30" xfId="4" applyFont="1" applyFill="1" applyBorder="1"/>
    <xf numFmtId="0" fontId="4" fillId="0" borderId="0" xfId="4" applyFont="1"/>
    <xf numFmtId="0" fontId="39" fillId="0" borderId="0" xfId="4" applyFont="1"/>
    <xf numFmtId="0" fontId="57" fillId="10" borderId="8" xfId="0" applyFont="1" applyFill="1" applyBorder="1"/>
    <xf numFmtId="0" fontId="57" fillId="10" borderId="12" xfId="0" applyFont="1" applyFill="1" applyBorder="1"/>
    <xf numFmtId="0" fontId="57" fillId="10" borderId="42" xfId="0" applyFont="1" applyFill="1" applyBorder="1"/>
    <xf numFmtId="0" fontId="57" fillId="10" borderId="45" xfId="0" applyFont="1" applyFill="1" applyBorder="1"/>
    <xf numFmtId="166" fontId="58" fillId="0" borderId="0" xfId="0" applyNumberFormat="1" applyFont="1" applyAlignment="1">
      <alignment horizontal="center"/>
    </xf>
    <xf numFmtId="166" fontId="58" fillId="0" borderId="0" xfId="1" applyNumberFormat="1" applyFont="1" applyAlignment="1">
      <alignment horizontal="center"/>
    </xf>
    <xf numFmtId="168" fontId="58" fillId="0" borderId="0" xfId="0" applyNumberFormat="1" applyFont="1" applyAlignment="1">
      <alignment horizontal="center"/>
    </xf>
    <xf numFmtId="0" fontId="58" fillId="0" borderId="0" xfId="0" applyFont="1"/>
    <xf numFmtId="0" fontId="58" fillId="0" borderId="0" xfId="0" applyFont="1" applyAlignment="1">
      <alignment horizontal="center"/>
    </xf>
    <xf numFmtId="2" fontId="58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7" fillId="2" borderId="1" xfId="0" applyFont="1" applyFill="1" applyBorder="1" applyAlignment="1">
      <alignment horizontal="left"/>
    </xf>
    <xf numFmtId="0" fontId="57" fillId="2" borderId="1" xfId="0" applyFont="1" applyFill="1" applyBorder="1" applyAlignment="1">
      <alignment horizontal="center"/>
    </xf>
    <xf numFmtId="1" fontId="57" fillId="2" borderId="1" xfId="0" applyNumberFormat="1" applyFont="1" applyFill="1" applyBorder="1" applyAlignment="1">
      <alignment horizontal="center"/>
    </xf>
    <xf numFmtId="9" fontId="4" fillId="0" borderId="2" xfId="1" applyFont="1" applyBorder="1" applyAlignment="1">
      <alignment horizontal="center"/>
    </xf>
    <xf numFmtId="9" fontId="4" fillId="3" borderId="0" xfId="1" applyFont="1" applyFill="1" applyAlignment="1">
      <alignment horizontal="center"/>
    </xf>
    <xf numFmtId="9" fontId="4" fillId="3" borderId="3" xfId="1" applyFont="1" applyFill="1" applyBorder="1" applyAlignment="1">
      <alignment horizontal="center"/>
    </xf>
    <xf numFmtId="9" fontId="0" fillId="0" borderId="0" xfId="1" applyFont="1"/>
    <xf numFmtId="0" fontId="4" fillId="3" borderId="3" xfId="0" applyFon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0" fontId="57" fillId="2" borderId="0" xfId="0" applyFont="1" applyFill="1"/>
    <xf numFmtId="9" fontId="4" fillId="0" borderId="5" xfId="1" applyFont="1" applyBorder="1" applyAlignment="1">
      <alignment horizontal="center"/>
    </xf>
    <xf numFmtId="168" fontId="60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0" fontId="62" fillId="0" borderId="0" xfId="0" applyFont="1"/>
    <xf numFmtId="0" fontId="64" fillId="0" borderId="0" xfId="0" applyFont="1"/>
    <xf numFmtId="0" fontId="60" fillId="0" borderId="0" xfId="0" applyFont="1"/>
    <xf numFmtId="166" fontId="65" fillId="0" borderId="0" xfId="0" applyNumberFormat="1" applyFont="1" applyAlignment="1">
      <alignment horizontal="center"/>
    </xf>
    <xf numFmtId="166" fontId="64" fillId="0" borderId="0" xfId="0" applyNumberFormat="1" applyFont="1" applyAlignment="1">
      <alignment horizontal="center"/>
    </xf>
    <xf numFmtId="0" fontId="66" fillId="0" borderId="0" xfId="0" applyFont="1"/>
    <xf numFmtId="0" fontId="60" fillId="20" borderId="0" xfId="0" applyFont="1" applyFill="1"/>
    <xf numFmtId="166" fontId="60" fillId="20" borderId="0" xfId="1" applyNumberFormat="1" applyFont="1" applyFill="1" applyBorder="1" applyAlignment="1">
      <alignment horizontal="center"/>
    </xf>
    <xf numFmtId="164" fontId="67" fillId="5" borderId="2" xfId="0" applyNumberFormat="1" applyFont="1" applyFill="1" applyBorder="1" applyAlignment="1">
      <alignment horizontal="center"/>
    </xf>
    <xf numFmtId="168" fontId="67" fillId="5" borderId="2" xfId="0" applyNumberFormat="1" applyFont="1" applyFill="1" applyBorder="1" applyAlignment="1">
      <alignment horizontal="center"/>
    </xf>
    <xf numFmtId="0" fontId="63" fillId="4" borderId="0" xfId="0" applyFont="1" applyFill="1"/>
    <xf numFmtId="0" fontId="4" fillId="5" borderId="5" xfId="0" applyFont="1" applyFill="1" applyBorder="1"/>
    <xf numFmtId="0" fontId="4" fillId="3" borderId="6" xfId="0" applyFont="1" applyFill="1" applyBorder="1"/>
    <xf numFmtId="49" fontId="68" fillId="19" borderId="0" xfId="0" applyNumberFormat="1" applyFont="1" applyFill="1" applyAlignment="1">
      <alignment horizontal="center"/>
    </xf>
    <xf numFmtId="0" fontId="69" fillId="0" borderId="0" xfId="0" applyFont="1"/>
    <xf numFmtId="0" fontId="63" fillId="0" borderId="0" xfId="0" applyFont="1"/>
    <xf numFmtId="0" fontId="70" fillId="0" borderId="0" xfId="0" applyFont="1"/>
    <xf numFmtId="9" fontId="0" fillId="0" borderId="0" xfId="1" applyFont="1" applyAlignment="1">
      <alignment horizontal="center"/>
    </xf>
    <xf numFmtId="166" fontId="71" fillId="0" borderId="0" xfId="1" applyNumberFormat="1" applyFont="1" applyAlignment="1">
      <alignment horizontal="center"/>
    </xf>
    <xf numFmtId="0" fontId="71" fillId="0" borderId="0" xfId="0" applyFont="1" applyAlignment="1">
      <alignment horizontal="center"/>
    </xf>
    <xf numFmtId="0" fontId="8" fillId="19" borderId="9" xfId="0" applyFont="1" applyFill="1" applyBorder="1" applyAlignment="1">
      <alignment wrapText="1"/>
    </xf>
    <xf numFmtId="0" fontId="8" fillId="19" borderId="11" xfId="0" applyFont="1" applyFill="1" applyBorder="1"/>
    <xf numFmtId="0" fontId="60" fillId="0" borderId="12" xfId="0" applyFont="1" applyBorder="1"/>
    <xf numFmtId="0" fontId="60" fillId="0" borderId="14" xfId="0" applyFont="1" applyBorder="1"/>
    <xf numFmtId="0" fontId="72" fillId="24" borderId="12" xfId="0" applyFont="1" applyFill="1" applyBorder="1" applyAlignment="1">
      <alignment wrapText="1"/>
    </xf>
    <xf numFmtId="0" fontId="72" fillId="24" borderId="12" xfId="0" applyFont="1" applyFill="1" applyBorder="1"/>
    <xf numFmtId="166" fontId="5" fillId="0" borderId="26" xfId="1" applyNumberFormat="1" applyFont="1" applyBorder="1"/>
    <xf numFmtId="0" fontId="30" fillId="0" borderId="9" xfId="0" applyFont="1" applyBorder="1"/>
    <xf numFmtId="0" fontId="5" fillId="0" borderId="10" xfId="0" applyFont="1" applyBorder="1"/>
    <xf numFmtId="0" fontId="31" fillId="0" borderId="12" xfId="0" applyFont="1" applyBorder="1"/>
    <xf numFmtId="0" fontId="28" fillId="0" borderId="12" xfId="0" applyFont="1" applyBorder="1"/>
    <xf numFmtId="1" fontId="1" fillId="19" borderId="46" xfId="0" applyNumberFormat="1" applyFont="1" applyFill="1" applyBorder="1" applyAlignment="1">
      <alignment horizontal="center"/>
    </xf>
    <xf numFmtId="0" fontId="38" fillId="6" borderId="12" xfId="0" applyFont="1" applyFill="1" applyBorder="1"/>
    <xf numFmtId="0" fontId="5" fillId="6" borderId="13" xfId="0" applyFont="1" applyFill="1" applyBorder="1"/>
    <xf numFmtId="168" fontId="5" fillId="0" borderId="13" xfId="0" applyNumberFormat="1" applyFont="1" applyBorder="1" applyAlignment="1">
      <alignment horizontal="center"/>
    </xf>
    <xf numFmtId="0" fontId="4" fillId="0" borderId="57" xfId="0" applyFont="1" applyBorder="1"/>
    <xf numFmtId="168" fontId="4" fillId="0" borderId="58" xfId="0" applyNumberFormat="1" applyFont="1" applyBorder="1" applyAlignment="1">
      <alignment horizontal="center"/>
    </xf>
    <xf numFmtId="0" fontId="4" fillId="20" borderId="57" xfId="0" applyFont="1" applyFill="1" applyBorder="1"/>
    <xf numFmtId="168" fontId="4" fillId="20" borderId="59" xfId="0" applyNumberFormat="1" applyFont="1" applyFill="1" applyBorder="1" applyAlignment="1">
      <alignment horizontal="center"/>
    </xf>
    <xf numFmtId="0" fontId="29" fillId="0" borderId="12" xfId="0" applyFont="1" applyBorder="1"/>
    <xf numFmtId="168" fontId="5" fillId="0" borderId="13" xfId="0" applyNumberFormat="1" applyFont="1" applyBorder="1"/>
    <xf numFmtId="0" fontId="38" fillId="0" borderId="12" xfId="0" applyFont="1" applyBorder="1"/>
    <xf numFmtId="0" fontId="4" fillId="6" borderId="12" xfId="0" applyFont="1" applyFill="1" applyBorder="1"/>
    <xf numFmtId="168" fontId="5" fillId="6" borderId="1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177" fontId="5" fillId="0" borderId="13" xfId="0" applyNumberFormat="1" applyFont="1" applyBorder="1" applyAlignment="1">
      <alignment horizontal="center"/>
    </xf>
    <xf numFmtId="166" fontId="5" fillId="0" borderId="0" xfId="1" applyNumberFormat="1" applyFont="1" applyBorder="1" applyAlignment="1">
      <alignment horizontal="center"/>
    </xf>
    <xf numFmtId="166" fontId="5" fillId="0" borderId="13" xfId="1" applyNumberFormat="1" applyFont="1" applyBorder="1" applyAlignment="1">
      <alignment horizontal="center"/>
    </xf>
    <xf numFmtId="0" fontId="4" fillId="6" borderId="57" xfId="0" applyFont="1" applyFill="1" applyBorder="1"/>
    <xf numFmtId="168" fontId="4" fillId="6" borderId="58" xfId="0" applyNumberFormat="1" applyFont="1" applyFill="1" applyBorder="1" applyAlignment="1">
      <alignment horizontal="center"/>
    </xf>
    <xf numFmtId="168" fontId="4" fillId="0" borderId="59" xfId="0" applyNumberFormat="1" applyFont="1" applyBorder="1" applyAlignment="1">
      <alignment horizontal="center"/>
    </xf>
    <xf numFmtId="9" fontId="4" fillId="0" borderId="58" xfId="1" applyFont="1" applyBorder="1" applyAlignment="1">
      <alignment horizontal="center"/>
    </xf>
    <xf numFmtId="166" fontId="5" fillId="6" borderId="13" xfId="0" applyNumberFormat="1" applyFont="1" applyFill="1" applyBorder="1" applyAlignment="1">
      <alignment horizontal="center"/>
    </xf>
    <xf numFmtId="9" fontId="5" fillId="0" borderId="0" xfId="1" applyFont="1" applyBorder="1" applyAlignment="1">
      <alignment horizontal="center"/>
    </xf>
    <xf numFmtId="9" fontId="5" fillId="0" borderId="13" xfId="1" applyFont="1" applyBorder="1" applyAlignment="1">
      <alignment horizontal="center"/>
    </xf>
    <xf numFmtId="0" fontId="4" fillId="2" borderId="12" xfId="0" applyFont="1" applyFill="1" applyBorder="1"/>
    <xf numFmtId="168" fontId="5" fillId="2" borderId="13" xfId="0" applyNumberFormat="1" applyFont="1" applyFill="1" applyBorder="1" applyAlignment="1">
      <alignment horizontal="center"/>
    </xf>
    <xf numFmtId="0" fontId="4" fillId="20" borderId="60" xfId="0" applyFont="1" applyFill="1" applyBorder="1"/>
    <xf numFmtId="168" fontId="4" fillId="20" borderId="17" xfId="0" applyNumberFormat="1" applyFont="1" applyFill="1" applyBorder="1" applyAlignment="1">
      <alignment horizontal="center"/>
    </xf>
    <xf numFmtId="168" fontId="4" fillId="20" borderId="61" xfId="0" applyNumberFormat="1" applyFont="1" applyFill="1" applyBorder="1" applyAlignment="1">
      <alignment horizontal="center"/>
    </xf>
    <xf numFmtId="0" fontId="1" fillId="19" borderId="42" xfId="0" applyFont="1" applyFill="1" applyBorder="1"/>
    <xf numFmtId="1" fontId="1" fillId="19" borderId="43" xfId="0" applyNumberFormat="1" applyFont="1" applyFill="1" applyBorder="1" applyAlignment="1">
      <alignment horizontal="center"/>
    </xf>
    <xf numFmtId="1" fontId="1" fillId="19" borderId="44" xfId="0" applyNumberFormat="1" applyFont="1" applyFill="1" applyBorder="1" applyAlignment="1">
      <alignment horizontal="center"/>
    </xf>
    <xf numFmtId="0" fontId="4" fillId="0" borderId="62" xfId="0" applyFont="1" applyBorder="1"/>
    <xf numFmtId="1" fontId="5" fillId="0" borderId="0" xfId="0" applyNumberFormat="1" applyFont="1"/>
    <xf numFmtId="1" fontId="5" fillId="0" borderId="13" xfId="0" applyNumberFormat="1" applyFont="1" applyBorder="1"/>
    <xf numFmtId="10" fontId="5" fillId="0" borderId="0" xfId="0" applyNumberFormat="1" applyFont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0" fontId="4" fillId="0" borderId="14" xfId="0" applyFont="1" applyBorder="1"/>
    <xf numFmtId="168" fontId="5" fillId="0" borderId="4" xfId="0" applyNumberFormat="1" applyFont="1" applyBorder="1" applyAlignment="1">
      <alignment horizontal="center"/>
    </xf>
    <xf numFmtId="168" fontId="5" fillId="0" borderId="15" xfId="0" applyNumberFormat="1" applyFont="1" applyBorder="1" applyAlignment="1">
      <alignment horizontal="center"/>
    </xf>
    <xf numFmtId="179" fontId="5" fillId="0" borderId="0" xfId="0" applyNumberFormat="1" applyFont="1" applyAlignment="1">
      <alignment horizontal="center"/>
    </xf>
    <xf numFmtId="0" fontId="57" fillId="7" borderId="0" xfId="3" applyFont="1" applyFill="1" applyAlignment="1">
      <alignment horizontal="centerContinuous"/>
    </xf>
    <xf numFmtId="0" fontId="73" fillId="7" borderId="0" xfId="3" applyFont="1" applyFill="1" applyAlignment="1">
      <alignment horizontal="centerContinuous"/>
    </xf>
    <xf numFmtId="0" fontId="32" fillId="0" borderId="0" xfId="3" applyFont="1" applyAlignment="1">
      <alignment horizontal="center"/>
    </xf>
    <xf numFmtId="0" fontId="4" fillId="0" borderId="0" xfId="3" applyFont="1" applyAlignment="1">
      <alignment horizontal="center"/>
    </xf>
  </cellXfs>
  <cellStyles count="10">
    <cellStyle name="Comma 2" xfId="7" xr:uid="{21DED4D0-9DFF-47FB-BBC6-DCBB165E42C3}"/>
    <cellStyle name="Currency 2" xfId="8" xr:uid="{4DAABDF3-1C1B-4583-9F6F-A9C1DFF0AAC1}"/>
    <cellStyle name="Hyperlink" xfId="2" builtinId="8"/>
    <cellStyle name="Normal" xfId="0" builtinId="0"/>
    <cellStyle name="Normal 2" xfId="4" xr:uid="{93BAF22B-793E-4589-809C-CE60DB07CA15}"/>
    <cellStyle name="Normal 3" xfId="3" xr:uid="{AA89E765-F776-4EB9-99D9-81AD328FC9FB}"/>
    <cellStyle name="Normal_PiranhaWeb Comps Model 3" xfId="9" xr:uid="{D44A6B3A-7541-481E-98D4-2CE131A9E26C}"/>
    <cellStyle name="Percent" xfId="1" builtinId="5"/>
    <cellStyle name="Percent 2" xfId="6" xr:uid="{FACC8AA9-D0B1-4D21-846C-95EE578C5DAA}"/>
    <cellStyle name="Percent 3" xfId="5" xr:uid="{BCF72AC3-95DF-4263-BA88-96ABB96BC33A}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9180</xdr:colOff>
      <xdr:row>0</xdr:row>
      <xdr:rowOff>0</xdr:rowOff>
    </xdr:from>
    <xdr:to>
      <xdr:col>16</xdr:col>
      <xdr:colOff>503172</xdr:colOff>
      <xdr:row>15</xdr:row>
      <xdr:rowOff>102734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139D9E-5336-BEA1-DB5F-54085E65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3276" y="0"/>
          <a:ext cx="6018883" cy="35967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ravan Kumar Reddy Vemireddy" id="{D5E2E798-784C-4E12-AA53-2129E2F8343A}" userId="S::svemired@umd.edu::74dab305-3015-4575-a60b-813033a682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3-15T02:32:29.99" personId="{D5E2E798-784C-4E12-AA53-2129E2F8343A}" id="{2E6362A4-8BD8-4C4A-B7BE-8B366C6B5074}">
    <text>Source: General Dynamics 2022 10-K Annual Report (2022 10k bd.pdf), Revenue by Major Products &amp; Services, Segment Information, and Backlog</text>
  </threadedComment>
  <threadedComment ref="D8" dT="2026-03-15T02:32:30.00" personId="{D5E2E798-784C-4E12-AA53-2129E2F8343A}" id="{3073F9D7-6185-4297-9C31-0C6DB5B4EC5F}">
    <text>Source: General Dynamics 2023 10-K Annual Report (2023 10k gd.pdf), Revenue by Major Products &amp; Services, Segment Information, and Backlog</text>
  </threadedComment>
  <threadedComment ref="E8" dT="2026-03-15T02:32:30.01" personId="{D5E2E798-784C-4E12-AA53-2129E2F8343A}" id="{A9B6B299-1BAD-430C-80D7-C29F6C2A0C01}">
    <text>Source: General Dynamics 2024 10-K Annual Report (2024 10k gd.pdf), Revenue by Major Products &amp; Services, Segment Information, and Backlog</text>
  </threadedComment>
  <threadedComment ref="F8" dT="2026-03-15T02:32:30.02" personId="{D5E2E798-784C-4E12-AA53-2129E2F8343A}" id="{F2F0CD33-EB8F-4741-A68D-170DE6944973}">
    <text>Source: General Dynamics 2025 10-K Annual Report (2025 10k gd.pdf), Revenue by Major Products &amp; Services, Segment Information, and Backlog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6-03-15T02:05:53.30" personId="{D5E2E798-784C-4E12-AA53-2129E2F8343A}" id="{2F6C3CDB-2F3F-44CD-BB11-FFAB7770B2BD}">
    <text>Source: General Dynamics 2021 10-K Annual Report (2021 10k bd.pdf), Consolidated Statement of Earnings</text>
  </threadedComment>
  <threadedComment ref="C7" dT="2026-03-15T02:05:53.31" personId="{D5E2E798-784C-4E12-AA53-2129E2F8343A}" id="{A5935ABF-E574-4ACD-A710-EBC860C5C73B}">
    <text>Source: General Dynamics 2022 10-K Annual Report (2022 10k bd.pdf), Consolidated Statement of Earnings</text>
  </threadedComment>
  <threadedComment ref="D7" dT="2026-03-15T02:05:53.32" personId="{D5E2E798-784C-4E12-AA53-2129E2F8343A}" id="{1991F28D-24AA-462E-96DD-2B8F27156F48}">
    <text>Source: General Dynamics 2023 10-K Annual Report (2023 10k gd.pdf), Consolidated Statement of Earnings</text>
  </threadedComment>
  <threadedComment ref="E7" dT="2026-03-15T02:05:53.33" personId="{D5E2E798-784C-4E12-AA53-2129E2F8343A}" id="{9AD9DF98-1085-4A91-B3CC-2E0BA819DFF4}">
    <text>Source: General Dynamics 2024 10-K Annual Report (2024 10k gd.pdf), Consolidated Statement of Earnings</text>
  </threadedComment>
  <threadedComment ref="F7" dT="2026-03-15T02:05:53.34" personId="{D5E2E798-784C-4E12-AA53-2129E2F8343A}" id="{36D74A2B-B7FF-4323-B63D-3492C58F8EF4}">
    <text>Source: General Dynamics 2025 10-K Annual Report (2025 10k gd.pdf), Consolidated Statement of Earnings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8" dT="2026-03-15T02:10:37.31" personId="{D5E2E798-784C-4E12-AA53-2129E2F8343A}" id="{16497248-41CA-460E-AFE1-295E17EA4166}">
    <text>Source: General Dynamics 2021 10-K Annual Report (2021 10k bd.pdf), Consolidated Balance Sheet</text>
  </threadedComment>
  <threadedComment ref="C8" dT="2026-03-15T02:10:37.31" personId="{D5E2E798-784C-4E12-AA53-2129E2F8343A}" id="{E6C8982D-975C-476B-B5D2-3D9145596A45}">
    <text>Source: General Dynamics 2022 10-K Annual Report (2022 10k bd.pdf), Consolidated Balance Sheet</text>
  </threadedComment>
  <threadedComment ref="D8" dT="2026-03-15T02:10:37.32" personId="{D5E2E798-784C-4E12-AA53-2129E2F8343A}" id="{A6EC8726-A4FB-4394-8A1D-B1C4C543A017}">
    <text>Source: General Dynamics 2023 10-K Annual Report (2023 10k gd.pdf), Consolidated Balance Sheet</text>
  </threadedComment>
  <threadedComment ref="E8" dT="2026-03-15T02:10:37.32" personId="{D5E2E798-784C-4E12-AA53-2129E2F8343A}" id="{62301C26-7C37-4FA9-BC2E-1AA33BCB6D63}">
    <text>Source: General Dynamics 2024 10-K Annual Report (2024 10k gd.pdf), Consolidated Balance Sheet</text>
  </threadedComment>
  <threadedComment ref="F8" dT="2026-03-15T02:10:37.33" personId="{D5E2E798-784C-4E12-AA53-2129E2F8343A}" id="{FE629813-10BE-4BE1-ABA7-3B5C20F935FF}">
    <text>Source: General Dynamics 2025 10-K Annual Report (2025 10k gd.pdf), Consolidated Balance Sheet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8" dT="2026-03-15T16:26:01.87" personId="{D5E2E798-784C-4E12-AA53-2129E2F8343A}" id="{2400733D-DB70-4F3D-A040-FD6852616CD3}">
    <text>Source: Derived from GD FY2020 10-K retained earnings balance. Source: SEC EDGAR, https://www.sec.gov/Archives/edgar/data/40533/000004053321000010/gd-20201231.htm</text>
  </threadedComment>
  <threadedComment ref="G10" dT="2026-03-15T16:26:01.90" personId="{D5E2E798-784C-4E12-AA53-2129E2F8343A}" id="{629534AD-1329-44A2-88D3-68A5CC81D0AE}">
    <text>Assumption: Dividends grow at 5% per year, consistent with GD's historical dividend growth rate .</text>
  </threadedComment>
  <threadedComment ref="B17" dT="2026-03-15T16:26:01.88" personId="{D5E2E798-784C-4E12-AA53-2129E2F8343A}" id="{AA919549-2936-44A4-AFC8-147B88AE6221}">
    <text>Source: Derived from GD FY2020 10-K treasury stock balance. Source: SEC EDGAR, https://www.sec.gov/Archives/edgar/data/40533/000004053321000010/gd-20201231.htm</text>
  </threadedComment>
  <threadedComment ref="G18" dT="2026-03-15T16:26:01.91" personId="{D5E2E798-784C-4E12-AA53-2129E2F8343A}" id="{02D6A480-F977-4356-BBDC-F71B7165D570}">
    <text>Assumption: Share repurchases of ~$1,500M/year based on GD's average historical repurchase activity.</text>
  </threadedComment>
  <threadedComment ref="B26" dT="2026-03-15T16:26:01.89" personId="{D5E2E798-784C-4E12-AA53-2129E2F8343A}" id="{77D1D833-E9EF-4875-88FB-2435FE39EC14}">
    <text>Source: Derived from GD FY2020 10-K surplus/APIC balance. Source: SEC EDGAR, https://www.sec.gov/Archives/edgar/data/40533/000004053321000010/gd-20201231.htm</text>
  </threadedComment>
  <threadedComment ref="B36" dT="2026-03-15T16:26:01.89" personId="{D5E2E798-784C-4E12-AA53-2129E2F8343A}" id="{7B951276-876D-405B-90BC-29F4A9E4CAE6}">
    <text>Source: Derived from GD FY2020 10-K AOCI balance. Source: SEC EDGAR, https://www.sec.gov/Archives/edgar/data/40533/000004053321000010/gd-20201231.htm</text>
  </threadedComment>
  <threadedComment ref="G37" dT="2026-03-15T16:26:01.92" personId="{D5E2E798-784C-4E12-AA53-2129E2F8343A}" id="{F91BD7FC-1DC1-4994-92B6-2118EE25CA71}">
    <text>Assumption: AOCI gradually normalizes toward zero reflecting expected pension and FX adjustments.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89A616E-0EE5-404D-BB18-893A8558EF13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D83EC22-D082-450D-B3CD-B5A3AC500CC3}">
  <we:reference id="wa200000565" version="1.0.0.80" store="en-US" storeType="OMEX"/>
  <we:alternateReferences>
    <we:reference id="WA200000565" version="1.0.0.80" store="" storeType="OMEX"/>
  </we:alternateReferences>
  <we:properties>
    <we:property name="userSettings_GEDTC-1080297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false,\&quot;headerPosition\&quot;:\&quot;Column\&quot;},\&quot;commonUserFundamentalsType\&quot;:\&quot;PLATFORM_DEFAULT\&quot;,\&quot;pauseMode\&quot;:false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sj.com/mdc/public/page/2_3021-peyield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AB69-D7F7-453F-93D1-2ADD500F5671}">
  <dimension ref="C3:I24"/>
  <sheetViews>
    <sheetView zoomScale="55" workbookViewId="0">
      <selection activeCell="F19" sqref="F19"/>
    </sheetView>
  </sheetViews>
  <sheetFormatPr defaultColWidth="11.5546875" defaultRowHeight="14.4" x14ac:dyDescent="0.3"/>
  <cols>
    <col min="4" max="4" width="34.21875" customWidth="1"/>
    <col min="5" max="5" width="29.6640625" customWidth="1"/>
    <col min="8" max="8" width="33.33203125" customWidth="1"/>
    <col min="9" max="9" width="11.109375" customWidth="1"/>
  </cols>
  <sheetData>
    <row r="3" spans="3:9" ht="18" x14ac:dyDescent="0.35">
      <c r="C3" s="358"/>
      <c r="D3" s="358"/>
      <c r="E3" s="358"/>
      <c r="F3" s="358"/>
      <c r="G3" s="358"/>
      <c r="H3" s="358"/>
      <c r="I3" s="358"/>
    </row>
    <row r="4" spans="3:9" ht="18" x14ac:dyDescent="0.35">
      <c r="C4" s="358"/>
      <c r="D4" s="358"/>
      <c r="E4" s="358"/>
      <c r="F4" s="358"/>
      <c r="G4" s="358"/>
      <c r="H4" s="358"/>
      <c r="I4" s="358"/>
    </row>
    <row r="5" spans="3:9" ht="28.8" x14ac:dyDescent="0.55000000000000004">
      <c r="C5" s="351"/>
      <c r="D5" s="352"/>
      <c r="E5" s="359" t="s">
        <v>388</v>
      </c>
      <c r="F5" s="352"/>
      <c r="G5" s="352"/>
      <c r="H5" s="352"/>
      <c r="I5" s="352"/>
    </row>
    <row r="6" spans="3:9" ht="18" x14ac:dyDescent="0.35">
      <c r="C6" s="351"/>
      <c r="D6" s="352"/>
      <c r="E6" s="360" t="s">
        <v>391</v>
      </c>
      <c r="F6" s="352"/>
      <c r="G6" s="352"/>
      <c r="H6" s="352"/>
      <c r="I6" s="352"/>
    </row>
    <row r="7" spans="3:9" ht="18" x14ac:dyDescent="0.35">
      <c r="C7" s="351"/>
      <c r="E7" s="352"/>
      <c r="F7" s="352"/>
      <c r="G7" s="352"/>
      <c r="H7" s="353"/>
      <c r="I7" s="353"/>
    </row>
    <row r="8" spans="3:9" ht="18" x14ac:dyDescent="0.35">
      <c r="C8" s="351"/>
      <c r="D8" s="352"/>
      <c r="E8" s="352"/>
      <c r="F8" s="352"/>
      <c r="G8" s="352"/>
      <c r="H8" s="353"/>
      <c r="I8" s="353"/>
    </row>
    <row r="9" spans="3:9" ht="18" x14ac:dyDescent="0.35">
      <c r="C9" s="351"/>
      <c r="D9" s="352"/>
      <c r="E9" s="352"/>
      <c r="F9" s="352"/>
      <c r="G9" s="352"/>
      <c r="H9" s="353"/>
      <c r="I9" s="353"/>
    </row>
    <row r="10" spans="3:9" ht="18.600000000000001" thickBot="1" x14ac:dyDescent="0.4">
      <c r="C10" s="351"/>
      <c r="D10" s="352"/>
      <c r="E10" s="352"/>
      <c r="F10" s="352"/>
      <c r="G10" s="352"/>
      <c r="H10" s="353"/>
      <c r="I10" s="353"/>
    </row>
    <row r="11" spans="3:9" ht="18" x14ac:dyDescent="0.35">
      <c r="C11" s="351"/>
      <c r="D11" s="361" t="s">
        <v>370</v>
      </c>
      <c r="E11" s="362">
        <f ca="1">TODAY()</f>
        <v>46111</v>
      </c>
      <c r="F11" s="352"/>
      <c r="G11" s="352"/>
      <c r="H11" s="432" t="s">
        <v>371</v>
      </c>
      <c r="I11" s="433" t="s">
        <v>253</v>
      </c>
    </row>
    <row r="12" spans="3:9" ht="18" x14ac:dyDescent="0.35">
      <c r="C12" s="351"/>
      <c r="D12" s="361" t="s">
        <v>372</v>
      </c>
      <c r="E12" s="34" t="s">
        <v>0</v>
      </c>
      <c r="F12" s="352"/>
      <c r="G12" s="352"/>
      <c r="H12" s="355"/>
      <c r="I12" s="356"/>
    </row>
    <row r="13" spans="3:9" ht="18" x14ac:dyDescent="0.35">
      <c r="C13" s="351"/>
      <c r="D13" s="361" t="s">
        <v>373</v>
      </c>
      <c r="E13" s="363" t="s">
        <v>389</v>
      </c>
      <c r="F13" s="352"/>
      <c r="G13" s="352"/>
      <c r="H13" s="374" t="s">
        <v>374</v>
      </c>
      <c r="I13" s="375" t="s">
        <v>253</v>
      </c>
    </row>
    <row r="14" spans="3:9" ht="18" x14ac:dyDescent="0.35">
      <c r="C14" s="351"/>
      <c r="D14" s="361" t="s">
        <v>375</v>
      </c>
      <c r="E14" s="363" t="s">
        <v>390</v>
      </c>
      <c r="F14" s="352"/>
      <c r="G14" s="352"/>
      <c r="H14" s="436" t="s">
        <v>477</v>
      </c>
      <c r="I14" s="376">
        <v>2</v>
      </c>
    </row>
    <row r="15" spans="3:9" ht="18" x14ac:dyDescent="0.35">
      <c r="C15" s="351"/>
      <c r="D15" s="361" t="s">
        <v>376</v>
      </c>
      <c r="E15" s="364" t="str">
        <f ca="1">IF(E23&gt;=Ke!D32,"BUY","SELL")</f>
        <v>BUY</v>
      </c>
      <c r="F15" s="352"/>
      <c r="G15" s="352"/>
      <c r="H15" s="437" t="s">
        <v>478</v>
      </c>
      <c r="I15" s="376">
        <v>2</v>
      </c>
    </row>
    <row r="16" spans="3:9" ht="18.600000000000001" thickBot="1" x14ac:dyDescent="0.4">
      <c r="C16" s="351"/>
      <c r="D16" s="354"/>
      <c r="E16" s="354"/>
      <c r="F16" s="352"/>
      <c r="G16" s="352"/>
      <c r="H16" s="434" t="s">
        <v>479</v>
      </c>
      <c r="I16" s="376">
        <v>2</v>
      </c>
    </row>
    <row r="17" spans="3:9" ht="18" x14ac:dyDescent="0.35">
      <c r="C17" s="351"/>
      <c r="D17" s="365" t="s">
        <v>377</v>
      </c>
      <c r="E17" s="366">
        <f>Ke!D17</f>
        <v>340.71</v>
      </c>
      <c r="F17" s="352"/>
      <c r="G17" s="352"/>
      <c r="H17" s="434" t="s">
        <v>480</v>
      </c>
      <c r="I17" s="376">
        <v>2</v>
      </c>
    </row>
    <row r="18" spans="3:9" ht="18" x14ac:dyDescent="0.35">
      <c r="C18" s="351"/>
      <c r="D18" s="367" t="s">
        <v>378</v>
      </c>
      <c r="E18" s="368">
        <f ca="1">DCF!B8</f>
        <v>388.20096381866955</v>
      </c>
      <c r="F18" s="352"/>
      <c r="G18" s="352"/>
      <c r="H18" s="434" t="s">
        <v>476</v>
      </c>
      <c r="I18" s="376">
        <v>2</v>
      </c>
    </row>
    <row r="19" spans="3:9" ht="18.600000000000001" thickBot="1" x14ac:dyDescent="0.4">
      <c r="C19" s="351"/>
      <c r="D19" s="367" t="s">
        <v>379</v>
      </c>
      <c r="E19" s="368">
        <f ca="1">DCF!B9</f>
        <v>408.20566784877155</v>
      </c>
      <c r="F19" s="352"/>
      <c r="G19" s="352"/>
      <c r="H19" s="435" t="s">
        <v>475</v>
      </c>
      <c r="I19" s="377">
        <v>2</v>
      </c>
    </row>
    <row r="20" spans="3:9" ht="18.600000000000001" thickBot="1" x14ac:dyDescent="0.4">
      <c r="C20" s="351"/>
      <c r="D20" s="369" t="s">
        <v>380</v>
      </c>
      <c r="E20" s="370">
        <f ca="1">E18/E17-1</f>
        <v>0.1393882299277085</v>
      </c>
      <c r="F20" s="352"/>
      <c r="G20" s="352"/>
      <c r="H20" s="354"/>
      <c r="I20" s="357"/>
    </row>
    <row r="21" spans="3:9" ht="18" x14ac:dyDescent="0.35">
      <c r="C21" s="351"/>
      <c r="D21" s="369" t="s">
        <v>381</v>
      </c>
      <c r="E21" s="370">
        <f ca="1">E19/E17-1</f>
        <v>0.19810298449934427</v>
      </c>
      <c r="F21" s="352"/>
      <c r="G21" s="352"/>
      <c r="H21" s="378" t="s">
        <v>382</v>
      </c>
      <c r="I21" s="379" t="s">
        <v>253</v>
      </c>
    </row>
    <row r="22" spans="3:9" ht="18" x14ac:dyDescent="0.35">
      <c r="C22" s="351"/>
      <c r="D22" s="369" t="s">
        <v>383</v>
      </c>
      <c r="E22" s="371">
        <v>1.8200000000000001E-2</v>
      </c>
      <c r="F22" s="352"/>
      <c r="G22" s="352"/>
      <c r="H22" s="380" t="s">
        <v>384</v>
      </c>
      <c r="I22" s="381">
        <v>1</v>
      </c>
    </row>
    <row r="23" spans="3:9" ht="18.600000000000001" thickBot="1" x14ac:dyDescent="0.4">
      <c r="D23" s="372" t="s">
        <v>385</v>
      </c>
      <c r="E23" s="373">
        <f ca="1">E21+E22</f>
        <v>0.21630298449934426</v>
      </c>
      <c r="F23" s="353"/>
      <c r="G23" s="353"/>
      <c r="H23" s="380" t="s">
        <v>386</v>
      </c>
      <c r="I23" s="381">
        <v>2</v>
      </c>
    </row>
    <row r="24" spans="3:9" ht="15" thickBot="1" x14ac:dyDescent="0.35">
      <c r="D24" s="353"/>
      <c r="E24" s="353"/>
      <c r="F24" s="353"/>
      <c r="G24" s="353"/>
      <c r="H24" s="382" t="s">
        <v>387</v>
      </c>
      <c r="I24" s="383">
        <v>3</v>
      </c>
    </row>
  </sheetData>
  <conditionalFormatting sqref="E15">
    <cfRule type="containsText" dxfId="5" priority="1" operator="containsText" text="BUY">
      <formula>NOT(ISERROR(SEARCH("BUY",E15)))</formula>
    </cfRule>
    <cfRule type="containsText" dxfId="4" priority="2" operator="containsText" text="SELL">
      <formula>NOT(ISERROR(SEARCH("SELL",E15)))</formula>
    </cfRule>
  </conditionalFormatting>
  <dataValidations count="1">
    <dataValidation type="list" allowBlank="1" showInputMessage="1" showErrorMessage="1" sqref="I14:I20" xr:uid="{6A69D188-32F4-4EDB-887A-7EEE027579CE}">
      <formula1>$I$22:$I$24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9EBB-B02A-44F1-89B3-4A4FF39814DB}">
  <dimension ref="A1:L61"/>
  <sheetViews>
    <sheetView zoomScale="74" zoomScaleNormal="100" workbookViewId="0">
      <selection activeCell="L19" sqref="L19"/>
    </sheetView>
  </sheetViews>
  <sheetFormatPr defaultColWidth="8.77734375" defaultRowHeight="14.4" x14ac:dyDescent="0.3"/>
  <cols>
    <col min="1" max="1" width="25.77734375" bestFit="1" customWidth="1"/>
    <col min="2" max="6" width="9" bestFit="1" customWidth="1"/>
    <col min="7" max="7" width="9.5546875" bestFit="1" customWidth="1"/>
    <col min="8" max="8" width="9" bestFit="1" customWidth="1"/>
    <col min="9" max="9" width="10.109375" bestFit="1" customWidth="1"/>
    <col min="10" max="10" width="11.21875" bestFit="1" customWidth="1"/>
    <col min="12" max="12" width="9" bestFit="1" customWidth="1"/>
  </cols>
  <sheetData>
    <row r="1" spans="1:12" x14ac:dyDescent="0.3">
      <c r="A1" s="95"/>
      <c r="B1" s="95"/>
      <c r="C1" s="96"/>
      <c r="D1" s="96"/>
      <c r="E1" s="96"/>
      <c r="F1" s="96"/>
      <c r="G1" s="96"/>
      <c r="H1" s="96"/>
      <c r="I1" s="96"/>
      <c r="J1" s="27"/>
      <c r="K1" s="27"/>
      <c r="L1" s="27"/>
    </row>
    <row r="2" spans="1:12" ht="15" thickBot="1" x14ac:dyDescent="0.35">
      <c r="A2" s="97"/>
      <c r="B2" s="96"/>
      <c r="C2" s="96"/>
      <c r="D2" s="96"/>
      <c r="E2" s="96"/>
      <c r="F2" s="96"/>
      <c r="G2" s="487" t="s">
        <v>227</v>
      </c>
      <c r="H2" s="488"/>
      <c r="I2" s="488"/>
      <c r="J2" s="27"/>
      <c r="K2" s="27"/>
      <c r="L2" s="27"/>
    </row>
    <row r="3" spans="1:12" x14ac:dyDescent="0.3">
      <c r="A3" s="98" t="s">
        <v>228</v>
      </c>
      <c r="B3" s="99">
        <f>Ke!D32</f>
        <v>7.5163556986624247E-2</v>
      </c>
      <c r="C3" s="100"/>
      <c r="D3" s="96"/>
      <c r="E3" s="96"/>
      <c r="F3" s="96"/>
      <c r="G3" s="101">
        <f ca="1">TODAY()</f>
        <v>46111</v>
      </c>
      <c r="H3" s="97" t="s">
        <v>229</v>
      </c>
      <c r="I3" s="174">
        <v>270.38975900000003</v>
      </c>
      <c r="J3" s="27"/>
      <c r="K3" s="27"/>
      <c r="L3" s="27"/>
    </row>
    <row r="4" spans="1:12" x14ac:dyDescent="0.3">
      <c r="A4" s="102" t="s">
        <v>230</v>
      </c>
      <c r="B4" s="103"/>
      <c r="C4" s="104"/>
      <c r="D4" s="103"/>
      <c r="E4" s="96"/>
      <c r="F4" s="96"/>
      <c r="G4" s="101">
        <f ca="1">G3+365</f>
        <v>46476</v>
      </c>
      <c r="H4" s="97" t="s">
        <v>231</v>
      </c>
      <c r="I4" s="105">
        <f>Equity!G21</f>
        <v>266.886818687561</v>
      </c>
      <c r="J4" s="27"/>
      <c r="K4" s="27"/>
      <c r="L4" s="27"/>
    </row>
    <row r="5" spans="1:12" x14ac:dyDescent="0.3">
      <c r="A5" s="102"/>
      <c r="B5" s="96"/>
      <c r="C5" s="106"/>
      <c r="D5" s="96"/>
      <c r="E5" s="96"/>
      <c r="F5" s="96"/>
      <c r="G5" s="101">
        <f ca="1">G4+366</f>
        <v>46842</v>
      </c>
      <c r="H5" s="97" t="s">
        <v>232</v>
      </c>
      <c r="I5" s="105">
        <f>Equity!H21</f>
        <v>263.06703190997337</v>
      </c>
      <c r="J5" s="27"/>
      <c r="K5" s="27"/>
      <c r="L5" s="27"/>
    </row>
    <row r="6" spans="1:12" ht="15" thickBot="1" x14ac:dyDescent="0.35">
      <c r="A6" s="159" t="s">
        <v>233</v>
      </c>
      <c r="B6" s="162">
        <f>Ke!D17</f>
        <v>340.71</v>
      </c>
      <c r="C6" s="107" t="s">
        <v>234</v>
      </c>
      <c r="D6" s="96"/>
      <c r="E6" s="96"/>
      <c r="F6" s="96"/>
      <c r="G6" s="96"/>
      <c r="H6" s="96"/>
      <c r="I6" s="96"/>
      <c r="J6" s="27"/>
      <c r="K6" s="27"/>
      <c r="L6" s="27"/>
    </row>
    <row r="7" spans="1:12" x14ac:dyDescent="0.3">
      <c r="A7" s="102"/>
      <c r="B7" s="108"/>
      <c r="C7" s="106"/>
      <c r="D7" s="96"/>
      <c r="E7" s="96"/>
      <c r="F7" s="96"/>
      <c r="G7" s="109"/>
      <c r="H7" s="110"/>
      <c r="I7" s="111"/>
      <c r="J7" s="27"/>
      <c r="K7" s="27"/>
      <c r="L7" s="27"/>
    </row>
    <row r="8" spans="1:12" x14ac:dyDescent="0.3">
      <c r="A8" s="159" t="s">
        <v>235</v>
      </c>
      <c r="B8" s="160">
        <f ca="1">B24</f>
        <v>388.20096381866955</v>
      </c>
      <c r="C8" s="106"/>
      <c r="D8" s="96"/>
      <c r="E8" s="96"/>
      <c r="F8" s="96"/>
      <c r="G8" s="96"/>
      <c r="H8" s="96"/>
      <c r="I8" s="112"/>
      <c r="J8" s="27"/>
      <c r="K8" s="27"/>
      <c r="L8" s="27"/>
    </row>
    <row r="9" spans="1:12" ht="15" thickBot="1" x14ac:dyDescent="0.35">
      <c r="A9" s="161" t="s">
        <v>236</v>
      </c>
      <c r="B9" s="160">
        <f ca="1">B46</f>
        <v>408.20566784877155</v>
      </c>
      <c r="C9" s="113"/>
      <c r="D9" s="96"/>
      <c r="E9" s="96"/>
      <c r="F9" s="96"/>
      <c r="G9" s="96"/>
      <c r="H9" s="96"/>
      <c r="I9" s="112"/>
      <c r="J9" s="27"/>
      <c r="K9" s="27"/>
      <c r="L9" s="27"/>
    </row>
    <row r="10" spans="1:12" x14ac:dyDescent="0.3">
      <c r="A10" s="96"/>
      <c r="B10" s="114"/>
      <c r="C10" s="96"/>
      <c r="D10" s="96"/>
      <c r="E10" s="96"/>
      <c r="F10" s="96"/>
      <c r="G10" s="96"/>
      <c r="H10" s="96"/>
      <c r="I10" s="96"/>
      <c r="J10" s="27"/>
      <c r="K10" s="27"/>
      <c r="L10" s="27"/>
    </row>
    <row r="11" spans="1:12" x14ac:dyDescent="0.3">
      <c r="A11" s="96"/>
      <c r="B11" s="96"/>
      <c r="C11" s="96"/>
      <c r="D11" s="96"/>
      <c r="E11" s="96"/>
      <c r="F11" s="96"/>
      <c r="G11" s="96"/>
      <c r="H11" s="96"/>
      <c r="I11" s="96"/>
      <c r="J11" s="27"/>
      <c r="K11" s="27"/>
      <c r="L11" s="27"/>
    </row>
    <row r="12" spans="1:12" x14ac:dyDescent="0.3">
      <c r="A12" s="486" t="s">
        <v>237</v>
      </c>
      <c r="B12" s="485"/>
      <c r="C12" s="115"/>
      <c r="D12" s="485"/>
      <c r="E12" s="115"/>
      <c r="F12" s="115"/>
      <c r="G12" s="115"/>
      <c r="H12" s="115"/>
      <c r="I12" s="115"/>
      <c r="J12" s="116"/>
      <c r="K12" s="116"/>
      <c r="L12" s="116"/>
    </row>
    <row r="13" spans="1:12" x14ac:dyDescent="0.3">
      <c r="A13" s="117"/>
      <c r="B13" s="117"/>
      <c r="C13" s="117"/>
      <c r="D13" s="117"/>
      <c r="E13" s="117"/>
      <c r="F13" s="117"/>
      <c r="G13" s="117"/>
      <c r="H13" s="117"/>
      <c r="I13" s="117"/>
      <c r="J13" s="116"/>
      <c r="K13" s="116"/>
      <c r="L13" s="116"/>
    </row>
    <row r="14" spans="1:12" x14ac:dyDescent="0.3">
      <c r="A14" s="96"/>
      <c r="B14" s="96"/>
      <c r="C14" s="118"/>
      <c r="D14" s="163">
        <v>46387</v>
      </c>
      <c r="E14" s="163">
        <v>46752</v>
      </c>
      <c r="F14" s="163">
        <v>47118</v>
      </c>
      <c r="G14" s="163">
        <v>47483</v>
      </c>
      <c r="H14" s="163">
        <v>47848</v>
      </c>
      <c r="I14" s="163">
        <v>48213</v>
      </c>
      <c r="J14" s="116"/>
      <c r="K14" s="116"/>
      <c r="L14" s="116"/>
    </row>
    <row r="15" spans="1:12" x14ac:dyDescent="0.3">
      <c r="A15" s="97" t="s">
        <v>238</v>
      </c>
      <c r="B15" s="96"/>
      <c r="C15" s="119"/>
      <c r="D15" s="164">
        <f ca="1">MAX((D14-$G$3)/365,0)</f>
        <v>0.75616438356164384</v>
      </c>
      <c r="E15" s="164">
        <f t="shared" ref="E15:G15" ca="1" si="0">MAX((E14-$G$3)/365,0)</f>
        <v>1.7561643835616438</v>
      </c>
      <c r="F15" s="164">
        <f t="shared" ca="1" si="0"/>
        <v>2.7589041095890412</v>
      </c>
      <c r="G15" s="164">
        <f t="shared" ca="1" si="0"/>
        <v>3.7589041095890412</v>
      </c>
      <c r="H15" s="164">
        <f ca="1">MAX((H14-$G$3)/365,0)</f>
        <v>4.7589041095890412</v>
      </c>
      <c r="I15" s="164">
        <f ca="1">MAX((I14-$G$3)/365,0)</f>
        <v>5.7589041095890412</v>
      </c>
      <c r="J15" s="116"/>
      <c r="K15" s="116"/>
      <c r="L15" s="116"/>
    </row>
    <row r="16" spans="1:12" x14ac:dyDescent="0.3">
      <c r="A16" s="120" t="s">
        <v>239</v>
      </c>
      <c r="B16" s="121"/>
      <c r="C16" s="122"/>
      <c r="D16" s="165">
        <f>'Cash flow'!G48</f>
        <v>3788.3468210853362</v>
      </c>
      <c r="E16" s="165">
        <f>'Cash flow'!H48</f>
        <v>4309.4143409596745</v>
      </c>
      <c r="F16" s="165">
        <f>'Cash flow'!I48</f>
        <v>4807.6933679063122</v>
      </c>
      <c r="G16" s="165">
        <f>'Cash flow'!J48</f>
        <v>5300.9532158864986</v>
      </c>
      <c r="H16" s="165">
        <f>'Cash flow'!K48</f>
        <v>5890.0694788216088</v>
      </c>
      <c r="I16" s="165">
        <f>'Cash flow'!L48</f>
        <v>6112.9995518718224</v>
      </c>
      <c r="J16" s="116"/>
      <c r="K16" s="116"/>
      <c r="L16" s="116"/>
    </row>
    <row r="17" spans="1:12" x14ac:dyDescent="0.3">
      <c r="A17" s="97" t="s">
        <v>240</v>
      </c>
      <c r="B17" s="96"/>
      <c r="C17" s="123"/>
      <c r="D17" s="166">
        <f ca="1">D16*D15/((1+$B$3)^D15)</f>
        <v>2711.8522647941581</v>
      </c>
      <c r="E17" s="166">
        <f t="shared" ref="E17:F17" ca="1" si="1">E16/((1+$B$3)^E15)</f>
        <v>3794.4059661279839</v>
      </c>
      <c r="F17" s="166">
        <f t="shared" ca="1" si="1"/>
        <v>3936.4209611205965</v>
      </c>
      <c r="G17" s="166">
        <f ca="1">G16/((1+$B$3)^G15)</f>
        <v>4036.864858435853</v>
      </c>
      <c r="H17" s="166">
        <f ca="1">H16/((1+$B$3)^H15)</f>
        <v>4171.9214403478818</v>
      </c>
      <c r="I17" s="166">
        <f ca="1">I16/((1+$B$3)^I15)</f>
        <v>4027.1289180838526</v>
      </c>
      <c r="J17" s="116"/>
      <c r="K17" s="116"/>
      <c r="L17" s="116"/>
    </row>
    <row r="18" spans="1:12" ht="15" thickBot="1" x14ac:dyDescent="0.35">
      <c r="A18" s="96"/>
      <c r="B18" s="96"/>
      <c r="C18" s="96"/>
      <c r="D18" s="124"/>
      <c r="E18" s="124"/>
      <c r="F18" s="124"/>
      <c r="G18" s="124"/>
      <c r="H18" s="124"/>
      <c r="I18" s="96"/>
      <c r="J18" s="116"/>
      <c r="K18" s="116"/>
      <c r="L18" s="116"/>
    </row>
    <row r="19" spans="1:12" ht="15" thickBot="1" x14ac:dyDescent="0.35">
      <c r="A19" s="97" t="s">
        <v>241</v>
      </c>
      <c r="B19" s="167">
        <v>2.5000000000000001E-2</v>
      </c>
      <c r="C19" s="125"/>
      <c r="D19" s="125"/>
      <c r="E19" s="125"/>
      <c r="F19" s="125"/>
      <c r="G19" s="125"/>
      <c r="H19" s="96"/>
      <c r="I19" s="96"/>
      <c r="J19" s="116"/>
      <c r="K19" s="116"/>
      <c r="L19" s="116"/>
    </row>
    <row r="20" spans="1:12" x14ac:dyDescent="0.3">
      <c r="A20" s="97"/>
      <c r="B20" s="125"/>
      <c r="C20" s="125"/>
      <c r="D20" s="125"/>
      <c r="E20" s="125"/>
      <c r="F20" s="125"/>
      <c r="G20" s="125"/>
      <c r="H20" s="96"/>
      <c r="I20" s="96"/>
      <c r="J20" s="116"/>
      <c r="K20" s="116"/>
      <c r="L20" s="116"/>
    </row>
    <row r="21" spans="1:12" x14ac:dyDescent="0.3">
      <c r="A21" s="97" t="s">
        <v>242</v>
      </c>
      <c r="B21" s="103">
        <f>I16*(1+B19)/(B3-B19)</f>
        <v>124907.89962002405</v>
      </c>
      <c r="C21" s="126"/>
      <c r="D21" s="105"/>
      <c r="E21" s="103"/>
      <c r="F21" s="105"/>
      <c r="G21" s="105"/>
      <c r="H21" s="96"/>
      <c r="I21" s="96"/>
      <c r="J21" s="116"/>
      <c r="K21" s="116"/>
      <c r="L21" s="116"/>
    </row>
    <row r="22" spans="1:12" x14ac:dyDescent="0.3">
      <c r="A22" s="120" t="s">
        <v>243</v>
      </c>
      <c r="B22" s="127">
        <f ca="1">B21/(1+B3)^(I15)</f>
        <v>82286.970641587453</v>
      </c>
      <c r="C22" s="103"/>
      <c r="D22" s="105"/>
      <c r="E22" s="103"/>
      <c r="F22" s="105"/>
      <c r="G22" s="105"/>
      <c r="H22" s="96"/>
      <c r="I22" s="96"/>
      <c r="J22" s="116"/>
      <c r="K22" s="116"/>
      <c r="L22" s="116"/>
    </row>
    <row r="23" spans="1:12" x14ac:dyDescent="0.3">
      <c r="A23" s="97" t="s">
        <v>244</v>
      </c>
      <c r="B23" s="103">
        <f ca="1">SUM(D17:I17)+B22</f>
        <v>104965.56505049778</v>
      </c>
      <c r="C23" s="103"/>
      <c r="D23" s="105"/>
      <c r="E23" s="103"/>
      <c r="F23" s="105"/>
      <c r="G23" s="105"/>
      <c r="H23" s="96"/>
      <c r="I23" s="96"/>
      <c r="J23" s="116"/>
      <c r="K23" s="116"/>
      <c r="L23" s="116"/>
    </row>
    <row r="24" spans="1:12" ht="15" thickBot="1" x14ac:dyDescent="0.35">
      <c r="A24" s="128" t="s">
        <v>245</v>
      </c>
      <c r="B24" s="168">
        <f ca="1">B23/I3</f>
        <v>388.20096381866955</v>
      </c>
      <c r="C24" s="114"/>
      <c r="D24" s="114"/>
      <c r="E24" s="119"/>
      <c r="F24" s="114"/>
      <c r="G24" s="114"/>
      <c r="H24" s="96"/>
      <c r="I24" s="96"/>
      <c r="J24" s="116"/>
      <c r="K24" s="116"/>
      <c r="L24" s="116"/>
    </row>
    <row r="25" spans="1:12" x14ac:dyDescent="0.3">
      <c r="A25" s="96"/>
      <c r="B25" s="96"/>
      <c r="C25" s="169" t="s">
        <v>241</v>
      </c>
      <c r="D25" s="129"/>
      <c r="E25" s="129"/>
      <c r="F25" s="129"/>
      <c r="G25" s="129"/>
      <c r="H25" s="129"/>
      <c r="I25" s="129"/>
      <c r="J25" s="116"/>
      <c r="K25" s="116"/>
      <c r="L25" s="116"/>
    </row>
    <row r="26" spans="1:12" ht="15" thickBot="1" x14ac:dyDescent="0.35">
      <c r="A26" s="96"/>
      <c r="B26" s="130">
        <f ca="1">B24</f>
        <v>388.20096381866955</v>
      </c>
      <c r="C26" s="170">
        <f>D26-L27</f>
        <v>4.9999999999999984E-3</v>
      </c>
      <c r="D26" s="170">
        <f>E26-L27</f>
        <v>9.9999999999999985E-3</v>
      </c>
      <c r="E26" s="170">
        <f>F26-L27</f>
        <v>1.4999999999999999E-2</v>
      </c>
      <c r="F26" s="170">
        <v>0.02</v>
      </c>
      <c r="G26" s="170">
        <f>F26+L27</f>
        <v>2.5000000000000001E-2</v>
      </c>
      <c r="H26" s="170">
        <f>G26+L27</f>
        <v>3.0000000000000002E-2</v>
      </c>
      <c r="I26" s="170">
        <f>H26+L27</f>
        <v>3.5000000000000003E-2</v>
      </c>
      <c r="J26" s="116"/>
      <c r="K26" s="116"/>
      <c r="L26" s="131">
        <v>5.0000000000000001E-3</v>
      </c>
    </row>
    <row r="27" spans="1:12" ht="15" thickTop="1" x14ac:dyDescent="0.3">
      <c r="A27" s="96"/>
      <c r="B27" s="171">
        <f>B28+L27</f>
        <v>9.016355698662426E-2</v>
      </c>
      <c r="C27" s="132">
        <f t="dataTable" ref="C27:I33" dt2D="1" dtr="1" r1="B19" r2="B3" ca="1"/>
        <v>242.28174432419505</v>
      </c>
      <c r="D27" s="133">
        <v>253.26128428402896</v>
      </c>
      <c r="E27" s="133">
        <v>265.70157735348323</v>
      </c>
      <c r="F27" s="134">
        <v>279.91491238428301</v>
      </c>
      <c r="G27" s="133">
        <v>296.30942592774699</v>
      </c>
      <c r="H27" s="133">
        <v>315.42893020723238</v>
      </c>
      <c r="I27" s="135">
        <v>338.0144010276573</v>
      </c>
      <c r="J27" s="116"/>
      <c r="K27" s="116"/>
      <c r="L27" s="131">
        <v>5.0000000000000001E-3</v>
      </c>
    </row>
    <row r="28" spans="1:12" ht="15" thickBot="1" x14ac:dyDescent="0.35">
      <c r="A28" s="96"/>
      <c r="B28" s="171">
        <f>B29+L27</f>
        <v>8.5163556986624256E-2</v>
      </c>
      <c r="C28" s="136">
        <v>258.28849511780658</v>
      </c>
      <c r="D28" s="137">
        <v>271.00394032884594</v>
      </c>
      <c r="E28" s="137">
        <v>285.5316433211525</v>
      </c>
      <c r="F28" s="138">
        <v>302.28876773612461</v>
      </c>
      <c r="G28" s="137">
        <v>321.83115373705925</v>
      </c>
      <c r="H28" s="137">
        <v>344.91616589708548</v>
      </c>
      <c r="I28" s="139">
        <v>372.60312687150332</v>
      </c>
      <c r="J28" s="116"/>
      <c r="K28" s="116"/>
      <c r="L28" s="116"/>
    </row>
    <row r="29" spans="1:12" ht="15" thickBot="1" x14ac:dyDescent="0.35">
      <c r="A29" s="96"/>
      <c r="B29" s="171">
        <f>B30+L27</f>
        <v>8.0163556986624251E-2</v>
      </c>
      <c r="C29" s="136">
        <v>276.44381959879979</v>
      </c>
      <c r="D29" s="137">
        <v>291.29434399612671</v>
      </c>
      <c r="E29" s="140">
        <v>308.4238299916326</v>
      </c>
      <c r="F29" s="141">
        <v>328.40046912326608</v>
      </c>
      <c r="G29" s="142">
        <v>351.99845543098496</v>
      </c>
      <c r="H29" s="137">
        <v>380.30065087483251</v>
      </c>
      <c r="I29" s="139">
        <v>414.86944650082023</v>
      </c>
      <c r="J29" s="116"/>
      <c r="K29" s="116"/>
      <c r="L29" s="116"/>
    </row>
    <row r="30" spans="1:12" ht="15" thickBot="1" x14ac:dyDescent="0.35">
      <c r="A30" s="172" t="s">
        <v>246</v>
      </c>
      <c r="B30" s="171">
        <f>Ke!D32</f>
        <v>7.5163556986624247E-2</v>
      </c>
      <c r="C30" s="143">
        <v>297.20756159957728</v>
      </c>
      <c r="D30" s="144">
        <v>314.71946905484862</v>
      </c>
      <c r="E30" s="145">
        <v>335.14209328492177</v>
      </c>
      <c r="F30" s="146">
        <v>359.26691246863533</v>
      </c>
      <c r="G30" s="147">
        <v>388.20096381866955</v>
      </c>
      <c r="H30" s="144">
        <v>423.54151927966285</v>
      </c>
      <c r="I30" s="148">
        <v>467.6812345045094</v>
      </c>
      <c r="J30" s="116"/>
      <c r="K30" s="116"/>
      <c r="L30" s="116"/>
    </row>
    <row r="31" spans="1:12" ht="15" thickBot="1" x14ac:dyDescent="0.35">
      <c r="A31" s="96"/>
      <c r="B31" s="171">
        <f>B30-L27</f>
        <v>7.0163556986624243E-2</v>
      </c>
      <c r="C31" s="136">
        <v>321.18071708968785</v>
      </c>
      <c r="D31" s="137">
        <v>342.06143213004856</v>
      </c>
      <c r="E31" s="149">
        <v>366.72738441416129</v>
      </c>
      <c r="F31" s="150">
        <v>396.31044261456492</v>
      </c>
      <c r="G31" s="151">
        <v>432.44370637321651</v>
      </c>
      <c r="H31" s="137">
        <v>477.57349993889824</v>
      </c>
      <c r="I31" s="139">
        <v>535.53754505167137</v>
      </c>
      <c r="J31" s="116"/>
      <c r="K31" s="116"/>
      <c r="L31" s="116"/>
    </row>
    <row r="32" spans="1:12" x14ac:dyDescent="0.3">
      <c r="A32" s="96"/>
      <c r="B32" s="171">
        <f>B31-L27</f>
        <v>6.5163556986624238E-2</v>
      </c>
      <c r="C32" s="136">
        <v>349.16408834475533</v>
      </c>
      <c r="D32" s="137">
        <v>374.38593167173065</v>
      </c>
      <c r="E32" s="137">
        <v>404.63569662988147</v>
      </c>
      <c r="F32" s="138">
        <v>441.5832876620745</v>
      </c>
      <c r="G32" s="137">
        <v>487.73016127884983</v>
      </c>
      <c r="H32" s="137">
        <v>547.00052909569411</v>
      </c>
      <c r="I32" s="139">
        <v>625.9205582051793</v>
      </c>
      <c r="J32" s="116"/>
      <c r="K32" s="116"/>
      <c r="L32" s="116"/>
    </row>
    <row r="33" spans="1:12" ht="15" thickBot="1" x14ac:dyDescent="0.35">
      <c r="A33" s="96"/>
      <c r="B33" s="171">
        <f>B32-L27</f>
        <v>6.0163556986624241E-2</v>
      </c>
      <c r="C33" s="152">
        <v>382.24883647077047</v>
      </c>
      <c r="D33" s="153">
        <v>413.18357732384555</v>
      </c>
      <c r="E33" s="153">
        <v>450.96780987267795</v>
      </c>
      <c r="F33" s="154">
        <v>498.15963362699443</v>
      </c>
      <c r="G33" s="153">
        <v>558.77212007828098</v>
      </c>
      <c r="H33" s="153">
        <v>639.47921489361579</v>
      </c>
      <c r="I33" s="155">
        <v>752.25931705772655</v>
      </c>
      <c r="J33" s="116"/>
      <c r="K33" s="116"/>
      <c r="L33" s="116"/>
    </row>
    <row r="34" spans="1:12" ht="15" thickTop="1" x14ac:dyDescent="0.3">
      <c r="A34" s="96"/>
      <c r="B34" s="112"/>
      <c r="C34" s="119"/>
      <c r="D34" s="119"/>
      <c r="E34" s="119"/>
      <c r="F34" s="119"/>
      <c r="G34" s="119"/>
      <c r="H34" s="119"/>
      <c r="I34" s="119"/>
      <c r="J34" s="116"/>
      <c r="K34" s="116"/>
      <c r="L34" s="116"/>
    </row>
    <row r="35" spans="1:12" x14ac:dyDescent="0.3">
      <c r="A35" s="112"/>
      <c r="B35" s="119"/>
      <c r="C35" s="119"/>
      <c r="D35" s="119"/>
      <c r="E35" s="119"/>
      <c r="F35" s="119"/>
      <c r="G35" s="119"/>
      <c r="H35" s="119"/>
      <c r="I35" s="96"/>
      <c r="J35" s="116"/>
      <c r="K35" s="116"/>
      <c r="L35" s="116"/>
    </row>
    <row r="36" spans="1:12" x14ac:dyDescent="0.3">
      <c r="A36" s="486" t="s">
        <v>247</v>
      </c>
      <c r="B36" s="115"/>
      <c r="C36" s="115"/>
      <c r="D36" s="115"/>
      <c r="E36" s="115"/>
      <c r="F36" s="115"/>
      <c r="G36" s="115"/>
      <c r="H36" s="115"/>
      <c r="I36" s="115"/>
      <c r="J36" s="116"/>
      <c r="K36" s="116"/>
      <c r="L36" s="116"/>
    </row>
    <row r="37" spans="1:12" x14ac:dyDescent="0.3">
      <c r="A37" s="117"/>
      <c r="B37" s="117"/>
      <c r="C37" s="117"/>
      <c r="D37" s="117"/>
      <c r="E37" s="117"/>
      <c r="F37" s="117"/>
      <c r="G37" s="117"/>
      <c r="H37" s="117"/>
      <c r="I37" s="117"/>
      <c r="J37" s="116"/>
      <c r="K37" s="116"/>
      <c r="L37" s="116"/>
    </row>
    <row r="38" spans="1:12" x14ac:dyDescent="0.3">
      <c r="A38" s="96"/>
      <c r="B38" s="96"/>
      <c r="C38" s="118"/>
      <c r="D38" s="163">
        <f t="shared" ref="D38:G38" si="2">D14</f>
        <v>46387</v>
      </c>
      <c r="E38" s="163">
        <f t="shared" si="2"/>
        <v>46752</v>
      </c>
      <c r="F38" s="163">
        <f t="shared" si="2"/>
        <v>47118</v>
      </c>
      <c r="G38" s="163">
        <f t="shared" si="2"/>
        <v>47483</v>
      </c>
      <c r="H38" s="163">
        <f>H14</f>
        <v>47848</v>
      </c>
      <c r="I38" s="163">
        <f>I14</f>
        <v>48213</v>
      </c>
      <c r="J38" s="116"/>
      <c r="K38" s="116"/>
      <c r="L38" s="116"/>
    </row>
    <row r="39" spans="1:12" x14ac:dyDescent="0.3">
      <c r="A39" s="97" t="s">
        <v>248</v>
      </c>
      <c r="B39" s="96"/>
      <c r="C39" s="119"/>
      <c r="D39" s="164">
        <f ca="1">MAX((D38-$G$4)/365,0)</f>
        <v>0</v>
      </c>
      <c r="E39" s="164">
        <f t="shared" ref="E39:G39" ca="1" si="3">MAX((E38-$G$4)/365,0)</f>
        <v>0.75616438356164384</v>
      </c>
      <c r="F39" s="164">
        <f t="shared" ca="1" si="3"/>
        <v>1.7589041095890412</v>
      </c>
      <c r="G39" s="164">
        <f t="shared" ca="1" si="3"/>
        <v>2.7589041095890412</v>
      </c>
      <c r="H39" s="164">
        <f ca="1">MAX((H38-$G$4)/365,0)</f>
        <v>3.7589041095890412</v>
      </c>
      <c r="I39" s="164">
        <f ca="1">MAX((I38-$G$4)/365,0)</f>
        <v>4.7589041095890412</v>
      </c>
      <c r="J39" s="116"/>
      <c r="K39" s="116"/>
      <c r="L39" s="116"/>
    </row>
    <row r="40" spans="1:12" x14ac:dyDescent="0.3">
      <c r="A40" s="120" t="s">
        <v>239</v>
      </c>
      <c r="B40" s="121"/>
      <c r="C40" s="127"/>
      <c r="D40" s="165">
        <f>'Cash flow'!G48</f>
        <v>3788.3468210853362</v>
      </c>
      <c r="E40" s="165">
        <f>'Cash flow'!H48</f>
        <v>4309.4143409596745</v>
      </c>
      <c r="F40" s="165">
        <f>'Cash flow'!I48</f>
        <v>4807.6933679063122</v>
      </c>
      <c r="G40" s="165">
        <f>'Cash flow'!J48</f>
        <v>5300.9532158864986</v>
      </c>
      <c r="H40" s="165">
        <f>'Cash flow'!K48</f>
        <v>5890.0694788216088</v>
      </c>
      <c r="I40" s="165">
        <f>'Cash flow'!L48</f>
        <v>6112.9995518718224</v>
      </c>
      <c r="J40" s="116"/>
      <c r="K40" s="116"/>
      <c r="L40" s="116"/>
    </row>
    <row r="41" spans="1:12" x14ac:dyDescent="0.3">
      <c r="A41" s="97" t="s">
        <v>240</v>
      </c>
      <c r="B41" s="96"/>
      <c r="C41" s="123"/>
      <c r="D41" s="166">
        <f ca="1">D40*D39/((1+$B$3)^D39)</f>
        <v>0</v>
      </c>
      <c r="E41" s="166">
        <f ca="1">E40*E39/((1+$B$3)^E39)</f>
        <v>3084.8535238174986</v>
      </c>
      <c r="F41" s="166">
        <f ca="1">F40/((1+$B$3)^F39)</f>
        <v>4232.2963623551268</v>
      </c>
      <c r="G41" s="166">
        <f ca="1">G40/((1+$B$3)^G39)</f>
        <v>4340.2899802701977</v>
      </c>
      <c r="H41" s="166">
        <f ca="1">H40/((1+$B$3)^H39)</f>
        <v>4485.497895273189</v>
      </c>
      <c r="I41" s="166">
        <f ca="1">I40/((1+$B$3)^I39)</f>
        <v>4329.8222520107311</v>
      </c>
      <c r="J41" s="116"/>
      <c r="K41" s="116"/>
      <c r="L41" s="116"/>
    </row>
    <row r="42" spans="1:12" x14ac:dyDescent="0.3">
      <c r="A42" s="97"/>
      <c r="B42" s="156"/>
      <c r="C42" s="103"/>
      <c r="D42" s="103"/>
      <c r="E42" s="103"/>
      <c r="F42" s="103"/>
      <c r="G42" s="103"/>
      <c r="H42" s="103"/>
      <c r="I42" s="103"/>
      <c r="J42" s="116"/>
      <c r="K42" s="116"/>
      <c r="L42" s="116"/>
    </row>
    <row r="43" spans="1:12" x14ac:dyDescent="0.3">
      <c r="A43" s="97" t="s">
        <v>242</v>
      </c>
      <c r="B43" s="103">
        <f>I40*(1+B19)/(B3-B19)</f>
        <v>124907.89962002405</v>
      </c>
      <c r="C43" s="105"/>
      <c r="D43" s="103"/>
      <c r="E43" s="103"/>
      <c r="F43" s="105"/>
      <c r="G43" s="96"/>
      <c r="H43" s="96"/>
      <c r="I43" s="96"/>
      <c r="J43" s="116"/>
      <c r="K43" s="116"/>
      <c r="L43" s="116"/>
    </row>
    <row r="44" spans="1:12" x14ac:dyDescent="0.3">
      <c r="A44" s="121" t="s">
        <v>243</v>
      </c>
      <c r="B44" s="127">
        <f ca="1">B43/(1+B3)^I39</f>
        <v>88471.952048663094</v>
      </c>
      <c r="C44" s="105"/>
      <c r="D44" s="103"/>
      <c r="E44" s="103"/>
      <c r="F44" s="105"/>
      <c r="G44" s="96"/>
      <c r="H44" s="96"/>
      <c r="I44" s="96"/>
      <c r="J44" s="116"/>
      <c r="K44" s="116"/>
      <c r="L44" s="116"/>
    </row>
    <row r="45" spans="1:12" x14ac:dyDescent="0.3">
      <c r="A45" s="96" t="s">
        <v>244</v>
      </c>
      <c r="B45" s="103">
        <f ca="1">SUM(D41:I41)+B44</f>
        <v>108944.71206238984</v>
      </c>
      <c r="C45" s="105"/>
      <c r="D45" s="103"/>
      <c r="E45" s="103"/>
      <c r="F45" s="105"/>
      <c r="G45" s="96"/>
      <c r="H45" s="96"/>
      <c r="I45" s="96"/>
      <c r="J45" s="116"/>
      <c r="K45" s="116"/>
      <c r="L45" s="116"/>
    </row>
    <row r="46" spans="1:12" ht="15" thickBot="1" x14ac:dyDescent="0.35">
      <c r="A46" s="128" t="s">
        <v>245</v>
      </c>
      <c r="B46" s="168">
        <f ca="1">B45/I4</f>
        <v>408.20566784877155</v>
      </c>
      <c r="C46" s="157"/>
      <c r="D46" s="157"/>
      <c r="E46" s="157"/>
      <c r="F46" s="157"/>
      <c r="G46" s="96"/>
      <c r="H46" s="96"/>
      <c r="I46" s="96"/>
      <c r="J46" s="116"/>
      <c r="K46" s="116"/>
      <c r="L46" s="116"/>
    </row>
    <row r="47" spans="1:12" x14ac:dyDescent="0.3">
      <c r="A47" s="96"/>
      <c r="B47" s="96"/>
      <c r="C47" s="169" t="s">
        <v>241</v>
      </c>
      <c r="D47" s="129"/>
      <c r="E47" s="129"/>
      <c r="F47" s="129"/>
      <c r="G47" s="129"/>
      <c r="H47" s="129"/>
      <c r="I47" s="129"/>
      <c r="J47" s="116"/>
      <c r="K47" s="116"/>
      <c r="L47" s="116"/>
    </row>
    <row r="48" spans="1:12" ht="15" thickBot="1" x14ac:dyDescent="0.35">
      <c r="A48" s="96"/>
      <c r="B48" s="130">
        <f ca="1">B46</f>
        <v>408.20566784877155</v>
      </c>
      <c r="C48" s="170">
        <f>D48-$L$26</f>
        <v>4.9999999999999984E-3</v>
      </c>
      <c r="D48" s="170">
        <f>E48-$L$26</f>
        <v>9.9999999999999985E-3</v>
      </c>
      <c r="E48" s="170">
        <f>F48-$L$26</f>
        <v>1.4999999999999999E-2</v>
      </c>
      <c r="F48" s="170">
        <v>0.02</v>
      </c>
      <c r="G48" s="170">
        <f>F48+$L$26</f>
        <v>2.5000000000000001E-2</v>
      </c>
      <c r="H48" s="170">
        <f>G48+$L$26</f>
        <v>3.0000000000000002E-2</v>
      </c>
      <c r="I48" s="170">
        <f>H48+$L$26</f>
        <v>3.5000000000000003E-2</v>
      </c>
      <c r="J48" s="116"/>
      <c r="K48" s="116"/>
      <c r="L48" s="116"/>
    </row>
    <row r="49" spans="1:12" ht="15" thickTop="1" x14ac:dyDescent="0.3">
      <c r="A49" s="158"/>
      <c r="B49" s="171">
        <f>B50+$L$27</f>
        <v>9.016355698662426E-2</v>
      </c>
      <c r="C49" s="132">
        <f t="dataTable" ref="C49:I55" dt2D="1" dtr="1" r1="B19" r2="B3" ca="1"/>
        <v>252.94326989200235</v>
      </c>
      <c r="D49" s="133">
        <v>265.06986612093823</v>
      </c>
      <c r="E49" s="133">
        <v>278.80982349390496</v>
      </c>
      <c r="F49" s="134">
        <v>294.5080563539006</v>
      </c>
      <c r="G49" s="133">
        <v>312.6153401598441</v>
      </c>
      <c r="H49" s="133">
        <v>333.73230037337925</v>
      </c>
      <c r="I49" s="135">
        <v>358.67732414319579</v>
      </c>
      <c r="J49" s="116"/>
      <c r="K49" s="116"/>
      <c r="L49" s="116"/>
    </row>
    <row r="50" spans="1:12" ht="15" thickBot="1" x14ac:dyDescent="0.35">
      <c r="A50" s="158"/>
      <c r="B50" s="171">
        <f>B51+$L$27</f>
        <v>8.5163556986624256E-2</v>
      </c>
      <c r="C50" s="136">
        <v>269.31332440368357</v>
      </c>
      <c r="D50" s="137">
        <v>283.29276796788577</v>
      </c>
      <c r="E50" s="137">
        <v>299.26461958045223</v>
      </c>
      <c r="F50" s="138">
        <v>317.68751167502398</v>
      </c>
      <c r="G50" s="137">
        <v>339.1725385597091</v>
      </c>
      <c r="H50" s="137">
        <v>364.55235179580637</v>
      </c>
      <c r="I50" s="139">
        <v>394.9915776335389</v>
      </c>
      <c r="J50" s="116"/>
      <c r="K50" s="116"/>
      <c r="L50" s="116"/>
    </row>
    <row r="51" spans="1:12" ht="15" thickBot="1" x14ac:dyDescent="0.35">
      <c r="A51" s="158"/>
      <c r="B51" s="171">
        <f>B52+$L$27</f>
        <v>8.0163556986624251E-2</v>
      </c>
      <c r="C51" s="136">
        <v>287.87242108587969</v>
      </c>
      <c r="D51" s="137">
        <v>304.12395745907025</v>
      </c>
      <c r="E51" s="140">
        <v>322.86945473996968</v>
      </c>
      <c r="F51" s="141">
        <v>344.73070817289778</v>
      </c>
      <c r="G51" s="142">
        <v>370.55494996754959</v>
      </c>
      <c r="H51" s="137">
        <v>401.52720026597206</v>
      </c>
      <c r="I51" s="139">
        <v>439.35724750620653</v>
      </c>
      <c r="J51" s="116"/>
      <c r="K51" s="116"/>
      <c r="L51" s="116"/>
    </row>
    <row r="52" spans="1:12" ht="15" thickBot="1" x14ac:dyDescent="0.35">
      <c r="A52" s="173" t="s">
        <v>246</v>
      </c>
      <c r="B52" s="171">
        <f>Ke!D32</f>
        <v>7.5163556986624247E-2</v>
      </c>
      <c r="C52" s="143">
        <v>309.08880385986515</v>
      </c>
      <c r="D52" s="144">
        <v>328.16409181592155</v>
      </c>
      <c r="E52" s="145">
        <v>350.40995161172094</v>
      </c>
      <c r="F52" s="146">
        <v>376.68852086481536</v>
      </c>
      <c r="G52" s="147">
        <v>408.20566784877155</v>
      </c>
      <c r="H52" s="144">
        <v>446.70126141373783</v>
      </c>
      <c r="I52" s="148">
        <v>494.78156222407745</v>
      </c>
      <c r="J52" s="116"/>
      <c r="K52" s="116"/>
      <c r="L52" s="116"/>
    </row>
    <row r="53" spans="1:12" ht="15" thickBot="1" x14ac:dyDescent="0.35">
      <c r="A53" s="158"/>
      <c r="B53" s="171">
        <f>B52-$L$27</f>
        <v>7.0163556986624243E-2</v>
      </c>
      <c r="C53" s="136">
        <v>333.57443755080692</v>
      </c>
      <c r="D53" s="137">
        <v>356.21351045179551</v>
      </c>
      <c r="E53" s="149">
        <v>382.9565741281574</v>
      </c>
      <c r="F53" s="150">
        <v>415.03081152561185</v>
      </c>
      <c r="G53" s="151">
        <v>454.20684504752859</v>
      </c>
      <c r="H53" s="137">
        <v>503.13700306966433</v>
      </c>
      <c r="I53" s="139">
        <v>565.98218056515657</v>
      </c>
      <c r="J53" s="116"/>
      <c r="K53" s="116"/>
      <c r="L53" s="116"/>
    </row>
    <row r="54" spans="1:12" x14ac:dyDescent="0.3">
      <c r="A54" s="158"/>
      <c r="B54" s="171">
        <f>B53-$L$27</f>
        <v>6.5163556986624238E-2</v>
      </c>
      <c r="C54" s="136">
        <v>362.14472906399658</v>
      </c>
      <c r="D54" s="137">
        <v>389.36273075339858</v>
      </c>
      <c r="E54" s="137">
        <v>422.00658406186722</v>
      </c>
      <c r="F54" s="138">
        <v>461.87835640207561</v>
      </c>
      <c r="G54" s="137">
        <v>511.67747963739691</v>
      </c>
      <c r="H54" s="137">
        <v>575.63874331097509</v>
      </c>
      <c r="I54" s="139">
        <v>660.80482168924505</v>
      </c>
      <c r="J54" s="116"/>
      <c r="K54" s="116"/>
      <c r="L54" s="116"/>
    </row>
    <row r="55" spans="1:12" ht="15" thickBot="1" x14ac:dyDescent="0.35">
      <c r="A55" s="158"/>
      <c r="B55" s="171">
        <f>B54-$L$27</f>
        <v>6.0163556986624241E-2</v>
      </c>
      <c r="C55" s="152">
        <v>395.91072717525446</v>
      </c>
      <c r="D55" s="153">
        <v>429.13706430635818</v>
      </c>
      <c r="E55" s="153">
        <v>469.72029255676489</v>
      </c>
      <c r="F55" s="154">
        <v>520.40801136908135</v>
      </c>
      <c r="G55" s="153">
        <v>585.51057417217999</v>
      </c>
      <c r="H55" s="153">
        <v>672.19632188678247</v>
      </c>
      <c r="I55" s="155">
        <v>793.33099419526468</v>
      </c>
      <c r="J55" s="116"/>
      <c r="K55" s="116"/>
      <c r="L55" s="116"/>
    </row>
    <row r="56" spans="1:12" ht="15" thickTop="1" x14ac:dyDescent="0.3"/>
    <row r="59" spans="1:12" x14ac:dyDescent="0.3">
      <c r="B59" s="15"/>
      <c r="C59" s="15"/>
      <c r="D59" s="15"/>
      <c r="E59" s="15"/>
      <c r="F59" s="15"/>
      <c r="G59" s="15"/>
      <c r="H59" s="15"/>
    </row>
    <row r="60" spans="1:12" x14ac:dyDescent="0.3">
      <c r="B60" s="15"/>
      <c r="C60" s="15"/>
      <c r="D60" s="15"/>
      <c r="E60" s="15"/>
      <c r="F60" s="15"/>
      <c r="G60" s="15"/>
      <c r="H60" s="15"/>
    </row>
    <row r="61" spans="1:12" x14ac:dyDescent="0.3">
      <c r="B61" s="16"/>
      <c r="C61" s="16"/>
      <c r="D61" s="16"/>
      <c r="E61" s="16"/>
      <c r="F61" s="16"/>
      <c r="G61" s="16"/>
      <c r="H61" s="16"/>
    </row>
  </sheetData>
  <mergeCells count="1">
    <mergeCell ref="G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7262-43E0-4BD2-BB78-B2BCA9F64559}">
  <dimension ref="A1:W34"/>
  <sheetViews>
    <sheetView zoomScale="57" zoomScaleNormal="100" workbookViewId="0">
      <selection activeCell="D18" sqref="D18"/>
    </sheetView>
  </sheetViews>
  <sheetFormatPr defaultColWidth="8.77734375" defaultRowHeight="14.4" x14ac:dyDescent="0.3"/>
  <cols>
    <col min="3" max="3" width="36.33203125" bestFit="1" customWidth="1"/>
    <col min="4" max="4" width="13.109375" bestFit="1" customWidth="1"/>
    <col min="6" max="6" width="13.109375" customWidth="1"/>
    <col min="10" max="10" width="9.44140625" bestFit="1" customWidth="1"/>
    <col min="14" max="14" width="19.6640625" bestFit="1" customWidth="1"/>
    <col min="15" max="15" width="19.109375" bestFit="1" customWidth="1"/>
  </cols>
  <sheetData>
    <row r="1" spans="1:15" ht="14.55" customHeight="1" x14ac:dyDescent="0.3"/>
    <row r="2" spans="1:15" ht="14.55" customHeight="1" x14ac:dyDescent="0.3">
      <c r="A2" s="17"/>
      <c r="B2" s="26" t="s">
        <v>249</v>
      </c>
      <c r="C2" s="27"/>
      <c r="D2" s="26" t="s">
        <v>250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14.55" customHeight="1" x14ac:dyDescent="0.3">
      <c r="A3" s="17"/>
      <c r="B3" s="200" t="s">
        <v>495</v>
      </c>
      <c r="C3" s="26"/>
      <c r="D3" s="200" t="s">
        <v>357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14.55" customHeight="1" x14ac:dyDescent="0.3">
      <c r="A4" s="17"/>
      <c r="B4" s="34" t="s">
        <v>228</v>
      </c>
      <c r="C4" s="26"/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4.55" customHeight="1" x14ac:dyDescent="0.3">
      <c r="A5" s="17"/>
      <c r="B5" s="25" t="s">
        <v>251</v>
      </c>
      <c r="C5" s="27"/>
      <c r="D5" s="26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4.55" customHeight="1" thickBot="1" x14ac:dyDescent="0.35">
      <c r="A6" s="17"/>
      <c r="B6" s="27"/>
      <c r="C6" s="28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4.55" customHeight="1" x14ac:dyDescent="0.3">
      <c r="A7" s="17"/>
      <c r="B7" s="390" t="s">
        <v>252</v>
      </c>
      <c r="C7" s="201"/>
      <c r="D7" s="202" t="s">
        <v>253</v>
      </c>
      <c r="E7" s="201" t="s">
        <v>253</v>
      </c>
      <c r="F7" s="203" t="s">
        <v>254</v>
      </c>
      <c r="G7" s="27"/>
      <c r="H7" s="27"/>
      <c r="I7" s="27"/>
      <c r="J7" s="27"/>
      <c r="K7" s="27"/>
      <c r="L7" s="27"/>
      <c r="M7" s="27"/>
      <c r="N7" s="27"/>
      <c r="O7" s="27"/>
    </row>
    <row r="8" spans="1:15" ht="14.55" customHeight="1" x14ac:dyDescent="0.3">
      <c r="A8" s="17"/>
      <c r="B8" s="183" t="s">
        <v>253</v>
      </c>
      <c r="C8" s="27" t="s">
        <v>255</v>
      </c>
      <c r="D8" s="181">
        <v>20.57</v>
      </c>
      <c r="E8" s="27"/>
      <c r="F8" s="184" t="s">
        <v>256</v>
      </c>
      <c r="G8" s="27"/>
      <c r="H8" s="27"/>
      <c r="I8" s="27"/>
      <c r="J8" s="27"/>
      <c r="K8" s="27"/>
      <c r="L8" s="27"/>
      <c r="M8" s="27"/>
      <c r="N8" s="27"/>
      <c r="O8" s="27"/>
    </row>
    <row r="9" spans="1:15" ht="14.55" customHeight="1" x14ac:dyDescent="0.35">
      <c r="A9" s="17"/>
      <c r="B9" s="183" t="s">
        <v>253</v>
      </c>
      <c r="C9" s="27" t="s">
        <v>257</v>
      </c>
      <c r="D9" s="204">
        <v>0.122</v>
      </c>
      <c r="E9" s="27" t="s">
        <v>258</v>
      </c>
      <c r="F9" s="176" t="s">
        <v>259</v>
      </c>
      <c r="G9" s="27" t="s">
        <v>260</v>
      </c>
      <c r="H9" s="185"/>
      <c r="I9" s="27"/>
      <c r="J9" s="27"/>
      <c r="K9" s="27"/>
      <c r="L9" s="27"/>
      <c r="M9" s="27"/>
      <c r="N9" s="27"/>
      <c r="O9" s="27"/>
    </row>
    <row r="10" spans="1:15" ht="14.55" customHeight="1" x14ac:dyDescent="0.35">
      <c r="A10" s="17"/>
      <c r="B10" s="183" t="s">
        <v>253</v>
      </c>
      <c r="C10" s="27" t="s">
        <v>261</v>
      </c>
      <c r="D10" s="175">
        <v>4.2999999999999997E-2</v>
      </c>
      <c r="E10" s="27"/>
      <c r="F10" s="176" t="s">
        <v>262</v>
      </c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14.55" customHeight="1" x14ac:dyDescent="0.35">
      <c r="A11" s="17"/>
      <c r="B11" s="183" t="s">
        <v>253</v>
      </c>
      <c r="C11" s="27" t="s">
        <v>263</v>
      </c>
      <c r="D11" s="205">
        <f>((1+D9)/D8)+D9</f>
        <v>0.17654545454545453</v>
      </c>
      <c r="E11" s="27"/>
      <c r="F11" s="176" t="s">
        <v>253</v>
      </c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4.55" customHeight="1" x14ac:dyDescent="0.35">
      <c r="A12" s="17"/>
      <c r="B12" s="183" t="s">
        <v>253</v>
      </c>
      <c r="C12" s="27" t="s">
        <v>264</v>
      </c>
      <c r="D12" s="85">
        <f>+D11-D10</f>
        <v>0.13354545454545452</v>
      </c>
      <c r="E12" s="27"/>
      <c r="F12" s="176" t="s">
        <v>253</v>
      </c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4.55" customHeight="1" x14ac:dyDescent="0.3">
      <c r="A13" s="17"/>
      <c r="B13" s="183" t="s">
        <v>253</v>
      </c>
      <c r="C13" s="27"/>
      <c r="D13" s="26"/>
      <c r="E13" s="27"/>
      <c r="F13" s="176" t="s">
        <v>253</v>
      </c>
      <c r="G13" s="27"/>
      <c r="H13" s="27"/>
      <c r="I13" s="27"/>
      <c r="J13" s="27"/>
      <c r="K13" s="27"/>
      <c r="L13" s="27"/>
      <c r="M13" s="27"/>
      <c r="N13" s="27"/>
      <c r="O13" s="27"/>
    </row>
    <row r="14" spans="1:15" ht="14.55" customHeight="1" x14ac:dyDescent="0.3">
      <c r="A14" s="17"/>
      <c r="B14" s="183" t="s">
        <v>253</v>
      </c>
      <c r="C14" s="27"/>
      <c r="D14" s="26"/>
      <c r="E14" s="27"/>
      <c r="F14" s="176" t="s">
        <v>253</v>
      </c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4.55" customHeight="1" x14ac:dyDescent="0.3">
      <c r="A15" s="17"/>
      <c r="B15" s="391" t="s">
        <v>265</v>
      </c>
      <c r="C15" s="388"/>
      <c r="D15" s="206" t="s">
        <v>253</v>
      </c>
      <c r="E15" s="207" t="s">
        <v>253</v>
      </c>
      <c r="F15" s="208" t="s">
        <v>253</v>
      </c>
      <c r="G15" s="27"/>
      <c r="H15" s="27"/>
      <c r="I15" s="116"/>
      <c r="J15" s="116"/>
      <c r="K15" s="116"/>
      <c r="L15" s="116"/>
      <c r="M15" s="116"/>
      <c r="N15" s="116"/>
      <c r="O15" s="116"/>
    </row>
    <row r="16" spans="1:15" ht="14.55" customHeight="1" x14ac:dyDescent="0.3">
      <c r="A16" s="17"/>
      <c r="B16" s="189" t="s">
        <v>367</v>
      </c>
      <c r="C16" s="26"/>
      <c r="D16" s="26"/>
      <c r="E16" s="27"/>
      <c r="F16" s="176" t="s">
        <v>253</v>
      </c>
      <c r="G16" s="27"/>
      <c r="H16" s="27"/>
      <c r="I16" s="116"/>
      <c r="J16" s="116"/>
      <c r="K16" s="116"/>
      <c r="L16" s="116"/>
      <c r="M16" s="116"/>
      <c r="N16" s="116"/>
      <c r="O16" s="116"/>
    </row>
    <row r="17" spans="1:23" ht="14.55" customHeight="1" x14ac:dyDescent="0.3">
      <c r="A17" s="17"/>
      <c r="B17" s="183" t="s">
        <v>253</v>
      </c>
      <c r="C17" s="27" t="s">
        <v>266</v>
      </c>
      <c r="D17" s="209">
        <v>340.71</v>
      </c>
      <c r="E17" s="190"/>
      <c r="F17" s="176" t="s">
        <v>267</v>
      </c>
      <c r="G17" s="27"/>
      <c r="H17" s="27"/>
      <c r="I17" s="116"/>
      <c r="J17" s="386"/>
      <c r="K17" s="387"/>
      <c r="L17" s="387"/>
      <c r="M17" s="387"/>
      <c r="N17" s="387"/>
      <c r="O17" s="387"/>
    </row>
    <row r="18" spans="1:23" ht="14.55" customHeight="1" x14ac:dyDescent="0.35">
      <c r="A18" s="17"/>
      <c r="B18" s="183" t="s">
        <v>253</v>
      </c>
      <c r="C18" s="27" t="s">
        <v>269</v>
      </c>
      <c r="D18" s="181">
        <v>16.329999999999998</v>
      </c>
      <c r="E18" s="27"/>
      <c r="F18" s="176" t="s">
        <v>267</v>
      </c>
      <c r="G18" s="27"/>
      <c r="H18" s="27"/>
      <c r="I18" s="116"/>
      <c r="J18" s="384" t="s">
        <v>270</v>
      </c>
      <c r="K18" s="385" t="s">
        <v>271</v>
      </c>
      <c r="L18" s="385" t="s">
        <v>272</v>
      </c>
      <c r="M18" s="385" t="s">
        <v>265</v>
      </c>
      <c r="N18" s="385" t="s">
        <v>392</v>
      </c>
      <c r="O18" s="385" t="s">
        <v>393</v>
      </c>
    </row>
    <row r="19" spans="1:23" ht="14.55" customHeight="1" x14ac:dyDescent="0.3">
      <c r="A19" s="17"/>
      <c r="B19" s="183" t="s">
        <v>253</v>
      </c>
      <c r="C19" s="27" t="s">
        <v>273</v>
      </c>
      <c r="D19" s="210">
        <f>D17/D18</f>
        <v>20.864053888548685</v>
      </c>
      <c r="E19" s="191"/>
      <c r="F19" s="176" t="s">
        <v>253</v>
      </c>
      <c r="G19" s="27"/>
      <c r="H19" s="27"/>
      <c r="I19" s="116"/>
      <c r="J19" s="192" t="s">
        <v>358</v>
      </c>
      <c r="K19" s="438">
        <f>'Comps no formuals'!G6/'Comps no formuals'!F6</f>
        <v>0.14794265577160684</v>
      </c>
      <c r="L19" s="213">
        <v>0.16500000000000001</v>
      </c>
      <c r="M19" s="212">
        <f>'Comps no formuals'!K6</f>
        <v>0.21173257687737901</v>
      </c>
      <c r="N19" s="212">
        <f>M19/(1+((1-L19)*K19))</f>
        <v>0.18845262504417976</v>
      </c>
      <c r="O19" s="212">
        <f>N19*(1+((1-$L$26)*$K$26))</f>
        <v>0.20225863530723279</v>
      </c>
      <c r="R19" s="18"/>
      <c r="S19" s="19"/>
      <c r="T19" s="20"/>
      <c r="U19" s="21"/>
      <c r="V19" s="21"/>
      <c r="W19" s="21"/>
    </row>
    <row r="20" spans="1:23" ht="14.55" customHeight="1" x14ac:dyDescent="0.3">
      <c r="A20" s="17"/>
      <c r="B20" s="183" t="s">
        <v>253</v>
      </c>
      <c r="C20" s="27" t="s">
        <v>274</v>
      </c>
      <c r="D20" s="204">
        <v>0.105</v>
      </c>
      <c r="E20" s="27"/>
      <c r="F20" s="176" t="s">
        <v>275</v>
      </c>
      <c r="G20" s="27" t="s">
        <v>260</v>
      </c>
      <c r="H20" s="27"/>
      <c r="I20" s="116"/>
      <c r="J20" s="192" t="s">
        <v>359</v>
      </c>
      <c r="K20" s="438">
        <f>'Comps no formuals'!G7/'Comps no formuals'!F7</f>
        <v>0.14029300479313983</v>
      </c>
      <c r="L20" s="213">
        <v>0.189</v>
      </c>
      <c r="M20" s="212">
        <f>'Comps no formuals'!K7</f>
        <v>0.40948775669446902</v>
      </c>
      <c r="N20" s="212">
        <f>M20/(1+((1-L20)*K20))</f>
        <v>0.36765665498138733</v>
      </c>
      <c r="O20" s="212">
        <f>N20*(1+((1-$L$26)*$K$26))</f>
        <v>0.39459112485551523</v>
      </c>
      <c r="R20" s="21"/>
      <c r="S20" s="22"/>
      <c r="T20" s="20"/>
      <c r="U20" s="21"/>
      <c r="V20" s="23"/>
      <c r="W20" s="21"/>
    </row>
    <row r="21" spans="1:23" ht="14.55" customHeight="1" x14ac:dyDescent="0.3">
      <c r="A21" s="17"/>
      <c r="B21" s="183" t="s">
        <v>253</v>
      </c>
      <c r="C21" s="27" t="s">
        <v>276</v>
      </c>
      <c r="D21" s="85">
        <f>+((1+D20)/D19)+D20</f>
        <v>0.15796190308473482</v>
      </c>
      <c r="E21" s="27"/>
      <c r="F21" s="176" t="s">
        <v>253</v>
      </c>
      <c r="G21" s="27"/>
      <c r="H21" s="27"/>
      <c r="I21" s="116"/>
      <c r="J21" s="192" t="s">
        <v>360</v>
      </c>
      <c r="K21" s="438">
        <f>'Comps no formuals'!G8/'Comps no formuals'!F8</f>
        <v>0.15486418330457621</v>
      </c>
      <c r="L21" s="213">
        <v>0.16300000000000001</v>
      </c>
      <c r="M21" s="212">
        <f>'Comps no formuals'!K8</f>
        <v>2.0490809964698001E-2</v>
      </c>
      <c r="N21" s="212">
        <f>M21/(1+((1-L21)*K21))</f>
        <v>1.8139538955260052E-2</v>
      </c>
      <c r="O21" s="212">
        <f>N21*(1+((1-$L$26)*$K$26))</f>
        <v>1.9468438783132761E-2</v>
      </c>
      <c r="R21" s="21"/>
      <c r="S21" s="22"/>
      <c r="T21" s="20"/>
      <c r="U21" s="21"/>
      <c r="V21" s="23"/>
      <c r="W21" s="21"/>
    </row>
    <row r="22" spans="1:23" ht="14.55" customHeight="1" x14ac:dyDescent="0.3">
      <c r="A22" s="17"/>
      <c r="B22" s="183" t="s">
        <v>253</v>
      </c>
      <c r="C22" s="27" t="s">
        <v>277</v>
      </c>
      <c r="D22" s="211">
        <f>(D21-D10)/D12</f>
        <v>0.86084474740100969</v>
      </c>
      <c r="E22" s="27"/>
      <c r="F22" s="176" t="s">
        <v>253</v>
      </c>
      <c r="G22" s="27"/>
      <c r="H22" s="27"/>
      <c r="I22" s="116"/>
      <c r="J22" s="193" t="s">
        <v>361</v>
      </c>
      <c r="K22" s="438">
        <f>'Comps no formuals'!G9/'Comps no formuals'!F9</f>
        <v>0.16363777104273589</v>
      </c>
      <c r="L22" s="213">
        <v>0.15</v>
      </c>
      <c r="M22" s="212">
        <f>'Comps no formuals'!K9</f>
        <v>0.59925532984236596</v>
      </c>
      <c r="N22" s="212">
        <f>M22/(1+((1-L22)*K22))</f>
        <v>0.52608154073645108</v>
      </c>
      <c r="O22" s="212">
        <f>N22*(1+((1-$L$26)*$K$26))</f>
        <v>0.5646221933217227</v>
      </c>
      <c r="R22" s="21"/>
      <c r="S22" s="22"/>
      <c r="T22" s="20"/>
      <c r="U22" s="21"/>
      <c r="V22" s="23"/>
      <c r="W22" s="21"/>
    </row>
    <row r="23" spans="1:23" ht="14.55" customHeight="1" x14ac:dyDescent="0.3">
      <c r="A23" s="17"/>
      <c r="B23" s="183" t="s">
        <v>253</v>
      </c>
      <c r="C23" s="27" t="s">
        <v>278</v>
      </c>
      <c r="D23" s="181">
        <v>0.37</v>
      </c>
      <c r="E23" s="27"/>
      <c r="F23" s="176" t="s">
        <v>267</v>
      </c>
      <c r="G23" s="27"/>
      <c r="H23" s="27"/>
      <c r="I23" s="116"/>
      <c r="J23" s="182" t="s">
        <v>253</v>
      </c>
      <c r="K23" s="212"/>
      <c r="L23" s="213"/>
      <c r="M23" s="212">
        <f>'Comps no formuals'!K10</f>
        <v>0.37863834870052099</v>
      </c>
      <c r="N23" s="212"/>
      <c r="O23" s="214">
        <f>+AVERAGE(O19:O22)</f>
        <v>0.29523509806690085</v>
      </c>
      <c r="R23" s="21"/>
      <c r="S23" s="22"/>
      <c r="T23" s="20"/>
      <c r="U23" s="21"/>
      <c r="V23" s="23"/>
      <c r="W23" s="21"/>
    </row>
    <row r="24" spans="1:23" ht="14.55" customHeight="1" x14ac:dyDescent="0.3">
      <c r="A24" s="17"/>
      <c r="B24" s="189"/>
      <c r="C24" s="26" t="s">
        <v>279</v>
      </c>
      <c r="D24" s="211">
        <f>+(D22+D23)/2</f>
        <v>0.6154223737005049</v>
      </c>
      <c r="E24" s="27"/>
      <c r="F24" s="176"/>
      <c r="G24" s="27"/>
      <c r="H24" s="27"/>
      <c r="I24" s="116"/>
      <c r="J24" s="182" t="s">
        <v>253</v>
      </c>
      <c r="K24" s="182"/>
      <c r="L24" s="182"/>
      <c r="M24" s="182"/>
      <c r="N24" s="182"/>
      <c r="O24" s="182" t="s">
        <v>253</v>
      </c>
      <c r="R24" s="21"/>
      <c r="S24" s="22"/>
      <c r="T24" s="20"/>
      <c r="U24" s="18"/>
      <c r="V24" s="18"/>
      <c r="W24" s="21"/>
    </row>
    <row r="25" spans="1:23" ht="14.55" customHeight="1" x14ac:dyDescent="0.3">
      <c r="A25" s="17"/>
      <c r="B25" s="189"/>
      <c r="C25" s="26" t="s">
        <v>280</v>
      </c>
      <c r="D25" s="211">
        <f>+O23</f>
        <v>0.29523509806690085</v>
      </c>
      <c r="E25" s="27"/>
      <c r="F25" s="176" t="s">
        <v>281</v>
      </c>
      <c r="G25" s="27"/>
      <c r="H25" s="27"/>
      <c r="I25" s="116"/>
      <c r="J25" s="177" t="s">
        <v>253</v>
      </c>
      <c r="K25" s="177" t="s">
        <v>271</v>
      </c>
      <c r="L25" s="177" t="s">
        <v>272</v>
      </c>
      <c r="M25" s="177"/>
      <c r="N25" s="177"/>
      <c r="O25" s="177" t="s">
        <v>282</v>
      </c>
    </row>
    <row r="26" spans="1:23" ht="14.55" customHeight="1" x14ac:dyDescent="0.3">
      <c r="A26" s="17"/>
      <c r="B26" s="183" t="s">
        <v>253</v>
      </c>
      <c r="C26" s="27"/>
      <c r="D26" s="26"/>
      <c r="E26" s="27"/>
      <c r="F26" s="176" t="s">
        <v>253</v>
      </c>
      <c r="G26" s="27"/>
      <c r="H26" s="27"/>
      <c r="I26" s="116"/>
      <c r="J26" s="182" t="s">
        <v>357</v>
      </c>
      <c r="K26" s="438">
        <f>'Comps no formuals'!G10/'Comps no formuals'!F10</f>
        <v>8.8907579929786582E-2</v>
      </c>
      <c r="L26" s="179">
        <v>0.17599999999999999</v>
      </c>
      <c r="M26" s="180">
        <f>'Comps no formuals'!K10</f>
        <v>0.37863834870052099</v>
      </c>
      <c r="N26" s="178">
        <f>M26/(1+((1-L26)*K26))</f>
        <v>0.35279280237710076</v>
      </c>
      <c r="O26" s="182">
        <f>N26*(1+((1-L26)*K26))</f>
        <v>0.37863834870052099</v>
      </c>
    </row>
    <row r="27" spans="1:23" ht="14.55" customHeight="1" x14ac:dyDescent="0.3">
      <c r="A27" s="17"/>
      <c r="B27" s="389" t="s">
        <v>283</v>
      </c>
      <c r="C27" s="186"/>
      <c r="D27" s="186" t="s">
        <v>253</v>
      </c>
      <c r="E27" s="187" t="s">
        <v>253</v>
      </c>
      <c r="F27" s="188" t="s">
        <v>253</v>
      </c>
      <c r="G27" s="27"/>
      <c r="H27" s="27"/>
      <c r="I27" s="116"/>
      <c r="J27" s="116"/>
      <c r="K27" s="116"/>
      <c r="L27" s="116"/>
      <c r="M27" s="116"/>
      <c r="N27" s="116"/>
      <c r="O27" s="116"/>
    </row>
    <row r="28" spans="1:23" ht="14.55" customHeight="1" x14ac:dyDescent="0.3">
      <c r="A28" s="17"/>
      <c r="B28" s="215" t="s">
        <v>253</v>
      </c>
      <c r="C28" s="216" t="s">
        <v>284</v>
      </c>
      <c r="D28" s="217">
        <v>6.5000000000000002E-2</v>
      </c>
      <c r="E28" s="216"/>
      <c r="F28" s="218" t="s">
        <v>253</v>
      </c>
      <c r="G28" s="27"/>
      <c r="H28" s="27"/>
      <c r="I28" s="116"/>
      <c r="J28" s="116"/>
      <c r="K28" s="116"/>
      <c r="L28" s="131"/>
      <c r="M28" s="131"/>
      <c r="N28" s="131"/>
      <c r="O28" s="116"/>
    </row>
    <row r="29" spans="1:23" ht="14.55" customHeight="1" x14ac:dyDescent="0.3">
      <c r="A29" s="17"/>
      <c r="B29" s="183" t="s">
        <v>253</v>
      </c>
      <c r="C29" s="27" t="s">
        <v>285</v>
      </c>
      <c r="D29" s="78">
        <f>+$D$10+D22*($D$28)</f>
        <v>9.895490858106562E-2</v>
      </c>
      <c r="E29" s="221">
        <v>0.3</v>
      </c>
      <c r="F29" s="176" t="s">
        <v>253</v>
      </c>
      <c r="G29" s="27"/>
      <c r="H29" s="27"/>
      <c r="I29" s="116"/>
      <c r="J29" s="116"/>
      <c r="K29" s="116"/>
      <c r="L29" s="116"/>
      <c r="M29" s="116"/>
      <c r="N29" s="116"/>
      <c r="O29" s="116"/>
    </row>
    <row r="30" spans="1:23" ht="14.55" customHeight="1" x14ac:dyDescent="0.3">
      <c r="A30" s="17"/>
      <c r="B30" s="183" t="s">
        <v>253</v>
      </c>
      <c r="C30" s="27" t="s">
        <v>286</v>
      </c>
      <c r="D30" s="73">
        <f>+$D$10+D23*($D$28)</f>
        <v>6.7049999999999998E-2</v>
      </c>
      <c r="E30" s="221">
        <v>0.4</v>
      </c>
      <c r="F30" s="176" t="s">
        <v>253</v>
      </c>
      <c r="G30" s="27"/>
      <c r="H30" s="27"/>
      <c r="I30" s="27"/>
      <c r="J30" s="27"/>
      <c r="K30" s="27"/>
      <c r="L30" s="27"/>
      <c r="M30" s="27"/>
      <c r="N30" s="27"/>
      <c r="O30" s="27"/>
    </row>
    <row r="31" spans="1:23" ht="14.55" customHeight="1" x14ac:dyDescent="0.3">
      <c r="A31" s="17"/>
      <c r="B31" s="183" t="s">
        <v>253</v>
      </c>
      <c r="C31" s="27" t="s">
        <v>280</v>
      </c>
      <c r="D31" s="73">
        <f>+$D$10+D25*($D$28)</f>
        <v>6.2190281374348552E-2</v>
      </c>
      <c r="E31" s="221">
        <v>0.3</v>
      </c>
      <c r="F31" s="176" t="s">
        <v>253</v>
      </c>
      <c r="G31" s="27"/>
      <c r="H31" s="27"/>
      <c r="I31" s="27"/>
      <c r="J31" s="27"/>
      <c r="K31" s="27"/>
      <c r="L31" s="27"/>
      <c r="M31" s="27"/>
      <c r="N31" s="27"/>
      <c r="O31" s="27"/>
    </row>
    <row r="32" spans="1:23" ht="14.55" customHeight="1" x14ac:dyDescent="0.3">
      <c r="A32" s="17"/>
      <c r="B32" s="183" t="s">
        <v>253</v>
      </c>
      <c r="C32" s="194" t="s">
        <v>287</v>
      </c>
      <c r="D32" s="219">
        <f>+SUMPRODUCT(D29:D31,E29:E31)</f>
        <v>7.5163556986624247E-2</v>
      </c>
      <c r="E32" s="221"/>
      <c r="F32" s="176" t="s">
        <v>253</v>
      </c>
      <c r="G32" s="27"/>
      <c r="H32" s="27"/>
      <c r="I32" s="27"/>
      <c r="J32" s="27"/>
      <c r="K32" s="27"/>
      <c r="L32" s="27"/>
      <c r="M32" s="27"/>
      <c r="N32" s="27"/>
      <c r="O32" s="27"/>
    </row>
    <row r="33" spans="1:15" ht="14.55" customHeight="1" x14ac:dyDescent="0.3">
      <c r="A33" s="17"/>
      <c r="B33" s="183" t="s">
        <v>253</v>
      </c>
      <c r="C33" s="27"/>
      <c r="D33" s="220"/>
      <c r="E33" s="27"/>
      <c r="F33" s="176" t="s">
        <v>253</v>
      </c>
      <c r="G33" s="27"/>
      <c r="H33" s="27"/>
      <c r="I33" s="27"/>
      <c r="J33" s="27"/>
      <c r="K33" s="27"/>
      <c r="L33" s="27"/>
      <c r="M33" s="27"/>
      <c r="N33" s="27"/>
      <c r="O33" s="27"/>
    </row>
    <row r="34" spans="1:15" ht="14.55" customHeight="1" thickBot="1" x14ac:dyDescent="0.35">
      <c r="A34" s="17"/>
      <c r="B34" s="195" t="s">
        <v>253</v>
      </c>
      <c r="C34" s="196" t="s">
        <v>288</v>
      </c>
      <c r="D34" s="197">
        <f>+D10+1*D28</f>
        <v>0.108</v>
      </c>
      <c r="E34" s="198" t="s">
        <v>253</v>
      </c>
      <c r="F34" s="199" t="s">
        <v>253</v>
      </c>
      <c r="G34" s="27"/>
      <c r="H34" s="27"/>
      <c r="I34" s="27"/>
      <c r="J34" s="27"/>
      <c r="K34" s="27"/>
      <c r="L34" s="27"/>
      <c r="M34" s="27"/>
      <c r="N34" s="27"/>
      <c r="O34" s="27"/>
    </row>
  </sheetData>
  <hyperlinks>
    <hyperlink ref="F8" r:id="rId1" xr:uid="{A9B66C44-2DA5-4F4D-8029-5FAF04B6D2B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A5F7-3BC7-47FA-A05C-4B38E9FF3FC9}">
  <dimension ref="A1:N134"/>
  <sheetViews>
    <sheetView zoomScale="53" zoomScaleNormal="70" workbookViewId="0">
      <pane ySplit="5" topLeftCell="A6" activePane="bottomLeft" state="frozen"/>
      <selection pane="bottomLeft" activeCell="N43" sqref="N43"/>
    </sheetView>
  </sheetViews>
  <sheetFormatPr defaultRowHeight="14.4" x14ac:dyDescent="0.3"/>
  <cols>
    <col min="1" max="1" width="27.5546875" customWidth="1"/>
    <col min="2" max="12" width="13.88671875" customWidth="1"/>
    <col min="14" max="14" width="83.33203125" customWidth="1"/>
  </cols>
  <sheetData>
    <row r="1" spans="1:14" ht="18" x14ac:dyDescent="0.35">
      <c r="A1" s="33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4" x14ac:dyDescent="0.3">
      <c r="A2" s="34" t="s">
        <v>59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3">
      <c r="A3" s="25" t="s">
        <v>60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4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4" x14ac:dyDescent="0.3">
      <c r="A5" s="50" t="s">
        <v>3</v>
      </c>
      <c r="B5" s="68">
        <v>2021</v>
      </c>
      <c r="C5" s="68">
        <v>2022</v>
      </c>
      <c r="D5" s="68">
        <v>2023</v>
      </c>
      <c r="E5" s="68">
        <v>2024</v>
      </c>
      <c r="F5" s="68">
        <v>2025</v>
      </c>
      <c r="G5" s="68" t="s">
        <v>61</v>
      </c>
      <c r="H5" s="68" t="s">
        <v>62</v>
      </c>
      <c r="I5" s="68" t="s">
        <v>63</v>
      </c>
      <c r="J5" s="68" t="s">
        <v>64</v>
      </c>
      <c r="K5" s="68" t="s">
        <v>65</v>
      </c>
      <c r="L5" s="68" t="s">
        <v>66</v>
      </c>
      <c r="N5" s="425" t="s">
        <v>395</v>
      </c>
    </row>
    <row r="6" spans="1:14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4" x14ac:dyDescent="0.3">
      <c r="A7" s="69" t="s">
        <v>67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N7" t="s">
        <v>67</v>
      </c>
    </row>
    <row r="8" spans="1:14" x14ac:dyDescent="0.3">
      <c r="A8" s="27" t="s">
        <v>68</v>
      </c>
      <c r="B8" s="45">
        <v>5864</v>
      </c>
      <c r="C8" s="45">
        <v>5876</v>
      </c>
      <c r="D8" s="45">
        <v>5710</v>
      </c>
      <c r="E8" s="45">
        <v>7811</v>
      </c>
      <c r="F8" s="45">
        <v>9413</v>
      </c>
      <c r="G8" s="41">
        <f>G13*G15</f>
        <v>9722.7949367088604</v>
      </c>
      <c r="H8" s="41">
        <f t="shared" ref="H8:L8" si="0">H13*H15</f>
        <v>10041.216470886075</v>
      </c>
      <c r="I8" s="41">
        <f t="shared" si="0"/>
        <v>10470.137569518987</v>
      </c>
      <c r="J8" s="41">
        <f t="shared" si="0"/>
        <v>10915.756839246076</v>
      </c>
      <c r="K8" s="41">
        <f t="shared" si="0"/>
        <v>11378.690141344225</v>
      </c>
      <c r="L8" s="41">
        <f t="shared" si="0"/>
        <v>11859.575260412937</v>
      </c>
    </row>
    <row r="9" spans="1:14" x14ac:dyDescent="0.3">
      <c r="A9" s="27" t="s">
        <v>69</v>
      </c>
      <c r="B9" s="45">
        <v>2271</v>
      </c>
      <c r="C9" s="45">
        <v>2691</v>
      </c>
      <c r="D9" s="45">
        <v>2911</v>
      </c>
      <c r="E9" s="45">
        <v>3438</v>
      </c>
      <c r="F9" s="45">
        <v>3697</v>
      </c>
      <c r="G9" s="41">
        <f>F9*(1+G18)</f>
        <v>3881.8500000000004</v>
      </c>
      <c r="H9" s="41">
        <f t="shared" ref="H9:L9" si="1">G9*(1+H18)</f>
        <v>4075.9425000000006</v>
      </c>
      <c r="I9" s="41">
        <f t="shared" si="1"/>
        <v>4279.7396250000011</v>
      </c>
      <c r="J9" s="41">
        <f t="shared" si="1"/>
        <v>4493.7266062500012</v>
      </c>
      <c r="K9" s="41">
        <f t="shared" si="1"/>
        <v>4718.4129365625013</v>
      </c>
      <c r="L9" s="41">
        <f t="shared" si="1"/>
        <v>4954.3335833906267</v>
      </c>
    </row>
    <row r="10" spans="1:14" x14ac:dyDescent="0.3">
      <c r="A10" s="39" t="s">
        <v>70</v>
      </c>
      <c r="B10" s="43">
        <f t="shared" ref="B10:G10" si="2">B8+B9</f>
        <v>8135</v>
      </c>
      <c r="C10" s="43">
        <f t="shared" si="2"/>
        <v>8567</v>
      </c>
      <c r="D10" s="43">
        <f t="shared" si="2"/>
        <v>8621</v>
      </c>
      <c r="E10" s="43">
        <f t="shared" si="2"/>
        <v>11249</v>
      </c>
      <c r="F10" s="43">
        <f t="shared" si="2"/>
        <v>13110</v>
      </c>
      <c r="G10" s="43">
        <f t="shared" si="2"/>
        <v>13604.644936708861</v>
      </c>
      <c r="H10" s="43">
        <f t="shared" ref="H10:L10" si="3">H8+H9</f>
        <v>14117.158970886076</v>
      </c>
      <c r="I10" s="43">
        <f t="shared" si="3"/>
        <v>14749.877194518987</v>
      </c>
      <c r="J10" s="43">
        <f t="shared" si="3"/>
        <v>15409.483445496076</v>
      </c>
      <c r="K10" s="43">
        <f t="shared" si="3"/>
        <v>16097.103077906726</v>
      </c>
      <c r="L10" s="43">
        <f t="shared" si="3"/>
        <v>16813.908843803565</v>
      </c>
    </row>
    <row r="11" spans="1:14" x14ac:dyDescent="0.3">
      <c r="A11" s="51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4" x14ac:dyDescent="0.3">
      <c r="A12" s="26" t="s">
        <v>71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4" x14ac:dyDescent="0.3">
      <c r="A13" s="27" t="s">
        <v>72</v>
      </c>
      <c r="B13" s="396">
        <v>119</v>
      </c>
      <c r="C13" s="396">
        <v>120</v>
      </c>
      <c r="D13" s="396">
        <v>111</v>
      </c>
      <c r="E13" s="396">
        <v>136</v>
      </c>
      <c r="F13" s="396">
        <v>158</v>
      </c>
      <c r="G13" s="40">
        <f>ROUND(F13*(1+G14), 0)</f>
        <v>160</v>
      </c>
      <c r="H13" s="40">
        <f t="shared" ref="H13:L13" si="4">ROUND(G13*(1+H14), 0)</f>
        <v>162</v>
      </c>
      <c r="I13" s="40">
        <f t="shared" si="4"/>
        <v>164</v>
      </c>
      <c r="J13" s="40">
        <f t="shared" si="4"/>
        <v>166</v>
      </c>
      <c r="K13" s="40">
        <f t="shared" si="4"/>
        <v>168</v>
      </c>
      <c r="L13" s="40">
        <f t="shared" si="4"/>
        <v>170</v>
      </c>
    </row>
    <row r="14" spans="1:14" x14ac:dyDescent="0.3">
      <c r="A14" s="27"/>
      <c r="B14" s="392"/>
      <c r="C14" s="393">
        <f>C13/B13-1</f>
        <v>8.4033613445377853E-3</v>
      </c>
      <c r="D14" s="393">
        <f t="shared" ref="D14:F14" si="5">D13/C13-1</f>
        <v>-7.4999999999999956E-2</v>
      </c>
      <c r="E14" s="393">
        <f t="shared" si="5"/>
        <v>0.22522522522522515</v>
      </c>
      <c r="F14" s="393">
        <f t="shared" si="5"/>
        <v>0.16176470588235303</v>
      </c>
      <c r="G14" s="49">
        <v>0.01</v>
      </c>
      <c r="H14" s="49">
        <v>0.01</v>
      </c>
      <c r="I14" s="49">
        <v>0.01</v>
      </c>
      <c r="J14" s="49">
        <v>0.01</v>
      </c>
      <c r="K14" s="49">
        <v>0.01</v>
      </c>
      <c r="L14" s="49">
        <v>0.01</v>
      </c>
      <c r="N14" t="s">
        <v>396</v>
      </c>
    </row>
    <row r="15" spans="1:14" x14ac:dyDescent="0.3">
      <c r="A15" s="27" t="s">
        <v>73</v>
      </c>
      <c r="B15" s="397">
        <f>B8/B13</f>
        <v>49.27731092436975</v>
      </c>
      <c r="C15" s="397">
        <f>C8/C13</f>
        <v>48.966666666666669</v>
      </c>
      <c r="D15" s="397">
        <f>D8/D13</f>
        <v>51.441441441441441</v>
      </c>
      <c r="E15" s="397">
        <f>E8/E13</f>
        <v>57.433823529411768</v>
      </c>
      <c r="F15" s="397">
        <f>F8/F13</f>
        <v>59.575949367088604</v>
      </c>
      <c r="G15" s="398">
        <f>F15*(1+G16)</f>
        <v>60.767468354430378</v>
      </c>
      <c r="H15" s="398">
        <f t="shared" ref="H15:L15" si="6">G15*(1+H16)</f>
        <v>61.982817721518984</v>
      </c>
      <c r="I15" s="398">
        <f t="shared" si="6"/>
        <v>63.842302253164554</v>
      </c>
      <c r="J15" s="398">
        <f t="shared" si="6"/>
        <v>65.757571320759496</v>
      </c>
      <c r="K15" s="398">
        <f t="shared" si="6"/>
        <v>67.730298460382286</v>
      </c>
      <c r="L15" s="398">
        <f t="shared" si="6"/>
        <v>69.762207414193753</v>
      </c>
      <c r="N15" t="s">
        <v>397</v>
      </c>
    </row>
    <row r="16" spans="1:14" x14ac:dyDescent="0.3">
      <c r="A16" s="27"/>
      <c r="B16" s="392"/>
      <c r="C16" s="393">
        <f>C15/B15-1</f>
        <v>-6.3040018190086977E-3</v>
      </c>
      <c r="D16" s="393">
        <f t="shared" ref="D16:F16" si="7">D15/C15-1</f>
        <v>5.0539988593085949E-2</v>
      </c>
      <c r="E16" s="393">
        <f t="shared" si="7"/>
        <v>0.1164893891006491</v>
      </c>
      <c r="F16" s="393">
        <f t="shared" si="7"/>
        <v>3.7297287661509415E-2</v>
      </c>
      <c r="G16" s="49">
        <v>0.02</v>
      </c>
      <c r="H16" s="49">
        <f>G16</f>
        <v>0.02</v>
      </c>
      <c r="I16" s="49">
        <v>0.03</v>
      </c>
      <c r="J16" s="49">
        <v>0.03</v>
      </c>
      <c r="K16" s="49">
        <f t="shared" ref="K16:L16" si="8">J16</f>
        <v>0.03</v>
      </c>
      <c r="L16" s="49">
        <f t="shared" si="8"/>
        <v>0.03</v>
      </c>
    </row>
    <row r="17" spans="1:14" s="417" customFormat="1" x14ac:dyDescent="0.3">
      <c r="A17" s="413" t="s">
        <v>74</v>
      </c>
      <c r="B17" s="415" t="s">
        <v>75</v>
      </c>
      <c r="C17" s="415">
        <f>C8/B8-1</f>
        <v>2.0463847203273655E-3</v>
      </c>
      <c r="D17" s="415">
        <f>D8/C8-1</f>
        <v>-2.8250510551395491E-2</v>
      </c>
      <c r="E17" s="415">
        <f>E8/D8-1</f>
        <v>0.36795096322241672</v>
      </c>
      <c r="F17" s="415">
        <f>F8/E8-1</f>
        <v>0.20509537831263613</v>
      </c>
      <c r="G17" s="416">
        <f>G8/F8-1</f>
        <v>3.2911392405063244E-2</v>
      </c>
      <c r="H17" s="416">
        <f t="shared" ref="H17:L17" si="9">H8/G8-1</f>
        <v>3.2749999999999835E-2</v>
      </c>
      <c r="I17" s="416">
        <f t="shared" si="9"/>
        <v>4.2716049382716115E-2</v>
      </c>
      <c r="J17" s="416">
        <f t="shared" si="9"/>
        <v>4.2560975609756024E-2</v>
      </c>
      <c r="K17" s="416">
        <f t="shared" si="9"/>
        <v>4.2409638554216977E-2</v>
      </c>
      <c r="L17" s="416">
        <f t="shared" si="9"/>
        <v>4.2261904761904612E-2</v>
      </c>
      <c r="N17" t="s">
        <v>398</v>
      </c>
    </row>
    <row r="18" spans="1:14" x14ac:dyDescent="0.3">
      <c r="A18" s="27" t="s">
        <v>76</v>
      </c>
      <c r="B18" s="392" t="s">
        <v>75</v>
      </c>
      <c r="C18" s="392">
        <f>C9/B9-1</f>
        <v>0.18494055482166449</v>
      </c>
      <c r="D18" s="392">
        <f>D9/C9-1</f>
        <v>8.1753994797473029E-2</v>
      </c>
      <c r="E18" s="392">
        <f>E9/D9-1</f>
        <v>0.18103744417725864</v>
      </c>
      <c r="F18" s="392">
        <f>F9/E9-1</f>
        <v>7.5334496800465445E-2</v>
      </c>
      <c r="G18" s="8">
        <v>0.05</v>
      </c>
      <c r="H18" s="8">
        <f>G18</f>
        <v>0.05</v>
      </c>
      <c r="I18" s="8">
        <f t="shared" ref="I18:L18" si="10">H18</f>
        <v>0.05</v>
      </c>
      <c r="J18" s="8">
        <f t="shared" si="10"/>
        <v>0.05</v>
      </c>
      <c r="K18" s="8">
        <f t="shared" si="10"/>
        <v>0.05</v>
      </c>
      <c r="L18" s="8">
        <f t="shared" si="10"/>
        <v>0.05</v>
      </c>
      <c r="M18" t="s">
        <v>394</v>
      </c>
      <c r="N18" s="417" t="s">
        <v>399</v>
      </c>
    </row>
    <row r="19" spans="1:14" x14ac:dyDescent="0.3">
      <c r="A19" s="27" t="s">
        <v>77</v>
      </c>
      <c r="B19" s="394">
        <v>1031</v>
      </c>
      <c r="C19" s="394">
        <v>1130</v>
      </c>
      <c r="D19" s="394">
        <v>1182</v>
      </c>
      <c r="E19" s="394">
        <v>1464</v>
      </c>
      <c r="F19" s="394">
        <v>1746</v>
      </c>
      <c r="G19" s="41">
        <f>G20*G10</f>
        <v>1904.6502911392406</v>
      </c>
      <c r="H19" s="41">
        <f t="shared" ref="H19:L19" si="11">H20*H10</f>
        <v>1976.4022559240507</v>
      </c>
      <c r="I19" s="41">
        <f t="shared" si="11"/>
        <v>2064.9828072326586</v>
      </c>
      <c r="J19" s="41">
        <f t="shared" si="11"/>
        <v>2157.3276823694509</v>
      </c>
      <c r="K19" s="41">
        <f t="shared" si="11"/>
        <v>2253.5944309069419</v>
      </c>
      <c r="L19" s="41">
        <f t="shared" si="11"/>
        <v>2353.9472381324995</v>
      </c>
      <c r="N19" t="s">
        <v>400</v>
      </c>
    </row>
    <row r="20" spans="1:14" x14ac:dyDescent="0.3">
      <c r="A20" s="27" t="s">
        <v>78</v>
      </c>
      <c r="B20" s="392">
        <f t="shared" ref="B20:E20" si="12">B19/B10</f>
        <v>0.12673632452366318</v>
      </c>
      <c r="C20" s="392">
        <f t="shared" si="12"/>
        <v>0.13190148243259017</v>
      </c>
      <c r="D20" s="392">
        <f t="shared" si="12"/>
        <v>0.13710706414569077</v>
      </c>
      <c r="E20" s="392">
        <f t="shared" si="12"/>
        <v>0.13014490176904614</v>
      </c>
      <c r="F20" s="392">
        <f>F19/F10</f>
        <v>0.13318077803203662</v>
      </c>
      <c r="G20" s="8">
        <v>0.14000000000000001</v>
      </c>
      <c r="H20" s="8">
        <v>0.14000000000000001</v>
      </c>
      <c r="I20" s="8">
        <v>0.14000000000000001</v>
      </c>
      <c r="J20" s="8">
        <v>0.14000000000000001</v>
      </c>
      <c r="K20" s="8">
        <v>0.14000000000000001</v>
      </c>
      <c r="L20" s="8">
        <v>0.14000000000000001</v>
      </c>
      <c r="N20" t="s">
        <v>401</v>
      </c>
    </row>
    <row r="21" spans="1:14" x14ac:dyDescent="0.3">
      <c r="A21" s="27"/>
      <c r="B21" s="395"/>
      <c r="C21" s="395"/>
      <c r="D21" s="395"/>
      <c r="E21" s="395"/>
      <c r="F21" s="395"/>
      <c r="G21" s="27"/>
      <c r="H21" s="27"/>
      <c r="I21" s="27"/>
      <c r="J21" s="27"/>
      <c r="K21" s="27"/>
      <c r="L21" s="27"/>
    </row>
    <row r="22" spans="1:14" x14ac:dyDescent="0.3">
      <c r="A22" s="422" t="s">
        <v>79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N22" t="s">
        <v>79</v>
      </c>
    </row>
    <row r="23" spans="1:14" x14ac:dyDescent="0.3">
      <c r="A23" s="27" t="s">
        <v>80</v>
      </c>
      <c r="B23" s="45">
        <v>7117</v>
      </c>
      <c r="C23" s="45">
        <v>7310</v>
      </c>
      <c r="D23" s="45">
        <v>8631</v>
      </c>
      <c r="E23" s="45">
        <v>10392</v>
      </c>
      <c r="F23" s="45">
        <v>12608</v>
      </c>
      <c r="G23" s="41">
        <f>F23*(1+G29)</f>
        <v>13490.560000000001</v>
      </c>
      <c r="H23" s="41">
        <f t="shared" ref="H23:L23" si="13">G23*(1+H29)</f>
        <v>14434.899200000002</v>
      </c>
      <c r="I23" s="41">
        <f t="shared" si="13"/>
        <v>15445.342144000002</v>
      </c>
      <c r="J23" s="41">
        <f t="shared" si="13"/>
        <v>16526.516094080001</v>
      </c>
      <c r="K23" s="41">
        <f t="shared" si="13"/>
        <v>17683.372220665602</v>
      </c>
      <c r="L23" s="41">
        <f t="shared" si="13"/>
        <v>18921.208276112196</v>
      </c>
      <c r="N23" t="s">
        <v>402</v>
      </c>
    </row>
    <row r="24" spans="1:14" x14ac:dyDescent="0.3">
      <c r="A24" s="27" t="s">
        <v>81</v>
      </c>
      <c r="B24" s="45">
        <v>2328</v>
      </c>
      <c r="C24" s="45">
        <v>2561</v>
      </c>
      <c r="D24" s="45">
        <v>2698</v>
      </c>
      <c r="E24" s="45">
        <v>2819</v>
      </c>
      <c r="F24" s="45">
        <v>2932</v>
      </c>
      <c r="G24" s="41">
        <f>F24*(1+G30)</f>
        <v>3019.96</v>
      </c>
      <c r="H24" s="41">
        <f t="shared" ref="H24:L24" si="14">G24*(1+H30)</f>
        <v>3110.5588000000002</v>
      </c>
      <c r="I24" s="41">
        <f t="shared" si="14"/>
        <v>3203.8755640000004</v>
      </c>
      <c r="J24" s="41">
        <f t="shared" si="14"/>
        <v>3332.0305865600003</v>
      </c>
      <c r="K24" s="41">
        <f t="shared" si="14"/>
        <v>3465.3118100224006</v>
      </c>
      <c r="L24" s="41">
        <f t="shared" si="14"/>
        <v>3603.9242824232965</v>
      </c>
      <c r="N24" t="s">
        <v>403</v>
      </c>
    </row>
    <row r="25" spans="1:14" x14ac:dyDescent="0.3">
      <c r="A25" s="27" t="s">
        <v>82</v>
      </c>
      <c r="B25" s="45">
        <v>1081</v>
      </c>
      <c r="C25" s="45">
        <v>1169</v>
      </c>
      <c r="D25" s="45">
        <v>1132</v>
      </c>
      <c r="E25" s="45">
        <v>1132</v>
      </c>
      <c r="F25" s="45">
        <v>1183</v>
      </c>
      <c r="G25" s="41">
        <f>F25*(1+G32)</f>
        <v>1206.6600000000001</v>
      </c>
      <c r="H25" s="41">
        <f t="shared" ref="H25:L25" si="15">G25*(1+H32)</f>
        <v>1230.7932000000001</v>
      </c>
      <c r="I25" s="41">
        <f t="shared" si="15"/>
        <v>1255.4090640000002</v>
      </c>
      <c r="J25" s="41">
        <f t="shared" si="15"/>
        <v>1280.5172452800002</v>
      </c>
      <c r="K25" s="41">
        <f t="shared" si="15"/>
        <v>1306.1275901856002</v>
      </c>
      <c r="L25" s="41">
        <f t="shared" si="15"/>
        <v>1332.2501419893122</v>
      </c>
      <c r="N25" t="s">
        <v>404</v>
      </c>
    </row>
    <row r="26" spans="1:14" x14ac:dyDescent="0.3">
      <c r="A26" s="39" t="s">
        <v>83</v>
      </c>
      <c r="B26" s="43">
        <f t="shared" ref="B26:F26" si="16">B23+B24+B25</f>
        <v>10526</v>
      </c>
      <c r="C26" s="43">
        <f t="shared" si="16"/>
        <v>11040</v>
      </c>
      <c r="D26" s="43">
        <f t="shared" si="16"/>
        <v>12461</v>
      </c>
      <c r="E26" s="43">
        <f t="shared" si="16"/>
        <v>14343</v>
      </c>
      <c r="F26" s="43">
        <f t="shared" si="16"/>
        <v>16723</v>
      </c>
      <c r="G26" s="43">
        <f>G23+G24+G25</f>
        <v>17717.18</v>
      </c>
      <c r="H26" s="43">
        <f t="shared" ref="H26:L26" si="17">H23+H24+H25</f>
        <v>18776.251200000002</v>
      </c>
      <c r="I26" s="43">
        <f t="shared" si="17"/>
        <v>19904.626772000003</v>
      </c>
      <c r="J26" s="43">
        <f t="shared" si="17"/>
        <v>21139.06392592</v>
      </c>
      <c r="K26" s="43">
        <f t="shared" si="17"/>
        <v>22454.811620873603</v>
      </c>
      <c r="L26" s="43">
        <f t="shared" si="17"/>
        <v>23857.382700524806</v>
      </c>
    </row>
    <row r="27" spans="1:14" x14ac:dyDescent="0.3">
      <c r="A27" s="51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4" x14ac:dyDescent="0.3">
      <c r="A28" s="26" t="s">
        <v>71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4" x14ac:dyDescent="0.3">
      <c r="A29" s="27" t="s">
        <v>84</v>
      </c>
      <c r="B29" s="8" t="s">
        <v>75</v>
      </c>
      <c r="C29" s="8">
        <f t="shared" ref="C29:F30" si="18">C23/B23-1</f>
        <v>2.7118167767317791E-2</v>
      </c>
      <c r="D29" s="8">
        <f t="shared" si="18"/>
        <v>0.18071135430916563</v>
      </c>
      <c r="E29" s="8">
        <f t="shared" si="18"/>
        <v>0.20403197775460558</v>
      </c>
      <c r="F29" s="8">
        <f t="shared" si="18"/>
        <v>0.21324095458044656</v>
      </c>
      <c r="G29" s="8">
        <f>CHOOSE(Cover!$I$14,'Revenue model'!G92,'Revenue model'!G93,'Revenue model'!G94)</f>
        <v>7.0000000000000007E-2</v>
      </c>
      <c r="H29" s="8">
        <f>CHOOSE(Cover!$I$14,'Revenue model'!H92,'Revenue model'!H93,'Revenue model'!H94)</f>
        <v>7.0000000000000007E-2</v>
      </c>
      <c r="I29" s="8">
        <f>CHOOSE(Cover!$I$14,'Revenue model'!I92,'Revenue model'!I93,'Revenue model'!I94)</f>
        <v>7.0000000000000007E-2</v>
      </c>
      <c r="J29" s="8">
        <f>CHOOSE(Cover!$I$14,'Revenue model'!J92,'Revenue model'!J93,'Revenue model'!J94)</f>
        <v>7.0000000000000007E-2</v>
      </c>
      <c r="K29" s="8">
        <f>CHOOSE(Cover!$I$14,'Revenue model'!K92,'Revenue model'!K93,'Revenue model'!K94)</f>
        <v>7.0000000000000007E-2</v>
      </c>
      <c r="L29" s="8">
        <f>CHOOSE(Cover!$I$14,'Revenue model'!L92,'Revenue model'!L93,'Revenue model'!L94)</f>
        <v>7.0000000000000007E-2</v>
      </c>
      <c r="N29" t="s">
        <v>468</v>
      </c>
    </row>
    <row r="30" spans="1:14" x14ac:dyDescent="0.3">
      <c r="A30" s="27" t="s">
        <v>85</v>
      </c>
      <c r="B30" s="8" t="s">
        <v>75</v>
      </c>
      <c r="C30" s="8">
        <f t="shared" si="18"/>
        <v>0.10008591065292105</v>
      </c>
      <c r="D30" s="8">
        <f t="shared" si="18"/>
        <v>5.3494728621632071E-2</v>
      </c>
      <c r="E30" s="8">
        <f t="shared" si="18"/>
        <v>4.4848035581912526E-2</v>
      </c>
      <c r="F30" s="8">
        <f t="shared" si="18"/>
        <v>4.0085136573252855E-2</v>
      </c>
      <c r="G30" s="8">
        <f>CHOOSE(Cover!$I$14,'Revenue model'!G96,'Revenue model'!G97,'Revenue model'!G98)</f>
        <v>0.03</v>
      </c>
      <c r="H30" s="8">
        <f>CHOOSE(Cover!$I$14,'Revenue model'!H96,'Revenue model'!H97,'Revenue model'!H98)</f>
        <v>0.03</v>
      </c>
      <c r="I30" s="8">
        <f>CHOOSE(Cover!$I$14,'Revenue model'!I96,'Revenue model'!I97,'Revenue model'!I98)</f>
        <v>0.03</v>
      </c>
      <c r="J30" s="8">
        <f>CHOOSE(Cover!$I$14,'Revenue model'!J96,'Revenue model'!J97,'Revenue model'!J98)</f>
        <v>0.04</v>
      </c>
      <c r="K30" s="8">
        <f>CHOOSE(Cover!$I$14,'Revenue model'!K96,'Revenue model'!K97,'Revenue model'!K98)</f>
        <v>0.04</v>
      </c>
      <c r="L30" s="8">
        <f>CHOOSE(Cover!$I$14,'Revenue model'!L96,'Revenue model'!L97,'Revenue model'!L98)</f>
        <v>0.04</v>
      </c>
      <c r="N30" t="s">
        <v>469</v>
      </c>
    </row>
    <row r="31" spans="1:14" x14ac:dyDescent="0.3">
      <c r="A31" s="27" t="s">
        <v>77</v>
      </c>
      <c r="B31" s="5">
        <v>874</v>
      </c>
      <c r="C31" s="5">
        <v>897</v>
      </c>
      <c r="D31" s="5">
        <v>874</v>
      </c>
      <c r="E31" s="5">
        <v>935</v>
      </c>
      <c r="F31" s="5">
        <v>1177</v>
      </c>
      <c r="G31" s="5">
        <f>G33*G26</f>
        <v>1293.3541399999999</v>
      </c>
      <c r="H31" s="5">
        <f t="shared" ref="H31:L31" si="19">H33*H26</f>
        <v>1370.6663376000001</v>
      </c>
      <c r="I31" s="5">
        <f t="shared" si="19"/>
        <v>1472.9423811280001</v>
      </c>
      <c r="J31" s="5">
        <f t="shared" si="19"/>
        <v>1564.29073051808</v>
      </c>
      <c r="K31" s="5">
        <f t="shared" si="19"/>
        <v>1684.1108715655203</v>
      </c>
      <c r="L31" s="5">
        <f t="shared" si="19"/>
        <v>1789.3037025393603</v>
      </c>
      <c r="N31" t="s">
        <v>405</v>
      </c>
    </row>
    <row r="32" spans="1:14" x14ac:dyDescent="0.3">
      <c r="A32" s="27" t="s">
        <v>165</v>
      </c>
      <c r="B32" s="5"/>
      <c r="C32" s="49">
        <f>C25/B25-1</f>
        <v>8.1406105457909383E-2</v>
      </c>
      <c r="D32" s="49">
        <f t="shared" ref="D32:F32" si="20">D25/C25-1</f>
        <v>-3.1650983746792094E-2</v>
      </c>
      <c r="E32" s="49">
        <f t="shared" si="20"/>
        <v>0</v>
      </c>
      <c r="F32" s="49">
        <f t="shared" si="20"/>
        <v>4.5053003533569003E-2</v>
      </c>
      <c r="G32" s="46">
        <v>0.02</v>
      </c>
      <c r="H32" s="46">
        <v>0.02</v>
      </c>
      <c r="I32" s="46">
        <v>0.02</v>
      </c>
      <c r="J32" s="46">
        <v>0.02</v>
      </c>
      <c r="K32" s="46">
        <v>0.02</v>
      </c>
      <c r="L32" s="46">
        <v>0.02</v>
      </c>
      <c r="N32" t="s">
        <v>470</v>
      </c>
    </row>
    <row r="33" spans="1:14" x14ac:dyDescent="0.3">
      <c r="A33" s="27" t="s">
        <v>78</v>
      </c>
      <c r="B33" s="8">
        <f>B31/B26</f>
        <v>8.3032490974729242E-2</v>
      </c>
      <c r="C33" s="8">
        <f>C31/C26</f>
        <v>8.1250000000000003E-2</v>
      </c>
      <c r="D33" s="8">
        <f>D31/D26</f>
        <v>7.0138833159457514E-2</v>
      </c>
      <c r="E33" s="8">
        <f>E31/E26</f>
        <v>6.5188593739106182E-2</v>
      </c>
      <c r="F33" s="8">
        <f>F31/F26</f>
        <v>7.0382108473360044E-2</v>
      </c>
      <c r="G33" s="8">
        <f>CHOOSE(Cover!$I$15,'Revenue model'!G100,'Revenue model'!G101,'Revenue model'!G102)</f>
        <v>7.2999999999999995E-2</v>
      </c>
      <c r="H33" s="8">
        <f>CHOOSE(Cover!$I$15,'Revenue model'!H100,'Revenue model'!H101,'Revenue model'!H102)</f>
        <v>7.2999999999999995E-2</v>
      </c>
      <c r="I33" s="8">
        <f>CHOOSE(Cover!$I$15,'Revenue model'!I100,'Revenue model'!I101,'Revenue model'!I102)</f>
        <v>7.3999999999999996E-2</v>
      </c>
      <c r="J33" s="8">
        <f>CHOOSE(Cover!$I$15,'Revenue model'!J100,'Revenue model'!J101,'Revenue model'!J102)</f>
        <v>7.3999999999999996E-2</v>
      </c>
      <c r="K33" s="8">
        <f>CHOOSE(Cover!$I$15,'Revenue model'!K100,'Revenue model'!K101,'Revenue model'!K102)</f>
        <v>7.4999999999999997E-2</v>
      </c>
      <c r="L33" s="8">
        <f>CHOOSE(Cover!$I$15,'Revenue model'!L100,'Revenue model'!L101,'Revenue model'!L102)</f>
        <v>7.4999999999999997E-2</v>
      </c>
      <c r="N33" t="s">
        <v>406</v>
      </c>
    </row>
    <row r="34" spans="1:14" x14ac:dyDescent="0.3">
      <c r="A34" s="27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spans="1:14" x14ac:dyDescent="0.3">
      <c r="A35" s="63" t="s">
        <v>86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N35" t="s">
        <v>86</v>
      </c>
    </row>
    <row r="36" spans="1:14" x14ac:dyDescent="0.3">
      <c r="A36" s="27" t="s">
        <v>87</v>
      </c>
      <c r="B36" s="5">
        <v>4699</v>
      </c>
      <c r="C36" s="5">
        <v>4581</v>
      </c>
      <c r="D36" s="5">
        <v>5036</v>
      </c>
      <c r="E36" s="5">
        <v>5101</v>
      </c>
      <c r="F36" s="5">
        <v>4970</v>
      </c>
      <c r="G36" s="5">
        <f>F36*(1+G42)</f>
        <v>5019.7</v>
      </c>
      <c r="H36" s="5">
        <f t="shared" ref="H36:L36" si="21">G36*(1+H42)</f>
        <v>5120.0940000000001</v>
      </c>
      <c r="I36" s="5">
        <f t="shared" si="21"/>
        <v>5222.4958800000004</v>
      </c>
      <c r="J36" s="5">
        <f t="shared" si="21"/>
        <v>5326.9457976000003</v>
      </c>
      <c r="K36" s="5">
        <f t="shared" si="21"/>
        <v>5433.4847135520004</v>
      </c>
      <c r="L36" s="5">
        <f t="shared" si="21"/>
        <v>5542.1544078230409</v>
      </c>
      <c r="N36" t="s">
        <v>407</v>
      </c>
    </row>
    <row r="37" spans="1:14" x14ac:dyDescent="0.3">
      <c r="A37" s="412" t="s">
        <v>88</v>
      </c>
      <c r="B37" s="5">
        <v>2006</v>
      </c>
      <c r="C37" s="5">
        <v>2024</v>
      </c>
      <c r="D37" s="5">
        <v>2442</v>
      </c>
      <c r="E37" s="5">
        <v>2932</v>
      </c>
      <c r="F37" s="5">
        <v>3104</v>
      </c>
      <c r="G37" s="5">
        <f>F37*(1+G43)</f>
        <v>3274.72</v>
      </c>
      <c r="H37" s="5">
        <f t="shared" ref="H37:L37" si="22">G37*(1+H43)</f>
        <v>3503.9504000000002</v>
      </c>
      <c r="I37" s="5">
        <f t="shared" si="22"/>
        <v>3749.2269280000005</v>
      </c>
      <c r="J37" s="5">
        <f t="shared" si="22"/>
        <v>4011.6728129600006</v>
      </c>
      <c r="K37" s="5">
        <f t="shared" si="22"/>
        <v>4292.4899098672013</v>
      </c>
      <c r="L37" s="5">
        <f t="shared" si="22"/>
        <v>4592.9642035579054</v>
      </c>
      <c r="N37" t="s">
        <v>496</v>
      </c>
    </row>
    <row r="38" spans="1:14" x14ac:dyDescent="0.3">
      <c r="A38" s="27" t="s">
        <v>89</v>
      </c>
      <c r="B38" s="45">
        <v>646</v>
      </c>
      <c r="C38" s="45">
        <v>703</v>
      </c>
      <c r="D38" s="45">
        <v>790</v>
      </c>
      <c r="E38" s="45">
        <v>964</v>
      </c>
      <c r="F38" s="45">
        <v>1172</v>
      </c>
      <c r="G38" s="41">
        <f>F38*(1+G44)</f>
        <v>1382.96</v>
      </c>
      <c r="H38" s="41">
        <f t="shared" ref="H38:L38" si="23">G38*(1+H44)</f>
        <v>1590.404</v>
      </c>
      <c r="I38" s="41">
        <f t="shared" si="23"/>
        <v>1828.9645999999998</v>
      </c>
      <c r="J38" s="41">
        <f t="shared" si="23"/>
        <v>2103.3092899999997</v>
      </c>
      <c r="K38" s="41">
        <f t="shared" si="23"/>
        <v>2418.8056834999993</v>
      </c>
      <c r="L38" s="41">
        <f t="shared" si="23"/>
        <v>2781.626536024999</v>
      </c>
      <c r="N38" t="s">
        <v>497</v>
      </c>
    </row>
    <row r="39" spans="1:14" x14ac:dyDescent="0.3">
      <c r="A39" s="423" t="s">
        <v>90</v>
      </c>
      <c r="B39" s="76">
        <f t="shared" ref="B39:G39" si="24">B36+B37+B38</f>
        <v>7351</v>
      </c>
      <c r="C39" s="76">
        <f t="shared" si="24"/>
        <v>7308</v>
      </c>
      <c r="D39" s="76">
        <f t="shared" si="24"/>
        <v>8268</v>
      </c>
      <c r="E39" s="76">
        <f t="shared" si="24"/>
        <v>8997</v>
      </c>
      <c r="F39" s="76">
        <f t="shared" si="24"/>
        <v>9246</v>
      </c>
      <c r="G39" s="421">
        <f t="shared" si="24"/>
        <v>9677.380000000001</v>
      </c>
      <c r="H39" s="421">
        <f t="shared" ref="H39:L39" si="25">H36+H37+H38</f>
        <v>10214.448400000001</v>
      </c>
      <c r="I39" s="421">
        <f t="shared" si="25"/>
        <v>10800.687408</v>
      </c>
      <c r="J39" s="421">
        <f t="shared" si="25"/>
        <v>11441.92790056</v>
      </c>
      <c r="K39" s="421">
        <f t="shared" si="25"/>
        <v>12144.780306919201</v>
      </c>
      <c r="L39" s="421">
        <f t="shared" si="25"/>
        <v>12916.745147405945</v>
      </c>
    </row>
    <row r="40" spans="1:14" x14ac:dyDescent="0.3">
      <c r="A40" s="27"/>
      <c r="B40" s="45"/>
      <c r="C40" s="45"/>
      <c r="D40" s="45"/>
      <c r="E40" s="45"/>
      <c r="F40" s="45"/>
      <c r="G40" s="41"/>
      <c r="H40" s="41"/>
      <c r="I40" s="41"/>
      <c r="J40" s="41"/>
      <c r="K40" s="41"/>
      <c r="L40" s="41"/>
    </row>
    <row r="41" spans="1:14" x14ac:dyDescent="0.3">
      <c r="A41" s="26" t="s">
        <v>71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</row>
    <row r="42" spans="1:14" x14ac:dyDescent="0.3">
      <c r="A42" s="414" t="s">
        <v>91</v>
      </c>
      <c r="B42" s="66" t="s">
        <v>75</v>
      </c>
      <c r="C42" s="8">
        <f t="shared" ref="C42:F43" si="26">C36/B36-1</f>
        <v>-2.5111725899127468E-2</v>
      </c>
      <c r="D42" s="8">
        <f t="shared" si="26"/>
        <v>9.9323291857672968E-2</v>
      </c>
      <c r="E42" s="8">
        <f t="shared" si="26"/>
        <v>1.2907069102462199E-2</v>
      </c>
      <c r="F42" s="8">
        <f t="shared" si="26"/>
        <v>-2.5681238972750431E-2</v>
      </c>
      <c r="G42" s="8">
        <f>CHOOSE(Cover!$I$16,'Revenue model'!G106,'Revenue model'!G107,'Revenue model'!G108)</f>
        <v>0.01</v>
      </c>
      <c r="H42" s="8">
        <f>CHOOSE(Cover!$I$16,'Revenue model'!H106,'Revenue model'!H107,'Revenue model'!H108)</f>
        <v>0.02</v>
      </c>
      <c r="I42" s="8">
        <f>CHOOSE(Cover!$I$16,'Revenue model'!I106,'Revenue model'!I107,'Revenue model'!I108)</f>
        <v>0.02</v>
      </c>
      <c r="J42" s="8">
        <f>CHOOSE(Cover!$I$16,'Revenue model'!J106,'Revenue model'!J107,'Revenue model'!J108)</f>
        <v>0.02</v>
      </c>
      <c r="K42" s="8">
        <f>CHOOSE(Cover!$I$16,'Revenue model'!K106,'Revenue model'!K107,'Revenue model'!K108)</f>
        <v>0.02</v>
      </c>
      <c r="L42" s="8">
        <f>CHOOSE(Cover!$I$16,'Revenue model'!L106,'Revenue model'!L107,'Revenue model'!L108)</f>
        <v>0.02</v>
      </c>
    </row>
    <row r="43" spans="1:14" x14ac:dyDescent="0.3">
      <c r="A43" s="27" t="s">
        <v>92</v>
      </c>
      <c r="B43" s="66" t="s">
        <v>75</v>
      </c>
      <c r="C43" s="8">
        <f t="shared" si="26"/>
        <v>8.9730807577268479E-3</v>
      </c>
      <c r="D43" s="8">
        <f t="shared" si="26"/>
        <v>0.20652173913043481</v>
      </c>
      <c r="E43" s="8">
        <f t="shared" si="26"/>
        <v>0.20065520065520071</v>
      </c>
      <c r="F43" s="8">
        <f t="shared" si="26"/>
        <v>5.8663028649386106E-2</v>
      </c>
      <c r="G43" s="8">
        <f>CHOOSE(Cover!$I$16,'Revenue model'!G110,'Revenue model'!G111,'Revenue model'!G112)</f>
        <v>5.5E-2</v>
      </c>
      <c r="H43" s="8">
        <f>CHOOSE(Cover!$I$16,'Revenue model'!H110,'Revenue model'!H111,'Revenue model'!H112)</f>
        <v>7.0000000000000007E-2</v>
      </c>
      <c r="I43" s="8">
        <f>CHOOSE(Cover!$I$16,'Revenue model'!I110,'Revenue model'!I111,'Revenue model'!I112)</f>
        <v>7.0000000000000007E-2</v>
      </c>
      <c r="J43" s="8">
        <f>CHOOSE(Cover!$I$16,'Revenue model'!J110,'Revenue model'!J111,'Revenue model'!J112)</f>
        <v>7.0000000000000007E-2</v>
      </c>
      <c r="K43" s="8">
        <f>CHOOSE(Cover!$I$16,'Revenue model'!K110,'Revenue model'!K111,'Revenue model'!K112)</f>
        <v>7.0000000000000007E-2</v>
      </c>
      <c r="L43" s="8">
        <f>CHOOSE(Cover!$I$16,'Revenue model'!L110,'Revenue model'!L111,'Revenue model'!L112)</f>
        <v>7.0000000000000007E-2</v>
      </c>
    </row>
    <row r="44" spans="1:14" x14ac:dyDescent="0.3">
      <c r="A44" s="27" t="s">
        <v>166</v>
      </c>
      <c r="B44" s="8"/>
      <c r="C44" s="8">
        <f>C38/B38-1</f>
        <v>8.8235294117646967E-2</v>
      </c>
      <c r="D44" s="8">
        <f t="shared" ref="D44:F44" si="27">D38/C38-1</f>
        <v>0.12375533428164998</v>
      </c>
      <c r="E44" s="8">
        <f t="shared" si="27"/>
        <v>0.22025316455696209</v>
      </c>
      <c r="F44" s="8">
        <f t="shared" si="27"/>
        <v>0.21576763485477168</v>
      </c>
      <c r="G44" s="8">
        <f>CHOOSE(Cover!$I$16,'Revenue model'!G114,'Revenue model'!G115,'Revenue model'!G116)</f>
        <v>0.18</v>
      </c>
      <c r="H44" s="8">
        <f>CHOOSE(Cover!$I$16,'Revenue model'!H114,'Revenue model'!H115,'Revenue model'!H116)</f>
        <v>0.15</v>
      </c>
      <c r="I44" s="8">
        <f>CHOOSE(Cover!$I$16,'Revenue model'!I114,'Revenue model'!I115,'Revenue model'!I116)</f>
        <v>0.15</v>
      </c>
      <c r="J44" s="8">
        <f>CHOOSE(Cover!$I$16,'Revenue model'!J114,'Revenue model'!J115,'Revenue model'!J116)</f>
        <v>0.15</v>
      </c>
      <c r="K44" s="8">
        <f>CHOOSE(Cover!$I$16,'Revenue model'!K114,'Revenue model'!K115,'Revenue model'!K116)</f>
        <v>0.15</v>
      </c>
      <c r="L44" s="8">
        <f>CHOOSE(Cover!$I$16,'Revenue model'!L114,'Revenue model'!L115,'Revenue model'!L116)</f>
        <v>0.15</v>
      </c>
    </row>
    <row r="45" spans="1:14" x14ac:dyDescent="0.3">
      <c r="A45" s="27" t="s">
        <v>77</v>
      </c>
      <c r="B45" s="40">
        <v>1067</v>
      </c>
      <c r="C45" s="40">
        <v>1075</v>
      </c>
      <c r="D45" s="40">
        <v>1147</v>
      </c>
      <c r="E45" s="40">
        <v>1276</v>
      </c>
      <c r="F45" s="40">
        <v>1331</v>
      </c>
      <c r="G45" s="60">
        <f>G46*G39</f>
        <v>1364.5105800000001</v>
      </c>
      <c r="H45" s="60">
        <f t="shared" ref="H45:L45" si="28">H46*H39</f>
        <v>1440.2372244000001</v>
      </c>
      <c r="I45" s="60">
        <f t="shared" si="28"/>
        <v>1533.6976119359999</v>
      </c>
      <c r="J45" s="60">
        <f t="shared" si="28"/>
        <v>1624.75376187952</v>
      </c>
      <c r="K45" s="60">
        <f t="shared" si="28"/>
        <v>1736.7035838894456</v>
      </c>
      <c r="L45" s="60">
        <f t="shared" si="28"/>
        <v>1847.0945560790501</v>
      </c>
    </row>
    <row r="46" spans="1:14" x14ac:dyDescent="0.3">
      <c r="A46" s="27" t="s">
        <v>78</v>
      </c>
      <c r="B46" s="8">
        <f t="shared" ref="B46:F46" si="29">B45/B39</f>
        <v>0.14515031968439668</v>
      </c>
      <c r="C46" s="8">
        <f t="shared" si="29"/>
        <v>0.14709906951286261</v>
      </c>
      <c r="D46" s="8">
        <f t="shared" si="29"/>
        <v>0.13872762457668117</v>
      </c>
      <c r="E46" s="8">
        <f t="shared" si="29"/>
        <v>0.14182505279537624</v>
      </c>
      <c r="F46" s="8">
        <f t="shared" si="29"/>
        <v>0.14395414233181916</v>
      </c>
      <c r="G46" s="8">
        <f>CHOOSE(Cover!$I$17,'Revenue model'!G118,'Revenue model'!G119,'Revenue model'!G120)</f>
        <v>0.14099999999999999</v>
      </c>
      <c r="H46" s="8">
        <f>CHOOSE(Cover!$I$17,'Revenue model'!H118,'Revenue model'!H119,'Revenue model'!H120)</f>
        <v>0.14099999999999999</v>
      </c>
      <c r="I46" s="8">
        <f>CHOOSE(Cover!$I$17,'Revenue model'!I118,'Revenue model'!I119,'Revenue model'!I120)</f>
        <v>0.14199999999999999</v>
      </c>
      <c r="J46" s="8">
        <f>CHOOSE(Cover!$I$17,'Revenue model'!J118,'Revenue model'!J119,'Revenue model'!J120)</f>
        <v>0.14199999999999999</v>
      </c>
      <c r="K46" s="8">
        <f>CHOOSE(Cover!$I$17,'Revenue model'!K118,'Revenue model'!K119,'Revenue model'!K120)</f>
        <v>0.14299999999999999</v>
      </c>
      <c r="L46" s="8">
        <f>CHOOSE(Cover!$I$17,'Revenue model'!L118,'Revenue model'!L119,'Revenue model'!L120)</f>
        <v>0.14299999999999999</v>
      </c>
      <c r="N46" t="s">
        <v>408</v>
      </c>
    </row>
    <row r="47" spans="1:14" x14ac:dyDescent="0.3">
      <c r="A47" s="27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8" spans="1:14" x14ac:dyDescent="0.3">
      <c r="A48" s="63" t="s">
        <v>93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N48" t="s">
        <v>93</v>
      </c>
    </row>
    <row r="49" spans="1:14" x14ac:dyDescent="0.3">
      <c r="A49" s="27" t="s">
        <v>94</v>
      </c>
      <c r="B49" s="5">
        <v>8069</v>
      </c>
      <c r="C49" s="5">
        <v>8195</v>
      </c>
      <c r="D49" s="5">
        <v>8459</v>
      </c>
      <c r="E49" s="5">
        <v>8761</v>
      </c>
      <c r="F49" s="5">
        <v>9057</v>
      </c>
      <c r="G49" s="5">
        <f>F49*(1+G54)</f>
        <v>9364.9380000000001</v>
      </c>
      <c r="H49" s="5">
        <f t="shared" ref="H49:L49" si="30">G49*(1+H54)</f>
        <v>9683.3458920000012</v>
      </c>
      <c r="I49" s="5">
        <f t="shared" si="30"/>
        <v>10012.579652328002</v>
      </c>
      <c r="J49" s="5">
        <f t="shared" si="30"/>
        <v>10353.007360507154</v>
      </c>
      <c r="K49" s="5">
        <f t="shared" si="30"/>
        <v>10705.009610764397</v>
      </c>
      <c r="L49" s="5">
        <f t="shared" si="30"/>
        <v>11068.979937530386</v>
      </c>
      <c r="N49" t="s">
        <v>409</v>
      </c>
    </row>
    <row r="50" spans="1:14" x14ac:dyDescent="0.3">
      <c r="A50" s="27" t="s">
        <v>95</v>
      </c>
      <c r="B50" s="40">
        <v>4388</v>
      </c>
      <c r="C50" s="40">
        <v>4297</v>
      </c>
      <c r="D50" s="40">
        <v>4463</v>
      </c>
      <c r="E50" s="40">
        <v>4366</v>
      </c>
      <c r="F50" s="40">
        <v>4414</v>
      </c>
      <c r="G50" s="60">
        <f>F50*(1+G55)</f>
        <v>4458.1400000000003</v>
      </c>
      <c r="H50" s="60">
        <f t="shared" ref="H50:L50" si="31">G50*(1+H55)</f>
        <v>4502.7214000000004</v>
      </c>
      <c r="I50" s="60">
        <f t="shared" si="31"/>
        <v>4547.7486140000001</v>
      </c>
      <c r="J50" s="60">
        <f t="shared" si="31"/>
        <v>4593.2261001400002</v>
      </c>
      <c r="K50" s="60">
        <f t="shared" si="31"/>
        <v>4639.1583611413998</v>
      </c>
      <c r="L50" s="60">
        <f t="shared" si="31"/>
        <v>4685.5499447528136</v>
      </c>
      <c r="N50" t="s">
        <v>410</v>
      </c>
    </row>
    <row r="51" spans="1:14" x14ac:dyDescent="0.3">
      <c r="A51" s="423" t="s">
        <v>96</v>
      </c>
      <c r="B51" s="6">
        <f t="shared" ref="B51:G51" si="32">B49+B50</f>
        <v>12457</v>
      </c>
      <c r="C51" s="6">
        <f t="shared" si="32"/>
        <v>12492</v>
      </c>
      <c r="D51" s="6">
        <f t="shared" si="32"/>
        <v>12922</v>
      </c>
      <c r="E51" s="6">
        <f t="shared" si="32"/>
        <v>13127</v>
      </c>
      <c r="F51" s="6">
        <f t="shared" si="32"/>
        <v>13471</v>
      </c>
      <c r="G51" s="420">
        <f t="shared" si="32"/>
        <v>13823.078000000001</v>
      </c>
      <c r="H51" s="420">
        <f t="shared" ref="H51:L51" si="33">H49+H50</f>
        <v>14186.067292000002</v>
      </c>
      <c r="I51" s="420">
        <f t="shared" si="33"/>
        <v>14560.328266328002</v>
      </c>
      <c r="J51" s="420">
        <f t="shared" si="33"/>
        <v>14946.233460647154</v>
      </c>
      <c r="K51" s="420">
        <f t="shared" si="33"/>
        <v>15344.167971905797</v>
      </c>
      <c r="L51" s="420">
        <f t="shared" si="33"/>
        <v>15754.529882283201</v>
      </c>
    </row>
    <row r="52" spans="1:14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4" x14ac:dyDescent="0.3">
      <c r="A53" s="26" t="s">
        <v>71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4" x14ac:dyDescent="0.3">
      <c r="A54" s="412" t="s">
        <v>97</v>
      </c>
      <c r="B54" s="66" t="s">
        <v>75</v>
      </c>
      <c r="C54" s="8">
        <f t="shared" ref="C54:F55" si="34">C49/B49-1</f>
        <v>1.5615317883256985E-2</v>
      </c>
      <c r="D54" s="8">
        <f t="shared" si="34"/>
        <v>3.2214765100671228E-2</v>
      </c>
      <c r="E54" s="8">
        <f t="shared" si="34"/>
        <v>3.5701619576782084E-2</v>
      </c>
      <c r="F54" s="8">
        <f t="shared" si="34"/>
        <v>3.3786097477456867E-2</v>
      </c>
      <c r="G54" s="8">
        <f>CHOOSE(Cover!$I$18,'Revenue model'!G124,'Revenue model'!G125,'Revenue model'!G126)</f>
        <v>3.4000000000000002E-2</v>
      </c>
      <c r="H54" s="8">
        <f>CHOOSE(Cover!$I$18,'Revenue model'!H124,'Revenue model'!H125,'Revenue model'!H126)</f>
        <v>3.4000000000000002E-2</v>
      </c>
      <c r="I54" s="8">
        <f>CHOOSE(Cover!$I$18,'Revenue model'!I124,'Revenue model'!I125,'Revenue model'!I126)</f>
        <v>3.4000000000000002E-2</v>
      </c>
      <c r="J54" s="8">
        <f>CHOOSE(Cover!$I$18,'Revenue model'!J124,'Revenue model'!J125,'Revenue model'!J126)</f>
        <v>3.4000000000000002E-2</v>
      </c>
      <c r="K54" s="8">
        <f>CHOOSE(Cover!$I$18,'Revenue model'!K124,'Revenue model'!K125,'Revenue model'!K126)</f>
        <v>3.4000000000000002E-2</v>
      </c>
      <c r="L54" s="8">
        <f>CHOOSE(Cover!$I$18,'Revenue model'!L124,'Revenue model'!L125,'Revenue model'!L126)</f>
        <v>3.4000000000000002E-2</v>
      </c>
    </row>
    <row r="55" spans="1:14" x14ac:dyDescent="0.3">
      <c r="A55" s="27" t="s">
        <v>98</v>
      </c>
      <c r="B55" s="45" t="s">
        <v>75</v>
      </c>
      <c r="C55" s="411">
        <f t="shared" si="34"/>
        <v>-2.0738377392889751E-2</v>
      </c>
      <c r="D55" s="411">
        <f t="shared" si="34"/>
        <v>3.8631603444263529E-2</v>
      </c>
      <c r="E55" s="411">
        <f t="shared" si="34"/>
        <v>-2.1734259466726469E-2</v>
      </c>
      <c r="F55" s="411">
        <f t="shared" si="34"/>
        <v>1.0994044892350008E-2</v>
      </c>
      <c r="G55" s="8">
        <f>CHOOSE(Cover!$I$18,'Revenue model'!G128,'Revenue model'!G129,'Revenue model'!G130)</f>
        <v>0.01</v>
      </c>
      <c r="H55" s="8">
        <f>CHOOSE(Cover!$I$18,'Revenue model'!H128,'Revenue model'!H129,'Revenue model'!H130)</f>
        <v>0.01</v>
      </c>
      <c r="I55" s="8">
        <f>CHOOSE(Cover!$I$18,'Revenue model'!I128,'Revenue model'!I129,'Revenue model'!I130)</f>
        <v>0.01</v>
      </c>
      <c r="J55" s="8">
        <f>CHOOSE(Cover!$I$18,'Revenue model'!J128,'Revenue model'!J129,'Revenue model'!J130)</f>
        <v>0.01</v>
      </c>
      <c r="K55" s="8">
        <f>CHOOSE(Cover!$I$18,'Revenue model'!K128,'Revenue model'!K129,'Revenue model'!K130)</f>
        <v>0.01</v>
      </c>
      <c r="L55" s="8">
        <f>CHOOSE(Cover!$I$18,'Revenue model'!L128,'Revenue model'!L129,'Revenue model'!L130)</f>
        <v>0.01</v>
      </c>
    </row>
    <row r="56" spans="1:14" x14ac:dyDescent="0.3">
      <c r="A56" s="27" t="s">
        <v>77</v>
      </c>
      <c r="B56" s="45">
        <v>1275</v>
      </c>
      <c r="C56" s="45">
        <v>1227</v>
      </c>
      <c r="D56" s="45">
        <v>1202</v>
      </c>
      <c r="E56" s="45">
        <v>1260</v>
      </c>
      <c r="F56" s="45">
        <v>1277</v>
      </c>
      <c r="G56" s="41">
        <f>G57*G51</f>
        <v>1271.7231760000002</v>
      </c>
      <c r="H56" s="41">
        <f t="shared" ref="H56:L56" si="35">H57*H51</f>
        <v>1305.1181908640001</v>
      </c>
      <c r="I56" s="41">
        <f t="shared" si="35"/>
        <v>1354.1105287685043</v>
      </c>
      <c r="J56" s="41">
        <f t="shared" si="35"/>
        <v>1389.9997118401852</v>
      </c>
      <c r="K56" s="41">
        <f t="shared" si="35"/>
        <v>1442.351789359145</v>
      </c>
      <c r="L56" s="41">
        <f t="shared" si="35"/>
        <v>1480.9258089346208</v>
      </c>
    </row>
    <row r="57" spans="1:14" x14ac:dyDescent="0.3">
      <c r="A57" s="418" t="s">
        <v>78</v>
      </c>
      <c r="B57" s="419">
        <f t="shared" ref="B57:F57" si="36">B56/B51</f>
        <v>0.10235209119370635</v>
      </c>
      <c r="C57" s="419">
        <f t="shared" si="36"/>
        <v>9.8222862632084532E-2</v>
      </c>
      <c r="D57" s="419">
        <f t="shared" si="36"/>
        <v>9.3019656399938089E-2</v>
      </c>
      <c r="E57" s="419">
        <f t="shared" si="36"/>
        <v>9.5985373657347453E-2</v>
      </c>
      <c r="F57" s="419">
        <f t="shared" si="36"/>
        <v>9.4796228936233393E-2</v>
      </c>
      <c r="G57" s="8">
        <f>CHOOSE(Cover!$I$19,'Revenue model'!G132,'Revenue model'!G133,'Revenue model'!G134)</f>
        <v>9.1999999999999998E-2</v>
      </c>
      <c r="H57" s="8">
        <f>CHOOSE(Cover!$I$19,'Revenue model'!H132,'Revenue model'!H133,'Revenue model'!H134)</f>
        <v>9.1999999999999998E-2</v>
      </c>
      <c r="I57" s="8">
        <f>CHOOSE(Cover!$I$19,'Revenue model'!I132,'Revenue model'!I133,'Revenue model'!I134)</f>
        <v>9.2999999999999999E-2</v>
      </c>
      <c r="J57" s="8">
        <f>CHOOSE(Cover!$I$19,'Revenue model'!J132,'Revenue model'!J133,'Revenue model'!J134)</f>
        <v>9.2999999999999999E-2</v>
      </c>
      <c r="K57" s="8">
        <f>CHOOSE(Cover!$I$19,'Revenue model'!K132,'Revenue model'!K133,'Revenue model'!K134)</f>
        <v>9.4E-2</v>
      </c>
      <c r="L57" s="8">
        <f>CHOOSE(Cover!$I$19,'Revenue model'!L132,'Revenue model'!L133,'Revenue model'!L134)</f>
        <v>9.4E-2</v>
      </c>
      <c r="N57" t="s">
        <v>411</v>
      </c>
    </row>
    <row r="58" spans="1:14" x14ac:dyDescent="0.3">
      <c r="A58" s="51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</row>
    <row r="59" spans="1:14" x14ac:dyDescent="0.3">
      <c r="A59" s="408" t="s">
        <v>99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N59" t="s">
        <v>412</v>
      </c>
    </row>
    <row r="60" spans="1:14" x14ac:dyDescent="0.3">
      <c r="A60" s="27" t="s">
        <v>100</v>
      </c>
      <c r="B60" s="40">
        <f t="shared" ref="B60:G60" si="37">B10</f>
        <v>8135</v>
      </c>
      <c r="C60" s="40">
        <f t="shared" si="37"/>
        <v>8567</v>
      </c>
      <c r="D60" s="40">
        <f t="shared" si="37"/>
        <v>8621</v>
      </c>
      <c r="E60" s="40">
        <f t="shared" si="37"/>
        <v>11249</v>
      </c>
      <c r="F60" s="40">
        <f t="shared" si="37"/>
        <v>13110</v>
      </c>
      <c r="G60" s="60">
        <f t="shared" si="37"/>
        <v>13604.644936708861</v>
      </c>
      <c r="H60" s="60">
        <f t="shared" ref="H60:L60" si="38">H10</f>
        <v>14117.158970886076</v>
      </c>
      <c r="I60" s="60">
        <f t="shared" si="38"/>
        <v>14749.877194518987</v>
      </c>
      <c r="J60" s="60">
        <f t="shared" si="38"/>
        <v>15409.483445496076</v>
      </c>
      <c r="K60" s="60">
        <f t="shared" si="38"/>
        <v>16097.103077906726</v>
      </c>
      <c r="L60" s="60">
        <f t="shared" si="38"/>
        <v>16813.908843803565</v>
      </c>
      <c r="N60" t="s">
        <v>413</v>
      </c>
    </row>
    <row r="61" spans="1:14" x14ac:dyDescent="0.3">
      <c r="A61" s="27" t="s">
        <v>101</v>
      </c>
      <c r="B61" s="5">
        <f t="shared" ref="B61:G61" si="39">B26</f>
        <v>10526</v>
      </c>
      <c r="C61" s="5">
        <f t="shared" si="39"/>
        <v>11040</v>
      </c>
      <c r="D61" s="5">
        <f t="shared" si="39"/>
        <v>12461</v>
      </c>
      <c r="E61" s="5">
        <f t="shared" si="39"/>
        <v>14343</v>
      </c>
      <c r="F61" s="5">
        <f t="shared" si="39"/>
        <v>16723</v>
      </c>
      <c r="G61" s="60">
        <f t="shared" si="39"/>
        <v>17717.18</v>
      </c>
      <c r="H61" s="60">
        <f t="shared" ref="H61:L61" si="40">H26</f>
        <v>18776.251200000002</v>
      </c>
      <c r="I61" s="60">
        <f t="shared" si="40"/>
        <v>19904.626772000003</v>
      </c>
      <c r="J61" s="60">
        <f t="shared" si="40"/>
        <v>21139.06392592</v>
      </c>
      <c r="K61" s="60">
        <f t="shared" si="40"/>
        <v>22454.811620873603</v>
      </c>
      <c r="L61" s="60">
        <f t="shared" si="40"/>
        <v>23857.382700524806</v>
      </c>
      <c r="N61" t="s">
        <v>414</v>
      </c>
    </row>
    <row r="62" spans="1:14" x14ac:dyDescent="0.3">
      <c r="A62" s="27" t="s">
        <v>102</v>
      </c>
      <c r="B62" s="5">
        <f t="shared" ref="B62:G62" si="41">B39</f>
        <v>7351</v>
      </c>
      <c r="C62" s="5">
        <f t="shared" si="41"/>
        <v>7308</v>
      </c>
      <c r="D62" s="5">
        <f t="shared" si="41"/>
        <v>8268</v>
      </c>
      <c r="E62" s="5">
        <f t="shared" si="41"/>
        <v>8997</v>
      </c>
      <c r="F62" s="5">
        <f t="shared" si="41"/>
        <v>9246</v>
      </c>
      <c r="G62" s="60">
        <f t="shared" si="41"/>
        <v>9677.380000000001</v>
      </c>
      <c r="H62" s="60">
        <f t="shared" ref="H62:L62" si="42">H39</f>
        <v>10214.448400000001</v>
      </c>
      <c r="I62" s="60">
        <f t="shared" si="42"/>
        <v>10800.687408</v>
      </c>
      <c r="J62" s="60">
        <f t="shared" si="42"/>
        <v>11441.92790056</v>
      </c>
      <c r="K62" s="60">
        <f t="shared" si="42"/>
        <v>12144.780306919201</v>
      </c>
      <c r="L62" s="60">
        <f t="shared" si="42"/>
        <v>12916.745147405945</v>
      </c>
      <c r="N62" t="s">
        <v>415</v>
      </c>
    </row>
    <row r="63" spans="1:14" x14ac:dyDescent="0.3">
      <c r="A63" s="27" t="s">
        <v>103</v>
      </c>
      <c r="B63" s="41">
        <f t="shared" ref="B63:G63" si="43">B51</f>
        <v>12457</v>
      </c>
      <c r="C63" s="41">
        <f t="shared" si="43"/>
        <v>12492</v>
      </c>
      <c r="D63" s="41">
        <f t="shared" si="43"/>
        <v>12922</v>
      </c>
      <c r="E63" s="41">
        <f t="shared" si="43"/>
        <v>13127</v>
      </c>
      <c r="F63" s="41">
        <f t="shared" si="43"/>
        <v>13471</v>
      </c>
      <c r="G63" s="60">
        <f t="shared" si="43"/>
        <v>13823.078000000001</v>
      </c>
      <c r="H63" s="60">
        <f t="shared" ref="H63:L63" si="44">H51</f>
        <v>14186.067292000002</v>
      </c>
      <c r="I63" s="60">
        <f t="shared" si="44"/>
        <v>14560.328266328002</v>
      </c>
      <c r="J63" s="60">
        <f t="shared" si="44"/>
        <v>14946.233460647154</v>
      </c>
      <c r="K63" s="60">
        <f t="shared" si="44"/>
        <v>15344.167971905797</v>
      </c>
      <c r="L63" s="60">
        <f t="shared" si="44"/>
        <v>15754.529882283201</v>
      </c>
      <c r="N63" t="s">
        <v>416</v>
      </c>
    </row>
    <row r="64" spans="1:14" ht="15" thickBot="1" x14ac:dyDescent="0.35">
      <c r="A64" s="424" t="s">
        <v>104</v>
      </c>
      <c r="B64" s="406">
        <f t="shared" ref="B64:G64" si="45">B60+B61+B62+B63</f>
        <v>38469</v>
      </c>
      <c r="C64" s="406">
        <f t="shared" si="45"/>
        <v>39407</v>
      </c>
      <c r="D64" s="406">
        <f t="shared" si="45"/>
        <v>42272</v>
      </c>
      <c r="E64" s="406">
        <f t="shared" si="45"/>
        <v>47716</v>
      </c>
      <c r="F64" s="406">
        <f t="shared" si="45"/>
        <v>52550</v>
      </c>
      <c r="G64" s="407">
        <f t="shared" si="45"/>
        <v>54822.282936708863</v>
      </c>
      <c r="H64" s="407">
        <f t="shared" ref="H64:L64" si="46">H60+H61+H62+H63</f>
        <v>57293.925862886077</v>
      </c>
      <c r="I64" s="407">
        <f t="shared" si="46"/>
        <v>60015.519640846993</v>
      </c>
      <c r="J64" s="407">
        <f t="shared" si="46"/>
        <v>62936.708732623229</v>
      </c>
      <c r="K64" s="407">
        <f t="shared" si="46"/>
        <v>66040.862977605328</v>
      </c>
      <c r="L64" s="407">
        <f t="shared" si="46"/>
        <v>69342.566574017517</v>
      </c>
      <c r="N64" t="s">
        <v>417</v>
      </c>
    </row>
    <row r="65" spans="1:14" ht="15" thickTop="1" x14ac:dyDescent="0.3">
      <c r="A65" s="27"/>
      <c r="B65" s="8"/>
      <c r="C65" s="8"/>
      <c r="D65" s="8"/>
      <c r="E65" s="8"/>
      <c r="F65" s="8"/>
      <c r="G65" s="60"/>
      <c r="H65" s="60"/>
      <c r="I65" s="60"/>
      <c r="J65" s="60"/>
      <c r="K65" s="60"/>
      <c r="L65" s="60"/>
    </row>
    <row r="66" spans="1:14" x14ac:dyDescent="0.3">
      <c r="A66" s="26" t="s">
        <v>105</v>
      </c>
      <c r="B66" s="66" t="s">
        <v>75</v>
      </c>
      <c r="C66" s="4">
        <f>C64/B64-1</f>
        <v>2.438326964568871E-2</v>
      </c>
      <c r="D66" s="4">
        <f>D64/C64-1</f>
        <v>7.2702819296064147E-2</v>
      </c>
      <c r="E66" s="4">
        <f>E64/D64-1</f>
        <v>0.12878501135503417</v>
      </c>
      <c r="F66" s="4">
        <f>F64/E64-1</f>
        <v>0.10130773744655874</v>
      </c>
      <c r="G66" s="8">
        <f>G64/F64-1</f>
        <v>4.3240398415011594E-2</v>
      </c>
      <c r="H66" s="8">
        <f t="shared" ref="H66:L66" si="47">H64/G64-1</f>
        <v>4.5084640656622543E-2</v>
      </c>
      <c r="I66" s="8">
        <f t="shared" si="47"/>
        <v>4.7502309136122856E-2</v>
      </c>
      <c r="J66" s="8">
        <f t="shared" si="47"/>
        <v>4.8673894840161491E-2</v>
      </c>
      <c r="K66" s="8">
        <f t="shared" si="47"/>
        <v>4.9321839471612838E-2</v>
      </c>
      <c r="L66" s="8">
        <f t="shared" si="47"/>
        <v>4.9994858448954682E-2</v>
      </c>
    </row>
    <row r="67" spans="1:14" x14ac:dyDescent="0.3">
      <c r="A67" s="70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spans="1:14" x14ac:dyDescent="0.3">
      <c r="A68" s="408" t="s">
        <v>106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1:14" x14ac:dyDescent="0.3">
      <c r="A69" s="27" t="s">
        <v>100</v>
      </c>
      <c r="B69" s="41">
        <f t="shared" ref="B69:G69" si="48">B19</f>
        <v>1031</v>
      </c>
      <c r="C69" s="41">
        <f t="shared" si="48"/>
        <v>1130</v>
      </c>
      <c r="D69" s="41">
        <f t="shared" si="48"/>
        <v>1182</v>
      </c>
      <c r="E69" s="41">
        <f t="shared" si="48"/>
        <v>1464</v>
      </c>
      <c r="F69" s="41">
        <f t="shared" si="48"/>
        <v>1746</v>
      </c>
      <c r="G69" s="41">
        <f t="shared" si="48"/>
        <v>1904.6502911392406</v>
      </c>
      <c r="H69" s="41">
        <f t="shared" ref="H69:L69" si="49">H19</f>
        <v>1976.4022559240507</v>
      </c>
      <c r="I69" s="41">
        <f t="shared" si="49"/>
        <v>2064.9828072326586</v>
      </c>
      <c r="J69" s="41">
        <f t="shared" si="49"/>
        <v>2157.3276823694509</v>
      </c>
      <c r="K69" s="41">
        <f t="shared" si="49"/>
        <v>2253.5944309069419</v>
      </c>
      <c r="L69" s="41">
        <f t="shared" si="49"/>
        <v>2353.9472381324995</v>
      </c>
    </row>
    <row r="70" spans="1:14" x14ac:dyDescent="0.3">
      <c r="A70" s="27" t="s">
        <v>101</v>
      </c>
      <c r="B70" s="41">
        <f t="shared" ref="B70:G70" si="50">B31</f>
        <v>874</v>
      </c>
      <c r="C70" s="41">
        <f t="shared" si="50"/>
        <v>897</v>
      </c>
      <c r="D70" s="41">
        <f t="shared" si="50"/>
        <v>874</v>
      </c>
      <c r="E70" s="41">
        <f t="shared" si="50"/>
        <v>935</v>
      </c>
      <c r="F70" s="41">
        <f t="shared" si="50"/>
        <v>1177</v>
      </c>
      <c r="G70" s="41">
        <f t="shared" si="50"/>
        <v>1293.3541399999999</v>
      </c>
      <c r="H70" s="41">
        <f t="shared" ref="H70:L70" si="51">H31</f>
        <v>1370.6663376000001</v>
      </c>
      <c r="I70" s="41">
        <f t="shared" si="51"/>
        <v>1472.9423811280001</v>
      </c>
      <c r="J70" s="41">
        <f t="shared" si="51"/>
        <v>1564.29073051808</v>
      </c>
      <c r="K70" s="41">
        <f t="shared" si="51"/>
        <v>1684.1108715655203</v>
      </c>
      <c r="L70" s="41">
        <f t="shared" si="51"/>
        <v>1789.3037025393603</v>
      </c>
    </row>
    <row r="71" spans="1:14" x14ac:dyDescent="0.3">
      <c r="A71" s="27" t="s">
        <v>102</v>
      </c>
      <c r="B71" s="41">
        <f t="shared" ref="B71:G71" si="52">B45</f>
        <v>1067</v>
      </c>
      <c r="C71" s="41">
        <f t="shared" si="52"/>
        <v>1075</v>
      </c>
      <c r="D71" s="41">
        <f t="shared" si="52"/>
        <v>1147</v>
      </c>
      <c r="E71" s="41">
        <f t="shared" si="52"/>
        <v>1276</v>
      </c>
      <c r="F71" s="41">
        <f t="shared" si="52"/>
        <v>1331</v>
      </c>
      <c r="G71" s="41">
        <f t="shared" si="52"/>
        <v>1364.5105800000001</v>
      </c>
      <c r="H71" s="41">
        <f t="shared" ref="H71:L71" si="53">H45</f>
        <v>1440.2372244000001</v>
      </c>
      <c r="I71" s="41">
        <f t="shared" si="53"/>
        <v>1533.6976119359999</v>
      </c>
      <c r="J71" s="41">
        <f t="shared" si="53"/>
        <v>1624.75376187952</v>
      </c>
      <c r="K71" s="41">
        <f t="shared" si="53"/>
        <v>1736.7035838894456</v>
      </c>
      <c r="L71" s="41">
        <f t="shared" si="53"/>
        <v>1847.0945560790501</v>
      </c>
    </row>
    <row r="72" spans="1:14" ht="15" thickBot="1" x14ac:dyDescent="0.35">
      <c r="A72" s="39" t="s">
        <v>103</v>
      </c>
      <c r="B72" s="61">
        <f t="shared" ref="B72:G72" si="54">B56</f>
        <v>1275</v>
      </c>
      <c r="C72" s="61">
        <f t="shared" si="54"/>
        <v>1227</v>
      </c>
      <c r="D72" s="61">
        <f t="shared" si="54"/>
        <v>1202</v>
      </c>
      <c r="E72" s="61">
        <f t="shared" si="54"/>
        <v>1260</v>
      </c>
      <c r="F72" s="61">
        <f t="shared" si="54"/>
        <v>1277</v>
      </c>
      <c r="G72" s="61">
        <f t="shared" si="54"/>
        <v>1271.7231760000002</v>
      </c>
      <c r="H72" s="61">
        <f t="shared" ref="H72:L72" si="55">H56</f>
        <v>1305.1181908640001</v>
      </c>
      <c r="I72" s="61">
        <f t="shared" si="55"/>
        <v>1354.1105287685043</v>
      </c>
      <c r="J72" s="61">
        <f t="shared" si="55"/>
        <v>1389.9997118401852</v>
      </c>
      <c r="K72" s="61">
        <f t="shared" si="55"/>
        <v>1442.351789359145</v>
      </c>
      <c r="L72" s="61">
        <f t="shared" si="55"/>
        <v>1480.9258089346208</v>
      </c>
    </row>
    <row r="73" spans="1:14" ht="15" thickTop="1" x14ac:dyDescent="0.3">
      <c r="A73" s="27" t="s">
        <v>107</v>
      </c>
      <c r="B73" s="40">
        <v>-84</v>
      </c>
      <c r="C73" s="40">
        <v>-118</v>
      </c>
      <c r="D73" s="40">
        <v>-160</v>
      </c>
      <c r="E73" s="40">
        <v>-139</v>
      </c>
      <c r="F73" s="40">
        <v>-175</v>
      </c>
      <c r="G73" s="40">
        <v>-160</v>
      </c>
      <c r="H73" s="40">
        <v>-160</v>
      </c>
      <c r="I73" s="40">
        <v>-160</v>
      </c>
      <c r="J73" s="40">
        <v>-160</v>
      </c>
      <c r="K73" s="40">
        <v>-160</v>
      </c>
      <c r="L73" s="40">
        <v>-160</v>
      </c>
      <c r="N73" t="s">
        <v>418</v>
      </c>
    </row>
    <row r="74" spans="1:14" ht="15" thickBot="1" x14ac:dyDescent="0.35">
      <c r="A74" s="30" t="s">
        <v>108</v>
      </c>
      <c r="B74" s="3">
        <f t="shared" ref="B74:G74" si="56">B69+B70+B71+B72+B73</f>
        <v>4163</v>
      </c>
      <c r="C74" s="3">
        <f t="shared" si="56"/>
        <v>4211</v>
      </c>
      <c r="D74" s="3">
        <f t="shared" si="56"/>
        <v>4245</v>
      </c>
      <c r="E74" s="3">
        <f t="shared" si="56"/>
        <v>4796</v>
      </c>
      <c r="F74" s="3">
        <f t="shared" si="56"/>
        <v>5356</v>
      </c>
      <c r="G74" s="31">
        <f t="shared" si="56"/>
        <v>5674.2381871392408</v>
      </c>
      <c r="H74" s="31">
        <f t="shared" ref="H74:L74" si="57">H69+H70+H71+H72+H73</f>
        <v>5932.4240087880507</v>
      </c>
      <c r="I74" s="31">
        <f t="shared" si="57"/>
        <v>6265.7333290651623</v>
      </c>
      <c r="J74" s="31">
        <f t="shared" si="57"/>
        <v>6576.3718866072368</v>
      </c>
      <c r="K74" s="31">
        <f t="shared" si="57"/>
        <v>6956.7606757210524</v>
      </c>
      <c r="L74" s="31">
        <f t="shared" si="57"/>
        <v>7311.27130568553</v>
      </c>
    </row>
    <row r="75" spans="1:14" ht="15" thickTop="1" x14ac:dyDescent="0.3">
      <c r="A75" s="26" t="s">
        <v>109</v>
      </c>
      <c r="B75" s="4">
        <f t="shared" ref="B75:G75" si="58">B74/B64</f>
        <v>0.10821700590085523</v>
      </c>
      <c r="C75" s="4">
        <f t="shared" si="58"/>
        <v>0.10685918745400563</v>
      </c>
      <c r="D75" s="4">
        <f t="shared" si="58"/>
        <v>0.10042108251324754</v>
      </c>
      <c r="E75" s="4">
        <f t="shared" si="58"/>
        <v>0.10051135887333389</v>
      </c>
      <c r="F75" s="4">
        <f t="shared" si="58"/>
        <v>0.10192197906755471</v>
      </c>
      <c r="G75" s="8">
        <f t="shared" si="58"/>
        <v>0.1035024060141754</v>
      </c>
      <c r="H75" s="8">
        <f t="shared" ref="H75:L75" si="59">H74/H64</f>
        <v>0.1035436814538653</v>
      </c>
      <c r="I75" s="8">
        <f t="shared" si="59"/>
        <v>0.10440188415532203</v>
      </c>
      <c r="J75" s="8">
        <f t="shared" si="59"/>
        <v>0.10449183026945252</v>
      </c>
      <c r="K75" s="8">
        <f t="shared" si="59"/>
        <v>0.10534024484325882</v>
      </c>
      <c r="L75" s="8">
        <f t="shared" si="59"/>
        <v>0.10543698722027178</v>
      </c>
      <c r="N75" t="s">
        <v>419</v>
      </c>
    </row>
    <row r="76" spans="1:14" x14ac:dyDescent="0.3">
      <c r="A76" s="26"/>
      <c r="B76" s="4"/>
      <c r="C76" s="4"/>
      <c r="D76" s="4"/>
      <c r="E76" s="4"/>
      <c r="F76" s="4"/>
      <c r="G76" s="8"/>
      <c r="H76" s="8"/>
      <c r="I76" s="8"/>
      <c r="J76" s="8"/>
      <c r="K76" s="8"/>
      <c r="L76" s="8"/>
    </row>
    <row r="77" spans="1:14" x14ac:dyDescent="0.3">
      <c r="A77" s="26" t="s">
        <v>481</v>
      </c>
      <c r="B77" s="4"/>
      <c r="C77" s="4">
        <v>5.7000000000000002E-2</v>
      </c>
      <c r="D77" s="4">
        <v>4.3999999999999997E-2</v>
      </c>
      <c r="E77" s="4">
        <v>1.7999999999999999E-2</v>
      </c>
      <c r="F77" s="4">
        <v>1E-3</v>
      </c>
      <c r="G77" s="8">
        <v>0.01</v>
      </c>
      <c r="H77" s="8">
        <v>0.04</v>
      </c>
      <c r="I77" s="8">
        <v>0.04</v>
      </c>
      <c r="J77" s="8">
        <v>0.04</v>
      </c>
      <c r="K77" s="8">
        <v>0.04</v>
      </c>
      <c r="L77" s="8">
        <v>0.04</v>
      </c>
      <c r="N77" t="s">
        <v>482</v>
      </c>
    </row>
    <row r="78" spans="1:14" x14ac:dyDescent="0.3">
      <c r="A78" s="26" t="s">
        <v>483</v>
      </c>
      <c r="B78" s="4"/>
      <c r="C78" s="4">
        <f t="shared" ref="C78:L78" si="60">(C26+C39+C51)/(B26+B39+B51)-1</f>
        <v>1.6680952066987498E-2</v>
      </c>
      <c r="D78" s="4">
        <f t="shared" si="60"/>
        <v>9.1147859922178887E-2</v>
      </c>
      <c r="E78" s="4">
        <f t="shared" si="60"/>
        <v>8.3682505720483746E-2</v>
      </c>
      <c r="F78" s="4">
        <f t="shared" si="60"/>
        <v>8.1525763018619468E-2</v>
      </c>
      <c r="G78" s="8">
        <f t="shared" si="60"/>
        <v>4.507195740365133E-2</v>
      </c>
      <c r="H78" s="8">
        <f t="shared" si="60"/>
        <v>4.7531323653237978E-2</v>
      </c>
      <c r="I78" s="8">
        <f t="shared" si="60"/>
        <v>4.8379619519752337E-2</v>
      </c>
      <c r="J78" s="8">
        <f t="shared" si="60"/>
        <v>4.9962459794550274E-2</v>
      </c>
      <c r="K78" s="8">
        <f t="shared" si="60"/>
        <v>5.0845270220855276E-2</v>
      </c>
      <c r="L78" s="8">
        <f t="shared" si="60"/>
        <v>5.1756172056460326E-2</v>
      </c>
      <c r="N78" t="s">
        <v>484</v>
      </c>
    </row>
    <row r="79" spans="1:14" x14ac:dyDescent="0.3">
      <c r="A79" s="27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spans="1:14" x14ac:dyDescent="0.3">
      <c r="A80" s="408" t="s">
        <v>110</v>
      </c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1:12" x14ac:dyDescent="0.3">
      <c r="A81" s="27" t="s">
        <v>100</v>
      </c>
      <c r="B81" s="41">
        <v>16293</v>
      </c>
      <c r="C81" s="41">
        <v>19516</v>
      </c>
      <c r="D81" s="41">
        <v>20454</v>
      </c>
      <c r="E81" s="41">
        <v>19693</v>
      </c>
      <c r="F81" s="41">
        <v>21828</v>
      </c>
      <c r="G81" s="41"/>
      <c r="H81" s="41"/>
      <c r="I81" s="41"/>
      <c r="J81" s="41"/>
      <c r="K81" s="41"/>
      <c r="L81" s="41"/>
    </row>
    <row r="82" spans="1:12" x14ac:dyDescent="0.3">
      <c r="A82" s="27" t="s">
        <v>101</v>
      </c>
      <c r="B82" s="41">
        <v>44855</v>
      </c>
      <c r="C82" s="41">
        <v>45699</v>
      </c>
      <c r="D82" s="41">
        <v>45896</v>
      </c>
      <c r="E82" s="41">
        <v>39818</v>
      </c>
      <c r="F82" s="41">
        <v>52340</v>
      </c>
      <c r="G82" s="41"/>
      <c r="H82" s="41"/>
      <c r="I82" s="41"/>
      <c r="J82" s="41"/>
      <c r="K82" s="41"/>
      <c r="L82" s="41"/>
    </row>
    <row r="83" spans="1:12" ht="15" thickBot="1" x14ac:dyDescent="0.35">
      <c r="A83" s="39" t="s">
        <v>102</v>
      </c>
      <c r="B83" s="61">
        <v>13093</v>
      </c>
      <c r="C83" s="61">
        <v>13251</v>
      </c>
      <c r="D83" s="61">
        <v>14537</v>
      </c>
      <c r="E83" s="61">
        <v>16980</v>
      </c>
      <c r="F83" s="61">
        <v>27218</v>
      </c>
      <c r="G83" s="61"/>
      <c r="H83" s="61"/>
      <c r="I83" s="61"/>
      <c r="J83" s="61"/>
      <c r="K83" s="61"/>
      <c r="L83" s="61"/>
    </row>
    <row r="84" spans="1:12" ht="15" thickTop="1" x14ac:dyDescent="0.3">
      <c r="A84" s="27" t="s">
        <v>103</v>
      </c>
      <c r="B84" s="40">
        <v>13353</v>
      </c>
      <c r="C84" s="40">
        <v>12671</v>
      </c>
      <c r="D84" s="40">
        <v>12740</v>
      </c>
      <c r="E84" s="40">
        <v>14106</v>
      </c>
      <c r="F84" s="40">
        <v>16660</v>
      </c>
      <c r="G84" s="8"/>
      <c r="H84" s="8"/>
      <c r="I84" s="8"/>
      <c r="J84" s="8"/>
      <c r="K84" s="8"/>
      <c r="L84" s="8"/>
    </row>
    <row r="85" spans="1:12" x14ac:dyDescent="0.3">
      <c r="A85" s="77" t="s">
        <v>111</v>
      </c>
      <c r="B85" s="6">
        <f t="shared" ref="B85:G85" si="61">SUM(B81:B84)</f>
        <v>87594</v>
      </c>
      <c r="C85" s="6">
        <f t="shared" si="61"/>
        <v>91137</v>
      </c>
      <c r="D85" s="6">
        <f t="shared" si="61"/>
        <v>93627</v>
      </c>
      <c r="E85" s="6">
        <f t="shared" si="61"/>
        <v>90597</v>
      </c>
      <c r="F85" s="6">
        <f t="shared" si="61"/>
        <v>118046</v>
      </c>
      <c r="G85" s="65">
        <f t="shared" si="61"/>
        <v>0</v>
      </c>
      <c r="H85" s="65">
        <f t="shared" ref="H85:L85" si="62">SUM(H81:H84)</f>
        <v>0</v>
      </c>
      <c r="I85" s="65">
        <f t="shared" si="62"/>
        <v>0</v>
      </c>
      <c r="J85" s="65">
        <f t="shared" si="62"/>
        <v>0</v>
      </c>
      <c r="K85" s="65">
        <f t="shared" si="62"/>
        <v>0</v>
      </c>
      <c r="L85" s="65">
        <f t="shared" si="62"/>
        <v>0</v>
      </c>
    </row>
    <row r="87" spans="1:12" x14ac:dyDescent="0.3">
      <c r="A87" s="7"/>
    </row>
    <row r="88" spans="1:12" x14ac:dyDescent="0.3">
      <c r="A88" s="1"/>
      <c r="B88" s="9"/>
      <c r="C88" s="10"/>
      <c r="D88" s="10"/>
      <c r="E88" s="10"/>
      <c r="F88" s="10"/>
      <c r="G88" s="11"/>
      <c r="H88" s="11"/>
      <c r="I88" s="11"/>
      <c r="J88" s="11"/>
      <c r="K88" s="11"/>
      <c r="L88" s="11"/>
    </row>
    <row r="89" spans="1:12" x14ac:dyDescent="0.3">
      <c r="A89" s="1"/>
      <c r="B89" s="9"/>
      <c r="C89" s="10"/>
      <c r="D89" s="10"/>
      <c r="E89" s="10"/>
      <c r="F89" s="10"/>
      <c r="G89" s="11"/>
      <c r="H89" s="11"/>
      <c r="I89" s="11"/>
      <c r="J89" s="11"/>
      <c r="K89" s="11"/>
      <c r="L89" s="11"/>
    </row>
    <row r="90" spans="1:12" x14ac:dyDescent="0.3">
      <c r="A90" s="427" t="s">
        <v>471</v>
      </c>
      <c r="B90" s="9"/>
      <c r="C90" s="10"/>
      <c r="D90" s="10"/>
      <c r="E90" s="10"/>
      <c r="F90" s="10"/>
      <c r="G90" s="11"/>
      <c r="H90" s="11"/>
      <c r="I90" s="11"/>
      <c r="J90" s="11"/>
      <c r="K90" s="11"/>
      <c r="L90" s="11"/>
    </row>
    <row r="91" spans="1:12" x14ac:dyDescent="0.3">
      <c r="A91" s="27" t="s">
        <v>84</v>
      </c>
      <c r="B91" s="9"/>
      <c r="C91" s="10"/>
      <c r="D91" s="10"/>
      <c r="E91" s="10"/>
      <c r="F91" s="10"/>
      <c r="G91" s="429"/>
      <c r="H91" s="429"/>
      <c r="I91" s="429"/>
      <c r="J91" s="429"/>
      <c r="K91" s="429"/>
      <c r="L91" s="429"/>
    </row>
    <row r="92" spans="1:12" x14ac:dyDescent="0.3">
      <c r="A92" s="412" t="s">
        <v>472</v>
      </c>
      <c r="G92" s="430">
        <f>G93+0.5%</f>
        <v>7.5000000000000011E-2</v>
      </c>
      <c r="H92" s="430">
        <f t="shared" ref="H92:L92" si="63">H93+0.5%</f>
        <v>7.5000000000000011E-2</v>
      </c>
      <c r="I92" s="430">
        <f t="shared" si="63"/>
        <v>7.5000000000000011E-2</v>
      </c>
      <c r="J92" s="430">
        <f t="shared" si="63"/>
        <v>7.5000000000000011E-2</v>
      </c>
      <c r="K92" s="430">
        <f t="shared" si="63"/>
        <v>7.5000000000000011E-2</v>
      </c>
      <c r="L92" s="430">
        <f t="shared" si="63"/>
        <v>7.5000000000000011E-2</v>
      </c>
    </row>
    <row r="93" spans="1:12" x14ac:dyDescent="0.3">
      <c r="A93" s="428" t="s">
        <v>473</v>
      </c>
      <c r="G93" s="430">
        <v>7.0000000000000007E-2</v>
      </c>
      <c r="H93" s="430">
        <v>7.0000000000000007E-2</v>
      </c>
      <c r="I93" s="430">
        <v>7.0000000000000007E-2</v>
      </c>
      <c r="J93" s="430">
        <v>7.0000000000000007E-2</v>
      </c>
      <c r="K93" s="430">
        <v>7.0000000000000007E-2</v>
      </c>
      <c r="L93" s="430">
        <v>7.0000000000000007E-2</v>
      </c>
    </row>
    <row r="94" spans="1:12" x14ac:dyDescent="0.3">
      <c r="A94" s="412" t="s">
        <v>474</v>
      </c>
      <c r="B94" s="10"/>
      <c r="C94" s="10"/>
      <c r="D94" s="10"/>
      <c r="E94" s="10"/>
      <c r="F94" s="10"/>
      <c r="G94" s="430">
        <f>G93-0.5%</f>
        <v>6.5000000000000002E-2</v>
      </c>
      <c r="H94" s="430">
        <f t="shared" ref="H94:L94" si="64">H93-0.5%</f>
        <v>6.5000000000000002E-2</v>
      </c>
      <c r="I94" s="430">
        <f t="shared" si="64"/>
        <v>6.5000000000000002E-2</v>
      </c>
      <c r="J94" s="430">
        <f t="shared" si="64"/>
        <v>6.5000000000000002E-2</v>
      </c>
      <c r="K94" s="430">
        <f t="shared" si="64"/>
        <v>6.5000000000000002E-2</v>
      </c>
      <c r="L94" s="430">
        <f t="shared" si="64"/>
        <v>6.5000000000000002E-2</v>
      </c>
    </row>
    <row r="95" spans="1:12" x14ac:dyDescent="0.3">
      <c r="A95" s="27" t="s">
        <v>85</v>
      </c>
      <c r="B95" s="10"/>
      <c r="C95" s="10"/>
      <c r="D95" s="10"/>
      <c r="E95" s="10"/>
      <c r="F95" s="10"/>
      <c r="G95" s="430"/>
      <c r="H95" s="430"/>
      <c r="I95" s="430"/>
      <c r="J95" s="430"/>
      <c r="K95" s="430"/>
      <c r="L95" s="430"/>
    </row>
    <row r="96" spans="1:12" x14ac:dyDescent="0.3">
      <c r="A96" s="412" t="s">
        <v>472</v>
      </c>
      <c r="B96" s="10"/>
      <c r="C96" s="10"/>
      <c r="D96" s="10"/>
      <c r="E96" s="10"/>
      <c r="F96" s="10"/>
      <c r="G96" s="430">
        <f>G97+0.5%</f>
        <v>3.4999999999999996E-2</v>
      </c>
      <c r="H96" s="430">
        <f t="shared" ref="H96:L96" si="65">H97+0.5%</f>
        <v>3.4999999999999996E-2</v>
      </c>
      <c r="I96" s="430">
        <f t="shared" si="65"/>
        <v>3.4999999999999996E-2</v>
      </c>
      <c r="J96" s="430">
        <f t="shared" si="65"/>
        <v>4.4999999999999998E-2</v>
      </c>
      <c r="K96" s="430">
        <f t="shared" si="65"/>
        <v>4.4999999999999998E-2</v>
      </c>
      <c r="L96" s="430">
        <f t="shared" si="65"/>
        <v>4.4999999999999998E-2</v>
      </c>
    </row>
    <row r="97" spans="1:12" x14ac:dyDescent="0.3">
      <c r="A97" s="428" t="s">
        <v>473</v>
      </c>
      <c r="B97" s="10"/>
      <c r="C97" s="10"/>
      <c r="D97" s="10"/>
      <c r="E97" s="10"/>
      <c r="F97" s="10"/>
      <c r="G97" s="430">
        <v>0.03</v>
      </c>
      <c r="H97" s="430">
        <v>0.03</v>
      </c>
      <c r="I97" s="430">
        <v>0.03</v>
      </c>
      <c r="J97" s="430">
        <v>0.04</v>
      </c>
      <c r="K97" s="430">
        <v>0.04</v>
      </c>
      <c r="L97" s="430">
        <v>0.04</v>
      </c>
    </row>
    <row r="98" spans="1:12" x14ac:dyDescent="0.3">
      <c r="A98" s="412" t="s">
        <v>474</v>
      </c>
      <c r="B98" s="12"/>
      <c r="C98" s="12"/>
      <c r="D98" s="12"/>
      <c r="E98" s="12"/>
      <c r="F98" s="12"/>
      <c r="G98" s="430">
        <f>G97-0.5%</f>
        <v>2.4999999999999998E-2</v>
      </c>
      <c r="H98" s="430">
        <f t="shared" ref="H98:L98" si="66">H97-0.5%</f>
        <v>2.4999999999999998E-2</v>
      </c>
      <c r="I98" s="430">
        <f t="shared" si="66"/>
        <v>2.4999999999999998E-2</v>
      </c>
      <c r="J98" s="430">
        <f t="shared" si="66"/>
        <v>3.5000000000000003E-2</v>
      </c>
      <c r="K98" s="430">
        <f t="shared" si="66"/>
        <v>3.5000000000000003E-2</v>
      </c>
      <c r="L98" s="430">
        <f t="shared" si="66"/>
        <v>3.5000000000000003E-2</v>
      </c>
    </row>
    <row r="99" spans="1:12" x14ac:dyDescent="0.3">
      <c r="A99" s="27" t="s">
        <v>78</v>
      </c>
      <c r="G99" s="430"/>
      <c r="H99" s="430"/>
      <c r="I99" s="430"/>
      <c r="J99" s="430"/>
      <c r="K99" s="430"/>
      <c r="L99" s="430"/>
    </row>
    <row r="100" spans="1:12" x14ac:dyDescent="0.3">
      <c r="A100" s="412" t="s">
        <v>472</v>
      </c>
      <c r="G100" s="430">
        <f>G101+0.1%</f>
        <v>7.3999999999999996E-2</v>
      </c>
      <c r="H100" s="430">
        <f t="shared" ref="H100:L100" si="67">H101+0.1%</f>
        <v>7.3999999999999996E-2</v>
      </c>
      <c r="I100" s="430">
        <f t="shared" si="67"/>
        <v>7.4999999999999997E-2</v>
      </c>
      <c r="J100" s="430">
        <f t="shared" si="67"/>
        <v>7.4999999999999997E-2</v>
      </c>
      <c r="K100" s="430">
        <f t="shared" si="67"/>
        <v>7.5999999999999998E-2</v>
      </c>
      <c r="L100" s="430">
        <f t="shared" si="67"/>
        <v>7.5999999999999998E-2</v>
      </c>
    </row>
    <row r="101" spans="1:12" x14ac:dyDescent="0.3">
      <c r="A101" s="428" t="s">
        <v>473</v>
      </c>
      <c r="G101" s="430">
        <v>7.2999999999999995E-2</v>
      </c>
      <c r="H101" s="430">
        <v>7.2999999999999995E-2</v>
      </c>
      <c r="I101" s="430">
        <v>7.3999999999999996E-2</v>
      </c>
      <c r="J101" s="430">
        <v>7.3999999999999996E-2</v>
      </c>
      <c r="K101" s="430">
        <v>7.4999999999999997E-2</v>
      </c>
      <c r="L101" s="430">
        <v>7.4999999999999997E-2</v>
      </c>
    </row>
    <row r="102" spans="1:12" x14ac:dyDescent="0.3">
      <c r="A102" s="412" t="s">
        <v>474</v>
      </c>
      <c r="G102" s="430">
        <f>G101-0.1%</f>
        <v>7.1999999999999995E-2</v>
      </c>
      <c r="H102" s="430">
        <f t="shared" ref="H102:L102" si="68">H101-0.1%</f>
        <v>7.1999999999999995E-2</v>
      </c>
      <c r="I102" s="430">
        <f t="shared" si="68"/>
        <v>7.2999999999999995E-2</v>
      </c>
      <c r="J102" s="430">
        <f t="shared" si="68"/>
        <v>7.2999999999999995E-2</v>
      </c>
      <c r="K102" s="430">
        <f t="shared" si="68"/>
        <v>7.3999999999999996E-2</v>
      </c>
      <c r="L102" s="430">
        <f t="shared" si="68"/>
        <v>7.3999999999999996E-2</v>
      </c>
    </row>
    <row r="103" spans="1:12" x14ac:dyDescent="0.3">
      <c r="G103" s="431"/>
      <c r="H103" s="431"/>
      <c r="I103" s="431"/>
      <c r="J103" s="431"/>
      <c r="K103" s="431"/>
      <c r="L103" s="431"/>
    </row>
    <row r="104" spans="1:12" x14ac:dyDescent="0.3">
      <c r="G104" s="431"/>
      <c r="H104" s="431"/>
      <c r="I104" s="431"/>
      <c r="J104" s="431"/>
      <c r="K104" s="431"/>
      <c r="L104" s="431"/>
    </row>
    <row r="105" spans="1:12" x14ac:dyDescent="0.3">
      <c r="A105" s="414" t="s">
        <v>91</v>
      </c>
      <c r="G105" s="431"/>
      <c r="H105" s="431"/>
      <c r="I105" s="431"/>
      <c r="J105" s="431"/>
      <c r="K105" s="431"/>
      <c r="L105" s="431"/>
    </row>
    <row r="106" spans="1:12" x14ac:dyDescent="0.3">
      <c r="A106" s="412" t="s">
        <v>472</v>
      </c>
      <c r="G106" s="430">
        <f>G107+0.5%</f>
        <v>1.4999999999999999E-2</v>
      </c>
      <c r="H106" s="430">
        <f t="shared" ref="H106" si="69">H107+0.5%</f>
        <v>2.5000000000000001E-2</v>
      </c>
      <c r="I106" s="430">
        <f t="shared" ref="I106" si="70">I107+0.5%</f>
        <v>2.5000000000000001E-2</v>
      </c>
      <c r="J106" s="430">
        <f t="shared" ref="J106" si="71">J107+0.5%</f>
        <v>2.5000000000000001E-2</v>
      </c>
      <c r="K106" s="430">
        <f t="shared" ref="K106" si="72">K107+0.5%</f>
        <v>2.5000000000000001E-2</v>
      </c>
      <c r="L106" s="430">
        <f t="shared" ref="L106" si="73">L107+0.5%</f>
        <v>2.5000000000000001E-2</v>
      </c>
    </row>
    <row r="107" spans="1:12" x14ac:dyDescent="0.3">
      <c r="A107" s="428" t="s">
        <v>473</v>
      </c>
      <c r="G107" s="430">
        <v>0.01</v>
      </c>
      <c r="H107" s="430">
        <v>0.02</v>
      </c>
      <c r="I107" s="430">
        <v>0.02</v>
      </c>
      <c r="J107" s="430">
        <v>0.02</v>
      </c>
      <c r="K107" s="430">
        <v>0.02</v>
      </c>
      <c r="L107" s="430">
        <v>0.02</v>
      </c>
    </row>
    <row r="108" spans="1:12" x14ac:dyDescent="0.3">
      <c r="A108" s="412" t="s">
        <v>474</v>
      </c>
      <c r="G108" s="430">
        <f>G107-0.5%</f>
        <v>5.0000000000000001E-3</v>
      </c>
      <c r="H108" s="430">
        <f t="shared" ref="H108" si="74">H107-0.5%</f>
        <v>1.4999999999999999E-2</v>
      </c>
      <c r="I108" s="430">
        <f t="shared" ref="I108" si="75">I107-0.5%</f>
        <v>1.4999999999999999E-2</v>
      </c>
      <c r="J108" s="430">
        <f t="shared" ref="J108" si="76">J107-0.5%</f>
        <v>1.4999999999999999E-2</v>
      </c>
      <c r="K108" s="430">
        <f t="shared" ref="K108" si="77">K107-0.5%</f>
        <v>1.4999999999999999E-2</v>
      </c>
      <c r="L108" s="430">
        <f t="shared" ref="L108" si="78">L107-0.5%</f>
        <v>1.4999999999999999E-2</v>
      </c>
    </row>
    <row r="109" spans="1:12" x14ac:dyDescent="0.3">
      <c r="A109" s="27" t="s">
        <v>92</v>
      </c>
      <c r="G109" s="431"/>
      <c r="H109" s="431"/>
      <c r="I109" s="431"/>
      <c r="J109" s="431"/>
      <c r="K109" s="431"/>
      <c r="L109" s="431"/>
    </row>
    <row r="110" spans="1:12" x14ac:dyDescent="0.3">
      <c r="A110" s="412" t="s">
        <v>472</v>
      </c>
      <c r="G110" s="430">
        <f>G111+0.5%</f>
        <v>0.06</v>
      </c>
      <c r="H110" s="430">
        <f t="shared" ref="H110" si="79">H111+0.5%</f>
        <v>7.5000000000000011E-2</v>
      </c>
      <c r="I110" s="430">
        <f t="shared" ref="I110" si="80">I111+0.5%</f>
        <v>7.5000000000000011E-2</v>
      </c>
      <c r="J110" s="430">
        <f t="shared" ref="J110" si="81">J111+0.5%</f>
        <v>7.5000000000000011E-2</v>
      </c>
      <c r="K110" s="430">
        <f t="shared" ref="K110" si="82">K111+0.5%</f>
        <v>7.5000000000000011E-2</v>
      </c>
      <c r="L110" s="430">
        <f t="shared" ref="L110" si="83">L111+0.5%</f>
        <v>7.5000000000000011E-2</v>
      </c>
    </row>
    <row r="111" spans="1:12" x14ac:dyDescent="0.3">
      <c r="A111" s="428" t="s">
        <v>473</v>
      </c>
      <c r="G111" s="430">
        <v>5.5E-2</v>
      </c>
      <c r="H111" s="430">
        <v>7.0000000000000007E-2</v>
      </c>
      <c r="I111" s="430">
        <v>7.0000000000000007E-2</v>
      </c>
      <c r="J111" s="430">
        <v>7.0000000000000007E-2</v>
      </c>
      <c r="K111" s="430">
        <v>7.0000000000000007E-2</v>
      </c>
      <c r="L111" s="430">
        <v>7.0000000000000007E-2</v>
      </c>
    </row>
    <row r="112" spans="1:12" x14ac:dyDescent="0.3">
      <c r="A112" s="412" t="s">
        <v>474</v>
      </c>
      <c r="G112" s="430">
        <f>G111-0.5%</f>
        <v>0.05</v>
      </c>
      <c r="H112" s="430">
        <f t="shared" ref="H112" si="84">H111-0.5%</f>
        <v>6.5000000000000002E-2</v>
      </c>
      <c r="I112" s="430">
        <f t="shared" ref="I112" si="85">I111-0.5%</f>
        <v>6.5000000000000002E-2</v>
      </c>
      <c r="J112" s="430">
        <f t="shared" ref="J112" si="86">J111-0.5%</f>
        <v>6.5000000000000002E-2</v>
      </c>
      <c r="K112" s="430">
        <f t="shared" ref="K112" si="87">K111-0.5%</f>
        <v>6.5000000000000002E-2</v>
      </c>
      <c r="L112" s="430">
        <f t="shared" ref="L112" si="88">L111-0.5%</f>
        <v>6.5000000000000002E-2</v>
      </c>
    </row>
    <row r="113" spans="1:12" x14ac:dyDescent="0.3">
      <c r="A113" s="27" t="s">
        <v>166</v>
      </c>
      <c r="G113" s="431"/>
      <c r="H113" s="431"/>
      <c r="I113" s="431"/>
      <c r="J113" s="431"/>
      <c r="K113" s="431"/>
      <c r="L113" s="431"/>
    </row>
    <row r="114" spans="1:12" x14ac:dyDescent="0.3">
      <c r="A114" s="412" t="s">
        <v>472</v>
      </c>
      <c r="G114" s="430">
        <f>G115+0.5%</f>
        <v>0.185</v>
      </c>
      <c r="H114" s="430">
        <f t="shared" ref="H114" si="89">H115+0.5%</f>
        <v>0.155</v>
      </c>
      <c r="I114" s="430">
        <f t="shared" ref="I114" si="90">I115+0.5%</f>
        <v>0.155</v>
      </c>
      <c r="J114" s="430">
        <f t="shared" ref="J114" si="91">J115+0.5%</f>
        <v>0.155</v>
      </c>
      <c r="K114" s="430">
        <f t="shared" ref="K114" si="92">K115+0.5%</f>
        <v>0.155</v>
      </c>
      <c r="L114" s="430">
        <f t="shared" ref="L114" si="93">L115+0.5%</f>
        <v>0.155</v>
      </c>
    </row>
    <row r="115" spans="1:12" x14ac:dyDescent="0.3">
      <c r="A115" s="428" t="s">
        <v>473</v>
      </c>
      <c r="G115" s="430">
        <v>0.18</v>
      </c>
      <c r="H115" s="430">
        <v>0.15</v>
      </c>
      <c r="I115" s="430">
        <v>0.15</v>
      </c>
      <c r="J115" s="430">
        <v>0.15</v>
      </c>
      <c r="K115" s="430">
        <v>0.15</v>
      </c>
      <c r="L115" s="430">
        <v>0.15</v>
      </c>
    </row>
    <row r="116" spans="1:12" x14ac:dyDescent="0.3">
      <c r="A116" s="412" t="s">
        <v>474</v>
      </c>
      <c r="G116" s="430">
        <f>G115-0.5%</f>
        <v>0.17499999999999999</v>
      </c>
      <c r="H116" s="430">
        <f t="shared" ref="H116" si="94">H115-0.5%</f>
        <v>0.14499999999999999</v>
      </c>
      <c r="I116" s="430">
        <f t="shared" ref="I116" si="95">I115-0.5%</f>
        <v>0.14499999999999999</v>
      </c>
      <c r="J116" s="430">
        <f t="shared" ref="J116" si="96">J115-0.5%</f>
        <v>0.14499999999999999</v>
      </c>
      <c r="K116" s="430">
        <f t="shared" ref="K116" si="97">K115-0.5%</f>
        <v>0.14499999999999999</v>
      </c>
      <c r="L116" s="430">
        <f t="shared" ref="L116" si="98">L115-0.5%</f>
        <v>0.14499999999999999</v>
      </c>
    </row>
    <row r="117" spans="1:12" x14ac:dyDescent="0.3">
      <c r="A117" s="27" t="s">
        <v>78</v>
      </c>
      <c r="G117" s="431"/>
      <c r="H117" s="431"/>
      <c r="I117" s="431"/>
      <c r="J117" s="431"/>
      <c r="K117" s="431"/>
      <c r="L117" s="431"/>
    </row>
    <row r="118" spans="1:12" x14ac:dyDescent="0.3">
      <c r="A118" s="412" t="s">
        <v>472</v>
      </c>
      <c r="G118" s="430">
        <f>G119+0.1%</f>
        <v>0.14199999999999999</v>
      </c>
      <c r="H118" s="430">
        <f t="shared" ref="H118" si="99">H119+0.1%</f>
        <v>0.14199999999999999</v>
      </c>
      <c r="I118" s="430">
        <f t="shared" ref="I118" si="100">I119+0.1%</f>
        <v>0.14299999999999999</v>
      </c>
      <c r="J118" s="430">
        <f t="shared" ref="J118" si="101">J119+0.1%</f>
        <v>0.14299999999999999</v>
      </c>
      <c r="K118" s="430">
        <f t="shared" ref="K118" si="102">K119+0.1%</f>
        <v>0.14399999999999999</v>
      </c>
      <c r="L118" s="430">
        <f t="shared" ref="L118" si="103">L119+0.1%</f>
        <v>0.14399999999999999</v>
      </c>
    </row>
    <row r="119" spans="1:12" x14ac:dyDescent="0.3">
      <c r="A119" s="428" t="s">
        <v>473</v>
      </c>
      <c r="G119" s="430">
        <v>0.14099999999999999</v>
      </c>
      <c r="H119" s="430">
        <v>0.14099999999999999</v>
      </c>
      <c r="I119" s="430">
        <v>0.14199999999999999</v>
      </c>
      <c r="J119" s="430">
        <v>0.14199999999999999</v>
      </c>
      <c r="K119" s="430">
        <v>0.14299999999999999</v>
      </c>
      <c r="L119" s="430">
        <v>0.14299999999999999</v>
      </c>
    </row>
    <row r="120" spans="1:12" x14ac:dyDescent="0.3">
      <c r="A120" s="412" t="s">
        <v>474</v>
      </c>
      <c r="G120" s="430">
        <f>G119-0.1%</f>
        <v>0.13999999999999999</v>
      </c>
      <c r="H120" s="430">
        <f t="shared" ref="H120" si="104">H119-0.1%</f>
        <v>0.13999999999999999</v>
      </c>
      <c r="I120" s="430">
        <f t="shared" ref="I120" si="105">I119-0.1%</f>
        <v>0.14099999999999999</v>
      </c>
      <c r="J120" s="430">
        <f t="shared" ref="J120" si="106">J119-0.1%</f>
        <v>0.14099999999999999</v>
      </c>
      <c r="K120" s="430">
        <f t="shared" ref="K120" si="107">K119-0.1%</f>
        <v>0.14199999999999999</v>
      </c>
      <c r="L120" s="430">
        <f t="shared" ref="L120" si="108">L119-0.1%</f>
        <v>0.14199999999999999</v>
      </c>
    </row>
    <row r="121" spans="1:12" x14ac:dyDescent="0.3">
      <c r="G121" s="431"/>
      <c r="H121" s="431"/>
      <c r="I121" s="431"/>
      <c r="J121" s="431"/>
      <c r="K121" s="431"/>
      <c r="L121" s="431"/>
    </row>
    <row r="122" spans="1:12" x14ac:dyDescent="0.3">
      <c r="G122" s="431"/>
      <c r="H122" s="431"/>
      <c r="I122" s="431"/>
      <c r="J122" s="431"/>
      <c r="K122" s="431"/>
      <c r="L122" s="431"/>
    </row>
    <row r="123" spans="1:12" x14ac:dyDescent="0.3">
      <c r="A123" s="412" t="s">
        <v>97</v>
      </c>
      <c r="G123" s="431"/>
      <c r="H123" s="431"/>
      <c r="I123" s="431"/>
      <c r="J123" s="431"/>
      <c r="K123" s="431"/>
      <c r="L123" s="431"/>
    </row>
    <row r="124" spans="1:12" x14ac:dyDescent="0.3">
      <c r="A124" s="412" t="s">
        <v>472</v>
      </c>
      <c r="G124" s="430">
        <f>G125+0.5%</f>
        <v>3.9E-2</v>
      </c>
      <c r="H124" s="430">
        <f t="shared" ref="H124" si="109">H125+0.5%</f>
        <v>3.9E-2</v>
      </c>
      <c r="I124" s="430">
        <f t="shared" ref="I124" si="110">I125+0.5%</f>
        <v>3.9E-2</v>
      </c>
      <c r="J124" s="430">
        <f t="shared" ref="J124" si="111">J125+0.5%</f>
        <v>3.9E-2</v>
      </c>
      <c r="K124" s="430">
        <f t="shared" ref="K124" si="112">K125+0.5%</f>
        <v>3.9E-2</v>
      </c>
      <c r="L124" s="430">
        <f t="shared" ref="L124" si="113">L125+0.5%</f>
        <v>3.9E-2</v>
      </c>
    </row>
    <row r="125" spans="1:12" x14ac:dyDescent="0.3">
      <c r="A125" s="428" t="s">
        <v>473</v>
      </c>
      <c r="G125" s="430">
        <v>3.4000000000000002E-2</v>
      </c>
      <c r="H125" s="430">
        <v>3.4000000000000002E-2</v>
      </c>
      <c r="I125" s="430">
        <v>3.4000000000000002E-2</v>
      </c>
      <c r="J125" s="430">
        <v>3.4000000000000002E-2</v>
      </c>
      <c r="K125" s="430">
        <v>3.4000000000000002E-2</v>
      </c>
      <c r="L125" s="430">
        <v>3.4000000000000002E-2</v>
      </c>
    </row>
    <row r="126" spans="1:12" x14ac:dyDescent="0.3">
      <c r="A126" s="412" t="s">
        <v>474</v>
      </c>
      <c r="G126" s="430">
        <f>G125-0.5%</f>
        <v>2.9000000000000001E-2</v>
      </c>
      <c r="H126" s="430">
        <f t="shared" ref="H126" si="114">H125-0.5%</f>
        <v>2.9000000000000001E-2</v>
      </c>
      <c r="I126" s="430">
        <f t="shared" ref="I126" si="115">I125-0.5%</f>
        <v>2.9000000000000001E-2</v>
      </c>
      <c r="J126" s="430">
        <f t="shared" ref="J126" si="116">J125-0.5%</f>
        <v>2.9000000000000001E-2</v>
      </c>
      <c r="K126" s="430">
        <f t="shared" ref="K126" si="117">K125-0.5%</f>
        <v>2.9000000000000001E-2</v>
      </c>
      <c r="L126" s="430">
        <f t="shared" ref="L126" si="118">L125-0.5%</f>
        <v>2.9000000000000001E-2</v>
      </c>
    </row>
    <row r="127" spans="1:12" x14ac:dyDescent="0.3">
      <c r="A127" s="27" t="s">
        <v>98</v>
      </c>
      <c r="G127" s="431"/>
      <c r="H127" s="431"/>
      <c r="I127" s="431"/>
      <c r="J127" s="431"/>
      <c r="K127" s="431"/>
      <c r="L127" s="431"/>
    </row>
    <row r="128" spans="1:12" x14ac:dyDescent="0.3">
      <c r="A128" s="412" t="s">
        <v>472</v>
      </c>
      <c r="G128" s="430">
        <f>G129+0.5%</f>
        <v>1.4999999999999999E-2</v>
      </c>
      <c r="H128" s="430">
        <f t="shared" ref="H128" si="119">H129+0.5%</f>
        <v>1.4999999999999999E-2</v>
      </c>
      <c r="I128" s="430">
        <f t="shared" ref="I128" si="120">I129+0.5%</f>
        <v>1.4999999999999999E-2</v>
      </c>
      <c r="J128" s="430">
        <f t="shared" ref="J128" si="121">J129+0.5%</f>
        <v>1.4999999999999999E-2</v>
      </c>
      <c r="K128" s="430">
        <f t="shared" ref="K128" si="122">K129+0.5%</f>
        <v>1.4999999999999999E-2</v>
      </c>
      <c r="L128" s="430">
        <f t="shared" ref="L128" si="123">L129+0.5%</f>
        <v>1.4999999999999999E-2</v>
      </c>
    </row>
    <row r="129" spans="1:12" x14ac:dyDescent="0.3">
      <c r="A129" s="428" t="s">
        <v>473</v>
      </c>
      <c r="G129" s="430">
        <v>0.01</v>
      </c>
      <c r="H129" s="430">
        <v>0.01</v>
      </c>
      <c r="I129" s="430">
        <v>0.01</v>
      </c>
      <c r="J129" s="430">
        <v>0.01</v>
      </c>
      <c r="K129" s="430">
        <v>0.01</v>
      </c>
      <c r="L129" s="430">
        <v>0.01</v>
      </c>
    </row>
    <row r="130" spans="1:12" x14ac:dyDescent="0.3">
      <c r="A130" s="412" t="s">
        <v>474</v>
      </c>
      <c r="G130" s="430">
        <f>G129-0.5%</f>
        <v>5.0000000000000001E-3</v>
      </c>
      <c r="H130" s="430">
        <f t="shared" ref="H130" si="124">H129-0.5%</f>
        <v>5.0000000000000001E-3</v>
      </c>
      <c r="I130" s="430">
        <f t="shared" ref="I130" si="125">I129-0.5%</f>
        <v>5.0000000000000001E-3</v>
      </c>
      <c r="J130" s="430">
        <f t="shared" ref="J130" si="126">J129-0.5%</f>
        <v>5.0000000000000001E-3</v>
      </c>
      <c r="K130" s="430">
        <f t="shared" ref="K130" si="127">K129-0.5%</f>
        <v>5.0000000000000001E-3</v>
      </c>
      <c r="L130" s="430">
        <f t="shared" ref="L130" si="128">L129-0.5%</f>
        <v>5.0000000000000001E-3</v>
      </c>
    </row>
    <row r="131" spans="1:12" x14ac:dyDescent="0.3">
      <c r="A131" s="418" t="s">
        <v>78</v>
      </c>
      <c r="G131" s="431"/>
      <c r="H131" s="431"/>
      <c r="I131" s="431"/>
      <c r="J131" s="431"/>
      <c r="K131" s="431"/>
      <c r="L131" s="431"/>
    </row>
    <row r="132" spans="1:12" x14ac:dyDescent="0.3">
      <c r="A132" s="412" t="s">
        <v>472</v>
      </c>
      <c r="G132" s="430">
        <f>G133+0.1%</f>
        <v>9.2999999999999999E-2</v>
      </c>
      <c r="H132" s="430">
        <f t="shared" ref="H132" si="129">H133+0.1%</f>
        <v>9.2999999999999999E-2</v>
      </c>
      <c r="I132" s="430">
        <f t="shared" ref="I132" si="130">I133+0.1%</f>
        <v>9.4E-2</v>
      </c>
      <c r="J132" s="430">
        <f t="shared" ref="J132" si="131">J133+0.1%</f>
        <v>9.4E-2</v>
      </c>
      <c r="K132" s="430">
        <f t="shared" ref="K132" si="132">K133+0.1%</f>
        <v>9.5000000000000001E-2</v>
      </c>
      <c r="L132" s="430">
        <f t="shared" ref="L132" si="133">L133+0.1%</f>
        <v>9.5000000000000001E-2</v>
      </c>
    </row>
    <row r="133" spans="1:12" x14ac:dyDescent="0.3">
      <c r="A133" s="428" t="s">
        <v>473</v>
      </c>
      <c r="G133" s="430">
        <v>9.1999999999999998E-2</v>
      </c>
      <c r="H133" s="430">
        <v>9.1999999999999998E-2</v>
      </c>
      <c r="I133" s="430">
        <v>9.2999999999999999E-2</v>
      </c>
      <c r="J133" s="430">
        <v>9.2999999999999999E-2</v>
      </c>
      <c r="K133" s="430">
        <v>9.4E-2</v>
      </c>
      <c r="L133" s="430">
        <v>9.4E-2</v>
      </c>
    </row>
    <row r="134" spans="1:12" x14ac:dyDescent="0.3">
      <c r="A134" s="412" t="s">
        <v>474</v>
      </c>
      <c r="G134" s="430">
        <f>G133-0.1%</f>
        <v>9.0999999999999998E-2</v>
      </c>
      <c r="H134" s="430">
        <f t="shared" ref="H134" si="134">H133-0.1%</f>
        <v>9.0999999999999998E-2</v>
      </c>
      <c r="I134" s="430">
        <f t="shared" ref="I134" si="135">I133-0.1%</f>
        <v>9.1999999999999998E-2</v>
      </c>
      <c r="J134" s="430">
        <f t="shared" ref="J134" si="136">J133-0.1%</f>
        <v>9.1999999999999998E-2</v>
      </c>
      <c r="K134" s="430">
        <f t="shared" ref="K134" si="137">K133-0.1%</f>
        <v>9.2999999999999999E-2</v>
      </c>
      <c r="L134" s="430">
        <f t="shared" ref="L134" si="138">L133-0.1%</f>
        <v>9.2999999999999999E-2</v>
      </c>
    </row>
  </sheetData>
  <pageMargins left="0.7" right="0.7" top="0.75" bottom="0.75" header="0.3" footer="0.3"/>
  <pageSetup orientation="portrait" r:id="rId1"/>
  <ignoredErrors>
    <ignoredError sqref="F15 C15:E15 H17:L17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792B-8E5A-463D-B4C1-B88C1A0DB6FB}">
  <dimension ref="A1:N58"/>
  <sheetViews>
    <sheetView zoomScale="60" zoomScaleNormal="60" workbookViewId="0">
      <pane ySplit="5" topLeftCell="A6" activePane="bottomLeft" state="frozen"/>
      <selection pane="bottomLeft" activeCell="N34" sqref="N34"/>
    </sheetView>
  </sheetViews>
  <sheetFormatPr defaultRowHeight="14.4" x14ac:dyDescent="0.3"/>
  <cols>
    <col min="1" max="1" width="29.6640625" customWidth="1"/>
    <col min="2" max="12" width="13.88671875" customWidth="1"/>
    <col min="14" max="14" width="83.33203125" customWidth="1"/>
  </cols>
  <sheetData>
    <row r="1" spans="1:14" ht="18" x14ac:dyDescent="0.35">
      <c r="A1" s="33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4" x14ac:dyDescent="0.3">
      <c r="A2" s="34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3">
      <c r="A3" s="25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4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4" x14ac:dyDescent="0.3">
      <c r="A5" s="35" t="s">
        <v>3</v>
      </c>
      <c r="B5" s="36">
        <v>2021</v>
      </c>
      <c r="C5" s="36">
        <v>2022</v>
      </c>
      <c r="D5" s="36">
        <v>2023</v>
      </c>
      <c r="E5" s="36">
        <v>2024</v>
      </c>
      <c r="F5" s="36">
        <v>2025</v>
      </c>
      <c r="G5" s="37">
        <v>2026</v>
      </c>
      <c r="H5" s="37">
        <v>2027</v>
      </c>
      <c r="I5" s="37">
        <v>2028</v>
      </c>
      <c r="J5" s="37">
        <v>2029</v>
      </c>
      <c r="K5" s="37">
        <v>2030</v>
      </c>
      <c r="L5" s="37">
        <v>2031</v>
      </c>
      <c r="N5" s="426" t="s">
        <v>395</v>
      </c>
    </row>
    <row r="6" spans="1:14" x14ac:dyDescent="0.3">
      <c r="A6" s="26" t="s">
        <v>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4" x14ac:dyDescent="0.3">
      <c r="A7" s="27" t="s">
        <v>5</v>
      </c>
      <c r="B7" s="45">
        <v>22428</v>
      </c>
      <c r="C7" s="45">
        <v>23022</v>
      </c>
      <c r="D7" s="45">
        <v>24595</v>
      </c>
      <c r="E7" s="45">
        <v>28635</v>
      </c>
      <c r="F7" s="45">
        <v>33021</v>
      </c>
      <c r="G7" s="41">
        <f>'Revenue model'!G8+'Revenue model'!G23+'Revenue model'!G24+'Revenue model'!G36+'Revenue model'!G37</f>
        <v>34527.734936708861</v>
      </c>
      <c r="H7" s="41">
        <f>'Revenue model'!H8+'Revenue model'!H23+'Revenue model'!H24+'Revenue model'!H36+'Revenue model'!H37</f>
        <v>36210.718870886078</v>
      </c>
      <c r="I7" s="41">
        <f>'Revenue model'!I8+'Revenue model'!I23+'Revenue model'!I24+'Revenue model'!I36+'Revenue model'!I37</f>
        <v>38091.078085518995</v>
      </c>
      <c r="J7" s="41">
        <f>'Revenue model'!J8+'Revenue model'!J23+'Revenue model'!J24+'Revenue model'!J36+'Revenue model'!J37</f>
        <v>40112.922130446081</v>
      </c>
      <c r="K7" s="41">
        <f>'Revenue model'!K8+'Revenue model'!K23+'Revenue model'!K24+'Revenue model'!K36+'Revenue model'!K37</f>
        <v>42253.348795451435</v>
      </c>
      <c r="L7" s="41">
        <f>'Revenue model'!L8+'Revenue model'!L23+'Revenue model'!L24+'Revenue model'!L36+'Revenue model'!L37</f>
        <v>44519.826430329384</v>
      </c>
      <c r="N7" t="s">
        <v>420</v>
      </c>
    </row>
    <row r="8" spans="1:14" x14ac:dyDescent="0.3">
      <c r="A8" s="27" t="s">
        <v>6</v>
      </c>
      <c r="B8" s="45">
        <v>16041</v>
      </c>
      <c r="C8" s="45">
        <v>16385</v>
      </c>
      <c r="D8" s="45">
        <v>17677</v>
      </c>
      <c r="E8" s="45">
        <v>19081</v>
      </c>
      <c r="F8" s="45">
        <v>19529</v>
      </c>
      <c r="G8" s="41">
        <f>'Revenue model'!G9+'Revenue model'!G25+'Revenue model'!G38+'Revenue model'!G49+'Revenue model'!G50</f>
        <v>20294.547999999999</v>
      </c>
      <c r="H8" s="41">
        <f>'Revenue model'!H9+'Revenue model'!H25+'Revenue model'!H38+'Revenue model'!H49+'Revenue model'!H50</f>
        <v>21083.206992000007</v>
      </c>
      <c r="I8" s="41">
        <f>'Revenue model'!I9+'Revenue model'!I25+'Revenue model'!I38+'Revenue model'!I49+'Revenue model'!I50</f>
        <v>21924.441555328001</v>
      </c>
      <c r="J8" s="41">
        <f>'Revenue model'!J9+'Revenue model'!J25+'Revenue model'!J38+'Revenue model'!J49+'Revenue model'!J50</f>
        <v>22823.786602177155</v>
      </c>
      <c r="K8" s="41">
        <f>'Revenue model'!K9+'Revenue model'!K25+'Revenue model'!K38+'Revenue model'!K49+'Revenue model'!K50</f>
        <v>23787.514182153896</v>
      </c>
      <c r="L8" s="41">
        <f>'Revenue model'!L9+'Revenue model'!L25+'Revenue model'!L38+'Revenue model'!L49+'Revenue model'!L50</f>
        <v>24822.740143688137</v>
      </c>
      <c r="N8" t="s">
        <v>421</v>
      </c>
    </row>
    <row r="9" spans="1:14" x14ac:dyDescent="0.3">
      <c r="A9" s="38" t="s">
        <v>7</v>
      </c>
      <c r="B9" s="42">
        <f t="shared" ref="B9:L9" si="0">B7+B8</f>
        <v>38469</v>
      </c>
      <c r="C9" s="42">
        <f t="shared" si="0"/>
        <v>39407</v>
      </c>
      <c r="D9" s="42">
        <f t="shared" si="0"/>
        <v>42272</v>
      </c>
      <c r="E9" s="42">
        <f t="shared" si="0"/>
        <v>47716</v>
      </c>
      <c r="F9" s="42">
        <f t="shared" si="0"/>
        <v>52550</v>
      </c>
      <c r="G9" s="42">
        <f t="shared" si="0"/>
        <v>54822.282936708856</v>
      </c>
      <c r="H9" s="42">
        <f t="shared" si="0"/>
        <v>57293.925862886084</v>
      </c>
      <c r="I9" s="42">
        <f t="shared" si="0"/>
        <v>60015.519640846993</v>
      </c>
      <c r="J9" s="42">
        <f t="shared" si="0"/>
        <v>62936.708732623236</v>
      </c>
      <c r="K9" s="42">
        <f t="shared" si="0"/>
        <v>66040.862977605328</v>
      </c>
      <c r="L9" s="42">
        <f t="shared" si="0"/>
        <v>69342.566574017517</v>
      </c>
    </row>
    <row r="10" spans="1:14" x14ac:dyDescent="0.3">
      <c r="A10" s="27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1" spans="1:14" x14ac:dyDescent="0.3">
      <c r="A11" s="26" t="s">
        <v>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4" x14ac:dyDescent="0.3">
      <c r="A12" s="27" t="s">
        <v>5</v>
      </c>
      <c r="B12" s="45">
        <v>-18524</v>
      </c>
      <c r="C12" s="45">
        <v>-18981</v>
      </c>
      <c r="D12" s="45">
        <v>-20591</v>
      </c>
      <c r="E12" s="45">
        <v>-24332</v>
      </c>
      <c r="F12" s="45">
        <v>-27965</v>
      </c>
      <c r="G12" s="41">
        <f>G7*($F$12/$F$7)</f>
        <v>-29241.031692106939</v>
      </c>
      <c r="H12" s="41">
        <f t="shared" ref="H12:L12" si="1">H7*($F$12/$F$7)</f>
        <v>-30666.326072024745</v>
      </c>
      <c r="I12" s="41">
        <f t="shared" si="1"/>
        <v>-32258.774678584497</v>
      </c>
      <c r="J12" s="41">
        <f t="shared" si="1"/>
        <v>-33971.044710272996</v>
      </c>
      <c r="K12" s="41">
        <f t="shared" si="1"/>
        <v>-35783.740621568075</v>
      </c>
      <c r="L12" s="41">
        <f t="shared" si="1"/>
        <v>-37703.187248240851</v>
      </c>
      <c r="N12" t="s">
        <v>422</v>
      </c>
    </row>
    <row r="13" spans="1:14" x14ac:dyDescent="0.3">
      <c r="A13" s="27" t="s">
        <v>6</v>
      </c>
      <c r="B13" s="45">
        <v>-13537</v>
      </c>
      <c r="C13" s="45">
        <v>-13804</v>
      </c>
      <c r="D13" s="45">
        <v>-15009</v>
      </c>
      <c r="E13" s="45">
        <v>-16020</v>
      </c>
      <c r="F13" s="45">
        <v>-16634</v>
      </c>
      <c r="G13" s="41">
        <f>G8*($F$13/$F$8)</f>
        <v>-17286.062339699933</v>
      </c>
      <c r="H13" s="41">
        <f t="shared" ref="H13:L13" si="2">H8*($F$13/$F$8)</f>
        <v>-17957.809673046657</v>
      </c>
      <c r="I13" s="41">
        <f t="shared" si="2"/>
        <v>-18674.33871838425</v>
      </c>
      <c r="J13" s="41">
        <f t="shared" si="2"/>
        <v>-19440.363886559211</v>
      </c>
      <c r="K13" s="41">
        <f t="shared" si="2"/>
        <v>-20261.227451786981</v>
      </c>
      <c r="L13" s="41">
        <f t="shared" si="2"/>
        <v>-21142.990401459803</v>
      </c>
      <c r="N13" t="s">
        <v>423</v>
      </c>
    </row>
    <row r="14" spans="1:14" x14ac:dyDescent="0.3">
      <c r="A14" s="27" t="s">
        <v>9</v>
      </c>
      <c r="B14" s="45">
        <v>-2245</v>
      </c>
      <c r="C14" s="45">
        <v>-2411</v>
      </c>
      <c r="D14" s="45">
        <v>-2427</v>
      </c>
      <c r="E14" s="45">
        <v>-2568</v>
      </c>
      <c r="F14" s="45">
        <v>-2595</v>
      </c>
      <c r="G14" s="41">
        <f>G9*($F$14/$F$9)</f>
        <v>-2707.2088338869553</v>
      </c>
      <c r="H14" s="41">
        <f t="shared" ref="H14:L14" si="3">H9*($F$14/$F$9)</f>
        <v>-2829.2623713451835</v>
      </c>
      <c r="I14" s="41">
        <f t="shared" si="3"/>
        <v>-2963.6588671360219</v>
      </c>
      <c r="J14" s="41">
        <f t="shared" si="3"/>
        <v>-3107.9116871771134</v>
      </c>
      <c r="K14" s="41">
        <f t="shared" si="3"/>
        <v>-3261.1996085040118</v>
      </c>
      <c r="L14" s="41">
        <f t="shared" si="3"/>
        <v>-3424.2428213049566</v>
      </c>
      <c r="N14" t="s">
        <v>424</v>
      </c>
    </row>
    <row r="15" spans="1:14" x14ac:dyDescent="0.3">
      <c r="A15" s="38" t="s">
        <v>10</v>
      </c>
      <c r="B15" s="42">
        <f>B12+B13+B14</f>
        <v>-34306</v>
      </c>
      <c r="C15" s="42">
        <f>C12+C13+C14</f>
        <v>-35196</v>
      </c>
      <c r="D15" s="42">
        <f>D12+D13+D14</f>
        <v>-38027</v>
      </c>
      <c r="E15" s="42">
        <f>E12+E13+E14</f>
        <v>-42920</v>
      </c>
      <c r="F15" s="42">
        <f>F12+F13+F14</f>
        <v>-47194</v>
      </c>
      <c r="G15" s="42">
        <f t="shared" ref="G15:L15" si="4">G17-G9</f>
        <v>-49148.044749569613</v>
      </c>
      <c r="H15" s="42">
        <f t="shared" si="4"/>
        <v>-51361.501854098031</v>
      </c>
      <c r="I15" s="42">
        <f t="shared" si="4"/>
        <v>-53749.786311781834</v>
      </c>
      <c r="J15" s="42">
        <f t="shared" si="4"/>
        <v>-56360.336846015998</v>
      </c>
      <c r="K15" s="42">
        <f t="shared" si="4"/>
        <v>-59084.102301884275</v>
      </c>
      <c r="L15" s="42">
        <f t="shared" si="4"/>
        <v>-62031.295268331989</v>
      </c>
    </row>
    <row r="16" spans="1:14" x14ac:dyDescent="0.3">
      <c r="A16" s="27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spans="1:14" x14ac:dyDescent="0.3">
      <c r="A17" s="39" t="s">
        <v>11</v>
      </c>
      <c r="B17" s="43">
        <f>B9+B15</f>
        <v>4163</v>
      </c>
      <c r="C17" s="43">
        <f>C9+C15</f>
        <v>4211</v>
      </c>
      <c r="D17" s="43">
        <f>D9+D15</f>
        <v>4245</v>
      </c>
      <c r="E17" s="43">
        <f>E9+E15</f>
        <v>4796</v>
      </c>
      <c r="F17" s="43">
        <f>F9+F15</f>
        <v>5356</v>
      </c>
      <c r="G17" s="43">
        <f>'Revenue model'!G74</f>
        <v>5674.2381871392408</v>
      </c>
      <c r="H17" s="43">
        <f>'Revenue model'!H74</f>
        <v>5932.4240087880507</v>
      </c>
      <c r="I17" s="43">
        <f>'Revenue model'!I74</f>
        <v>6265.7333290651623</v>
      </c>
      <c r="J17" s="43">
        <f>'Revenue model'!J74</f>
        <v>6576.3718866072368</v>
      </c>
      <c r="K17" s="43">
        <f>'Revenue model'!K74</f>
        <v>6956.7606757210524</v>
      </c>
      <c r="L17" s="43">
        <f>'Revenue model'!L74</f>
        <v>7311.27130568553</v>
      </c>
    </row>
    <row r="18" spans="1:14" x14ac:dyDescent="0.3">
      <c r="A18" s="27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1:14" x14ac:dyDescent="0.3">
      <c r="A19" s="27" t="s">
        <v>12</v>
      </c>
      <c r="B19" s="45">
        <v>134</v>
      </c>
      <c r="C19" s="45">
        <v>189</v>
      </c>
      <c r="D19" s="45">
        <v>82</v>
      </c>
      <c r="E19" s="45">
        <v>68</v>
      </c>
      <c r="F19" s="45">
        <v>61</v>
      </c>
      <c r="G19" s="41">
        <v>50</v>
      </c>
      <c r="H19" s="41">
        <v>50</v>
      </c>
      <c r="I19" s="41">
        <v>50</v>
      </c>
      <c r="J19" s="41">
        <v>50</v>
      </c>
      <c r="K19" s="41">
        <v>50</v>
      </c>
      <c r="L19" s="41">
        <v>50</v>
      </c>
      <c r="N19" t="s">
        <v>425</v>
      </c>
    </row>
    <row r="20" spans="1:14" x14ac:dyDescent="0.3">
      <c r="A20" s="27" t="s">
        <v>13</v>
      </c>
      <c r="B20" s="45">
        <v>-424</v>
      </c>
      <c r="C20" s="45">
        <v>-364</v>
      </c>
      <c r="D20" s="45">
        <v>-343</v>
      </c>
      <c r="E20" s="45">
        <v>-324</v>
      </c>
      <c r="F20" s="45">
        <v>-314</v>
      </c>
      <c r="G20" s="41">
        <f>-(Schedules!G95)</f>
        <v>-339.20222585924711</v>
      </c>
      <c r="H20" s="41">
        <f>-(Schedules!H95)</f>
        <v>-370.28125</v>
      </c>
      <c r="I20" s="41">
        <f>-(Schedules!I95)</f>
        <v>-411.70499999999998</v>
      </c>
      <c r="J20" s="41">
        <f>-(Schedules!J95)</f>
        <v>-454.12375000000003</v>
      </c>
      <c r="K20" s="41">
        <f>-(Schedules!K95)</f>
        <v>-497.97500000000002</v>
      </c>
      <c r="L20" s="41">
        <f>-(Schedules!L95)</f>
        <v>-516.85</v>
      </c>
      <c r="N20" t="s">
        <v>426</v>
      </c>
    </row>
    <row r="21" spans="1:14" x14ac:dyDescent="0.3">
      <c r="A21" s="27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4" x14ac:dyDescent="0.3">
      <c r="A22" s="38" t="s">
        <v>14</v>
      </c>
      <c r="B22" s="42">
        <f t="shared" ref="B22:L22" si="5">B17+B19+B20</f>
        <v>3873</v>
      </c>
      <c r="C22" s="42">
        <f t="shared" si="5"/>
        <v>4036</v>
      </c>
      <c r="D22" s="42">
        <f t="shared" si="5"/>
        <v>3984</v>
      </c>
      <c r="E22" s="42">
        <f t="shared" si="5"/>
        <v>4540</v>
      </c>
      <c r="F22" s="42">
        <f t="shared" si="5"/>
        <v>5103</v>
      </c>
      <c r="G22" s="42">
        <f t="shared" si="5"/>
        <v>5385.0359612799939</v>
      </c>
      <c r="H22" s="42">
        <f t="shared" si="5"/>
        <v>5612.1427587880507</v>
      </c>
      <c r="I22" s="42">
        <f t="shared" si="5"/>
        <v>5904.0283290651623</v>
      </c>
      <c r="J22" s="42">
        <f t="shared" si="5"/>
        <v>6172.248136607237</v>
      </c>
      <c r="K22" s="42">
        <f t="shared" si="5"/>
        <v>6508.785675721052</v>
      </c>
      <c r="L22" s="42">
        <f t="shared" si="5"/>
        <v>6844.4213056855297</v>
      </c>
    </row>
    <row r="23" spans="1:14" x14ac:dyDescent="0.3">
      <c r="A23" s="26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spans="1:14" x14ac:dyDescent="0.3">
      <c r="A24" s="27" t="s">
        <v>15</v>
      </c>
      <c r="B24" s="45">
        <v>-616</v>
      </c>
      <c r="C24" s="45">
        <v>-646</v>
      </c>
      <c r="D24" s="45">
        <v>-669</v>
      </c>
      <c r="E24" s="45">
        <v>-758</v>
      </c>
      <c r="F24" s="45">
        <v>-893</v>
      </c>
      <c r="G24" s="41">
        <f>G22*G30</f>
        <v>-942.35491150755138</v>
      </c>
      <c r="H24" s="41">
        <f t="shared" ref="H24:L24" si="6">H22*H30</f>
        <v>-982.09748845732497</v>
      </c>
      <c r="I24" s="41">
        <f t="shared" si="6"/>
        <v>-1033.1760332853596</v>
      </c>
      <c r="J24" s="41">
        <f t="shared" si="6"/>
        <v>-1080.1131855752035</v>
      </c>
      <c r="K24" s="41">
        <f t="shared" si="6"/>
        <v>-1139.0056061961395</v>
      </c>
      <c r="L24" s="41">
        <f t="shared" si="6"/>
        <v>-1197.7401971344657</v>
      </c>
      <c r="N24" t="s">
        <v>427</v>
      </c>
    </row>
    <row r="25" spans="1:14" x14ac:dyDescent="0.3">
      <c r="A25" s="27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4" ht="15" thickBot="1" x14ac:dyDescent="0.35">
      <c r="A26" s="39" t="s">
        <v>16</v>
      </c>
      <c r="B26" s="44">
        <f t="shared" ref="B26:L26" si="7">B22+B24</f>
        <v>3257</v>
      </c>
      <c r="C26" s="44">
        <f t="shared" si="7"/>
        <v>3390</v>
      </c>
      <c r="D26" s="44">
        <f t="shared" si="7"/>
        <v>3315</v>
      </c>
      <c r="E26" s="44">
        <f t="shared" si="7"/>
        <v>3782</v>
      </c>
      <c r="F26" s="44">
        <f t="shared" si="7"/>
        <v>4210</v>
      </c>
      <c r="G26" s="44">
        <f t="shared" si="7"/>
        <v>4442.6810497724427</v>
      </c>
      <c r="H26" s="44">
        <f t="shared" si="7"/>
        <v>4630.0452703307255</v>
      </c>
      <c r="I26" s="44">
        <f t="shared" si="7"/>
        <v>4870.8522957798032</v>
      </c>
      <c r="J26" s="44">
        <f t="shared" si="7"/>
        <v>5092.1349510320333</v>
      </c>
      <c r="K26" s="44">
        <f t="shared" si="7"/>
        <v>5369.7800695249125</v>
      </c>
      <c r="L26" s="44">
        <f t="shared" si="7"/>
        <v>5646.6811085510635</v>
      </c>
    </row>
    <row r="27" spans="1:14" ht="15" thickTop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4" x14ac:dyDescent="0.3">
      <c r="A28" s="26" t="s">
        <v>20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4" x14ac:dyDescent="0.3">
      <c r="A29" s="27" t="s">
        <v>17</v>
      </c>
      <c r="B29" s="4">
        <f t="shared" ref="B29:L29" si="8">B17/B9</f>
        <v>0.10821700590085523</v>
      </c>
      <c r="C29" s="4">
        <f t="shared" si="8"/>
        <v>0.10685918745400563</v>
      </c>
      <c r="D29" s="4">
        <f t="shared" si="8"/>
        <v>0.10042108251324754</v>
      </c>
      <c r="E29" s="4">
        <f t="shared" si="8"/>
        <v>0.10051135887333389</v>
      </c>
      <c r="F29" s="4">
        <f t="shared" si="8"/>
        <v>0.10192197906755471</v>
      </c>
      <c r="G29" s="4">
        <f t="shared" si="8"/>
        <v>0.10350240601417542</v>
      </c>
      <c r="H29" s="4">
        <f t="shared" si="8"/>
        <v>0.10354368145386529</v>
      </c>
      <c r="I29" s="4">
        <f t="shared" si="8"/>
        <v>0.10440188415532203</v>
      </c>
      <c r="J29" s="4">
        <f t="shared" si="8"/>
        <v>0.10449183026945251</v>
      </c>
      <c r="K29" s="4">
        <f t="shared" si="8"/>
        <v>0.10534024484325882</v>
      </c>
      <c r="L29" s="4">
        <f t="shared" si="8"/>
        <v>0.10543698722027178</v>
      </c>
    </row>
    <row r="30" spans="1:14" x14ac:dyDescent="0.3">
      <c r="A30" s="27" t="s">
        <v>18</v>
      </c>
      <c r="B30" s="4">
        <f>B24/B22</f>
        <v>-0.15904983217144333</v>
      </c>
      <c r="C30" s="4">
        <f>C24/C22</f>
        <v>-0.16005946481665015</v>
      </c>
      <c r="D30" s="4">
        <f>D24/D22</f>
        <v>-0.16792168674698796</v>
      </c>
      <c r="E30" s="4">
        <f>E24/E22</f>
        <v>-0.16696035242290749</v>
      </c>
      <c r="F30" s="4">
        <f>F24/F22</f>
        <v>-0.17499510092102685</v>
      </c>
      <c r="G30" s="8">
        <f t="shared" ref="G30:L30" si="9">F30</f>
        <v>-0.17499510092102685</v>
      </c>
      <c r="H30" s="8">
        <f t="shared" si="9"/>
        <v>-0.17499510092102685</v>
      </c>
      <c r="I30" s="8">
        <f t="shared" si="9"/>
        <v>-0.17499510092102685</v>
      </c>
      <c r="J30" s="8">
        <f t="shared" si="9"/>
        <v>-0.17499510092102685</v>
      </c>
      <c r="K30" s="8">
        <f t="shared" si="9"/>
        <v>-0.17499510092102685</v>
      </c>
      <c r="L30" s="8">
        <f t="shared" si="9"/>
        <v>-0.17499510092102685</v>
      </c>
    </row>
    <row r="31" spans="1:14" x14ac:dyDescent="0.3">
      <c r="A31" s="27" t="s">
        <v>19</v>
      </c>
      <c r="B31" s="4">
        <f t="shared" ref="B31:L31" si="10">B26/B9</f>
        <v>8.4665574878473579E-2</v>
      </c>
      <c r="C31" s="4">
        <f t="shared" si="10"/>
        <v>8.6025325449793189E-2</v>
      </c>
      <c r="D31" s="4">
        <f t="shared" si="10"/>
        <v>7.8420704012112041E-2</v>
      </c>
      <c r="E31" s="4">
        <f t="shared" si="10"/>
        <v>7.9260625366753296E-2</v>
      </c>
      <c r="F31" s="4">
        <f t="shared" si="10"/>
        <v>8.0114176974310183E-2</v>
      </c>
      <c r="G31" s="4">
        <f t="shared" si="10"/>
        <v>8.1037870219695565E-2</v>
      </c>
      <c r="H31" s="4">
        <f t="shared" si="10"/>
        <v>8.0812148942475959E-2</v>
      </c>
      <c r="I31" s="4">
        <f t="shared" si="10"/>
        <v>8.1159878726846282E-2</v>
      </c>
      <c r="J31" s="4">
        <f t="shared" si="10"/>
        <v>8.090882179214634E-2</v>
      </c>
      <c r="K31" s="4">
        <f t="shared" si="10"/>
        <v>8.1309962157003049E-2</v>
      </c>
      <c r="L31" s="4">
        <f t="shared" si="10"/>
        <v>8.1431671591268448E-2</v>
      </c>
    </row>
    <row r="32" spans="1:14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x14ac:dyDescent="0.3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 x14ac:dyDescent="0.3">
      <c r="A36" s="399" t="s">
        <v>218</v>
      </c>
      <c r="B36" s="400">
        <v>2021</v>
      </c>
      <c r="C36" s="400">
        <v>2022</v>
      </c>
      <c r="D36" s="400">
        <v>2023</v>
      </c>
      <c r="E36" s="400">
        <v>2024</v>
      </c>
      <c r="F36" s="400">
        <v>2025</v>
      </c>
      <c r="G36" s="401">
        <v>2026</v>
      </c>
      <c r="H36" s="401">
        <v>2027</v>
      </c>
      <c r="I36" s="401">
        <v>2028</v>
      </c>
      <c r="J36" s="401">
        <v>2029</v>
      </c>
      <c r="K36" s="401">
        <v>2030</v>
      </c>
      <c r="L36" s="401">
        <v>2031</v>
      </c>
    </row>
    <row r="37" spans="1:12" x14ac:dyDescent="0.3">
      <c r="A37" s="26" t="s">
        <v>4</v>
      </c>
      <c r="B37" s="41"/>
      <c r="C37" s="41"/>
      <c r="D37" s="41"/>
      <c r="E37" s="41"/>
      <c r="F37" s="41"/>
      <c r="G37" s="40"/>
      <c r="H37" s="40"/>
      <c r="I37" s="40"/>
      <c r="J37" s="40"/>
      <c r="K37" s="40"/>
      <c r="L37" s="40"/>
    </row>
    <row r="38" spans="1:12" x14ac:dyDescent="0.3">
      <c r="A38" s="27" t="s">
        <v>5</v>
      </c>
      <c r="B38" s="46">
        <f>B7/B9</f>
        <v>0.58301489511034854</v>
      </c>
      <c r="C38" s="46">
        <f t="shared" ref="C38:L38" si="11">C7/C9</f>
        <v>0.5842109269926663</v>
      </c>
      <c r="D38" s="46">
        <f t="shared" si="11"/>
        <v>0.58182721423164274</v>
      </c>
      <c r="E38" s="46">
        <f t="shared" si="11"/>
        <v>0.60011316958672145</v>
      </c>
      <c r="F38" s="46">
        <f t="shared" si="11"/>
        <v>0.62837297811607995</v>
      </c>
      <c r="G38" s="46">
        <f t="shared" si="11"/>
        <v>0.62981205975260801</v>
      </c>
      <c r="H38" s="46">
        <f t="shared" si="11"/>
        <v>0.63201671600484077</v>
      </c>
      <c r="I38" s="46">
        <f t="shared" si="11"/>
        <v>0.63468713281945721</v>
      </c>
      <c r="J38" s="46">
        <f t="shared" si="11"/>
        <v>0.63735334970977842</v>
      </c>
      <c r="K38" s="46">
        <f t="shared" si="11"/>
        <v>0.6398061274544472</v>
      </c>
      <c r="L38" s="46">
        <f t="shared" si="11"/>
        <v>0.64202738130276893</v>
      </c>
    </row>
    <row r="39" spans="1:12" x14ac:dyDescent="0.3">
      <c r="A39" s="27" t="s">
        <v>6</v>
      </c>
      <c r="B39" s="46">
        <f>B8/B9</f>
        <v>0.4169851048896514</v>
      </c>
      <c r="C39" s="46">
        <f t="shared" ref="C39:L39" si="12">C8/C9</f>
        <v>0.4157890730073337</v>
      </c>
      <c r="D39" s="46">
        <f t="shared" si="12"/>
        <v>0.41817278576835731</v>
      </c>
      <c r="E39" s="46">
        <f t="shared" si="12"/>
        <v>0.39988683041327855</v>
      </c>
      <c r="F39" s="46">
        <f t="shared" si="12"/>
        <v>0.37162702188392005</v>
      </c>
      <c r="G39" s="46">
        <f t="shared" si="12"/>
        <v>0.37018794024739204</v>
      </c>
      <c r="H39" s="46">
        <f t="shared" si="12"/>
        <v>0.36798328399515923</v>
      </c>
      <c r="I39" s="46">
        <f t="shared" si="12"/>
        <v>0.3653128671805429</v>
      </c>
      <c r="J39" s="46">
        <f t="shared" si="12"/>
        <v>0.36264665029022158</v>
      </c>
      <c r="K39" s="46">
        <f t="shared" si="12"/>
        <v>0.36019387254555291</v>
      </c>
      <c r="L39" s="46">
        <f t="shared" si="12"/>
        <v>0.35797261869723113</v>
      </c>
    </row>
    <row r="40" spans="1:12" x14ac:dyDescent="0.3">
      <c r="A40" s="26" t="s">
        <v>7</v>
      </c>
      <c r="B40" s="402">
        <f>B9/B9</f>
        <v>1</v>
      </c>
      <c r="C40" s="402">
        <f t="shared" ref="C40:L40" si="13">C9/C9</f>
        <v>1</v>
      </c>
      <c r="D40" s="402">
        <f t="shared" si="13"/>
        <v>1</v>
      </c>
      <c r="E40" s="402">
        <f t="shared" si="13"/>
        <v>1</v>
      </c>
      <c r="F40" s="402">
        <f t="shared" si="13"/>
        <v>1</v>
      </c>
      <c r="G40" s="402">
        <f t="shared" si="13"/>
        <v>1</v>
      </c>
      <c r="H40" s="402">
        <f t="shared" si="13"/>
        <v>1</v>
      </c>
      <c r="I40" s="402">
        <f t="shared" si="13"/>
        <v>1</v>
      </c>
      <c r="J40" s="402">
        <f t="shared" si="13"/>
        <v>1</v>
      </c>
      <c r="K40" s="402">
        <f t="shared" si="13"/>
        <v>1</v>
      </c>
      <c r="L40" s="402">
        <f t="shared" si="13"/>
        <v>1</v>
      </c>
    </row>
    <row r="41" spans="1:12" x14ac:dyDescent="0.3">
      <c r="A41" s="27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1:12" x14ac:dyDescent="0.3">
      <c r="A42" s="26" t="s">
        <v>8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spans="1:12" x14ac:dyDescent="0.3">
      <c r="A43" s="27" t="s">
        <v>5</v>
      </c>
      <c r="B43" s="49">
        <f>B12/B7</f>
        <v>-0.82593187087569109</v>
      </c>
      <c r="C43" s="49">
        <f t="shared" ref="C43:L43" si="14">C12/C7</f>
        <v>-0.82447224394057861</v>
      </c>
      <c r="D43" s="49">
        <f t="shared" si="14"/>
        <v>-0.83720268347225046</v>
      </c>
      <c r="E43" s="49">
        <f t="shared" si="14"/>
        <v>-0.84972935219137424</v>
      </c>
      <c r="F43" s="49">
        <f t="shared" si="14"/>
        <v>-0.84688531540534806</v>
      </c>
      <c r="G43" s="49">
        <f t="shared" si="14"/>
        <v>-0.84688531540534806</v>
      </c>
      <c r="H43" s="49">
        <f t="shared" si="14"/>
        <v>-0.84688531540534806</v>
      </c>
      <c r="I43" s="49">
        <f t="shared" si="14"/>
        <v>-0.84688531540534806</v>
      </c>
      <c r="J43" s="49">
        <f t="shared" si="14"/>
        <v>-0.84688531540534806</v>
      </c>
      <c r="K43" s="49">
        <f t="shared" si="14"/>
        <v>-0.84688531540534817</v>
      </c>
      <c r="L43" s="49">
        <f t="shared" si="14"/>
        <v>-0.84688531540534806</v>
      </c>
    </row>
    <row r="44" spans="1:12" x14ac:dyDescent="0.3">
      <c r="A44" s="27" t="s">
        <v>6</v>
      </c>
      <c r="B44" s="49">
        <f>B13/B8</f>
        <v>-0.84390000623402528</v>
      </c>
      <c r="C44" s="49">
        <f t="shared" ref="C44:L44" si="15">C13/C8</f>
        <v>-0.84247787610619473</v>
      </c>
      <c r="D44" s="49">
        <f t="shared" si="15"/>
        <v>-0.84906941223058208</v>
      </c>
      <c r="E44" s="49">
        <f t="shared" si="15"/>
        <v>-0.83957863843614067</v>
      </c>
      <c r="F44" s="49">
        <f t="shared" si="15"/>
        <v>-0.85175892262788677</v>
      </c>
      <c r="G44" s="49">
        <f t="shared" si="15"/>
        <v>-0.85175892262788677</v>
      </c>
      <c r="H44" s="49">
        <f t="shared" si="15"/>
        <v>-0.85175892262788688</v>
      </c>
      <c r="I44" s="49">
        <f t="shared" si="15"/>
        <v>-0.85175892262788677</v>
      </c>
      <c r="J44" s="49">
        <f t="shared" si="15"/>
        <v>-0.85175892262788677</v>
      </c>
      <c r="K44" s="49">
        <f t="shared" si="15"/>
        <v>-0.85175892262788677</v>
      </c>
      <c r="L44" s="49">
        <f t="shared" si="15"/>
        <v>-0.85175892262788677</v>
      </c>
    </row>
    <row r="45" spans="1:12" x14ac:dyDescent="0.3">
      <c r="A45" s="27" t="s">
        <v>9</v>
      </c>
      <c r="B45" s="49">
        <f>B14/B9</f>
        <v>-5.835867841638722E-2</v>
      </c>
      <c r="C45" s="49">
        <f t="shared" ref="C45:L45" si="16">C14/C9</f>
        <v>-6.1182023498363235E-2</v>
      </c>
      <c r="D45" s="49">
        <f t="shared" si="16"/>
        <v>-5.7413890991672975E-2</v>
      </c>
      <c r="E45" s="49">
        <f t="shared" si="16"/>
        <v>-5.3818425685304719E-2</v>
      </c>
      <c r="F45" s="49">
        <f t="shared" si="16"/>
        <v>-4.938154138915319E-2</v>
      </c>
      <c r="G45" s="49">
        <f t="shared" si="16"/>
        <v>-4.9381541389153197E-2</v>
      </c>
      <c r="H45" s="49">
        <f t="shared" si="16"/>
        <v>-4.938154138915319E-2</v>
      </c>
      <c r="I45" s="49">
        <f t="shared" si="16"/>
        <v>-4.938154138915319E-2</v>
      </c>
      <c r="J45" s="49">
        <f t="shared" si="16"/>
        <v>-4.938154138915319E-2</v>
      </c>
      <c r="K45" s="49">
        <f t="shared" si="16"/>
        <v>-4.938154138915319E-2</v>
      </c>
      <c r="L45" s="49">
        <f t="shared" si="16"/>
        <v>-4.938154138915319E-2</v>
      </c>
    </row>
    <row r="46" spans="1:12" x14ac:dyDescent="0.3">
      <c r="A46" s="26" t="s">
        <v>10</v>
      </c>
      <c r="B46" s="402">
        <f>B15/B9</f>
        <v>-0.89178299409914474</v>
      </c>
      <c r="C46" s="402">
        <f t="shared" ref="C46:L46" si="17">C15/C9</f>
        <v>-0.89314081254599431</v>
      </c>
      <c r="D46" s="402">
        <f t="shared" si="17"/>
        <v>-0.89957891748675245</v>
      </c>
      <c r="E46" s="402">
        <f t="shared" si="17"/>
        <v>-0.89948864112666616</v>
      </c>
      <c r="F46" s="402">
        <f t="shared" si="17"/>
        <v>-0.89807802093244526</v>
      </c>
      <c r="G46" s="402">
        <f t="shared" si="17"/>
        <v>-0.89649759398582451</v>
      </c>
      <c r="H46" s="402">
        <f t="shared" si="17"/>
        <v>-0.89645631854613461</v>
      </c>
      <c r="I46" s="402">
        <f t="shared" si="17"/>
        <v>-0.89559811584467808</v>
      </c>
      <c r="J46" s="402">
        <f t="shared" si="17"/>
        <v>-0.89550816973054748</v>
      </c>
      <c r="K46" s="402">
        <f t="shared" si="17"/>
        <v>-0.89465975515674112</v>
      </c>
      <c r="L46" s="402">
        <f t="shared" si="17"/>
        <v>-0.89456301277972827</v>
      </c>
    </row>
    <row r="47" spans="1:12" x14ac:dyDescent="0.3">
      <c r="A47" s="27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2" x14ac:dyDescent="0.3">
      <c r="A48" s="30" t="s">
        <v>11</v>
      </c>
      <c r="B48" s="403">
        <f>B17/B9</f>
        <v>0.10821700590085523</v>
      </c>
      <c r="C48" s="403">
        <f t="shared" ref="C48:L48" si="18">C17/C9</f>
        <v>0.10685918745400563</v>
      </c>
      <c r="D48" s="403">
        <f t="shared" si="18"/>
        <v>0.10042108251324754</v>
      </c>
      <c r="E48" s="403">
        <f t="shared" si="18"/>
        <v>0.10051135887333389</v>
      </c>
      <c r="F48" s="403">
        <f t="shared" si="18"/>
        <v>0.10192197906755471</v>
      </c>
      <c r="G48" s="403">
        <f t="shared" si="18"/>
        <v>0.10350240601417542</v>
      </c>
      <c r="H48" s="403">
        <f t="shared" si="18"/>
        <v>0.10354368145386529</v>
      </c>
      <c r="I48" s="403">
        <f t="shared" si="18"/>
        <v>0.10440188415532203</v>
      </c>
      <c r="J48" s="403">
        <f t="shared" si="18"/>
        <v>0.10449183026945251</v>
      </c>
      <c r="K48" s="403">
        <f t="shared" si="18"/>
        <v>0.10534024484325882</v>
      </c>
      <c r="L48" s="403">
        <f t="shared" si="18"/>
        <v>0.10543698722027178</v>
      </c>
    </row>
    <row r="49" spans="1:12" x14ac:dyDescent="0.3">
      <c r="A49" s="27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3">
      <c r="A50" s="27" t="s">
        <v>12</v>
      </c>
      <c r="B50" s="46">
        <f>B19/B9</f>
        <v>3.4833242350983907E-3</v>
      </c>
      <c r="C50" s="46">
        <f t="shared" ref="C50:L50" si="19">C19/C9</f>
        <v>4.7961022153424522E-3</v>
      </c>
      <c r="D50" s="46">
        <f t="shared" si="19"/>
        <v>1.9398183194549584E-3</v>
      </c>
      <c r="E50" s="46">
        <f t="shared" si="19"/>
        <v>1.4250984994551093E-3</v>
      </c>
      <c r="F50" s="46">
        <f t="shared" si="19"/>
        <v>1.1607992388201712E-3</v>
      </c>
      <c r="G50" s="46">
        <f t="shared" si="19"/>
        <v>9.1203790359704504E-4</v>
      </c>
      <c r="H50" s="46">
        <f t="shared" si="19"/>
        <v>8.7269285961758555E-4</v>
      </c>
      <c r="I50" s="46">
        <f t="shared" si="19"/>
        <v>8.3311783850605276E-4</v>
      </c>
      <c r="J50" s="46">
        <f t="shared" si="19"/>
        <v>7.9444891553540206E-4</v>
      </c>
      <c r="K50" s="46">
        <f t="shared" si="19"/>
        <v>7.5710700535447525E-4</v>
      </c>
      <c r="L50" s="46">
        <f t="shared" si="19"/>
        <v>7.2105782162863979E-4</v>
      </c>
    </row>
    <row r="51" spans="1:12" x14ac:dyDescent="0.3">
      <c r="A51" s="27" t="s">
        <v>13</v>
      </c>
      <c r="B51" s="46">
        <f>B20/B9</f>
        <v>-1.102186175881879E-2</v>
      </c>
      <c r="C51" s="46">
        <f t="shared" ref="C51:L51" si="20">C20/C9</f>
        <v>-9.2369375999187958E-3</v>
      </c>
      <c r="D51" s="46">
        <f t="shared" si="20"/>
        <v>-8.114118092354277E-3</v>
      </c>
      <c r="E51" s="46">
        <f t="shared" si="20"/>
        <v>-6.7901752032861092E-3</v>
      </c>
      <c r="F51" s="46">
        <f t="shared" si="20"/>
        <v>-5.9752616555661274E-3</v>
      </c>
      <c r="G51" s="46">
        <f t="shared" si="20"/>
        <v>-6.1873057393623827E-3</v>
      </c>
      <c r="H51" s="46">
        <f t="shared" si="20"/>
        <v>-6.4628360585054822E-3</v>
      </c>
      <c r="I51" s="46">
        <f t="shared" si="20"/>
        <v>-6.8599755940426882E-3</v>
      </c>
      <c r="J51" s="46">
        <f t="shared" si="20"/>
        <v>-7.2155624141274017E-3</v>
      </c>
      <c r="K51" s="46">
        <f t="shared" si="20"/>
        <v>-7.5404072198278962E-3</v>
      </c>
      <c r="L51" s="46">
        <f t="shared" si="20"/>
        <v>-7.4535747021752495E-3</v>
      </c>
    </row>
    <row r="52" spans="1:12" x14ac:dyDescent="0.3">
      <c r="A52" s="27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</row>
    <row r="53" spans="1:12" x14ac:dyDescent="0.3">
      <c r="A53" s="26" t="s">
        <v>14</v>
      </c>
      <c r="B53" s="402">
        <f>B22/B9</f>
        <v>0.10067846837713483</v>
      </c>
      <c r="C53" s="402">
        <f t="shared" ref="C53:L53" si="21">C22/C9</f>
        <v>0.10241835206942929</v>
      </c>
      <c r="D53" s="402">
        <f t="shared" si="21"/>
        <v>9.4246782740348214E-2</v>
      </c>
      <c r="E53" s="402">
        <f t="shared" si="21"/>
        <v>9.5146282169502897E-2</v>
      </c>
      <c r="F53" s="402">
        <f t="shared" si="21"/>
        <v>9.7107516650808759E-2</v>
      </c>
      <c r="G53" s="402">
        <f t="shared" si="21"/>
        <v>9.8227138178410084E-2</v>
      </c>
      <c r="H53" s="402">
        <f t="shared" si="21"/>
        <v>9.7953538254977393E-2</v>
      </c>
      <c r="I53" s="402">
        <f t="shared" si="21"/>
        <v>9.8375026399785404E-2</v>
      </c>
      <c r="J53" s="402">
        <f t="shared" si="21"/>
        <v>9.8070716770860517E-2</v>
      </c>
      <c r="K53" s="402">
        <f t="shared" si="21"/>
        <v>9.8556944628785406E-2</v>
      </c>
      <c r="L53" s="402">
        <f t="shared" si="21"/>
        <v>9.8704470339725167E-2</v>
      </c>
    </row>
    <row r="54" spans="1:12" x14ac:dyDescent="0.3">
      <c r="A54" s="27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2" x14ac:dyDescent="0.3">
      <c r="A55" s="27" t="s">
        <v>15</v>
      </c>
      <c r="B55" s="46">
        <f>B24/B9</f>
        <v>-1.6012893498661258E-2</v>
      </c>
      <c r="C55" s="46">
        <f t="shared" ref="C55:L55" si="22">C24/C9</f>
        <v>-1.6393026619636104E-2</v>
      </c>
      <c r="D55" s="46">
        <f t="shared" si="22"/>
        <v>-1.5826078728236184E-2</v>
      </c>
      <c r="E55" s="46">
        <f t="shared" si="22"/>
        <v>-1.5885656802749601E-2</v>
      </c>
      <c r="F55" s="46">
        <f t="shared" si="22"/>
        <v>-1.6993339676498572E-2</v>
      </c>
      <c r="G55" s="46">
        <f t="shared" si="22"/>
        <v>-1.7189267958714522E-2</v>
      </c>
      <c r="H55" s="46">
        <f t="shared" si="22"/>
        <v>-1.7141389312501434E-2</v>
      </c>
      <c r="I55" s="46">
        <f t="shared" si="22"/>
        <v>-1.7215147672939128E-2</v>
      </c>
      <c r="J55" s="46">
        <f t="shared" si="22"/>
        <v>-1.716189497871418E-2</v>
      </c>
      <c r="K55" s="46">
        <f t="shared" si="22"/>
        <v>-1.7246982471782357E-2</v>
      </c>
      <c r="L55" s="46">
        <f t="shared" si="22"/>
        <v>-1.7272798748456709E-2</v>
      </c>
    </row>
    <row r="56" spans="1:12" x14ac:dyDescent="0.3">
      <c r="A56" s="2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5" thickBot="1" x14ac:dyDescent="0.35">
      <c r="A57" s="30" t="s">
        <v>16</v>
      </c>
      <c r="B57" s="404">
        <f>B26/B9</f>
        <v>8.4665574878473579E-2</v>
      </c>
      <c r="C57" s="404">
        <f t="shared" ref="C57:L57" si="23">C26/C9</f>
        <v>8.6025325449793189E-2</v>
      </c>
      <c r="D57" s="404">
        <f t="shared" si="23"/>
        <v>7.8420704012112041E-2</v>
      </c>
      <c r="E57" s="404">
        <f t="shared" si="23"/>
        <v>7.9260625366753296E-2</v>
      </c>
      <c r="F57" s="404">
        <f t="shared" si="23"/>
        <v>8.0114176974310183E-2</v>
      </c>
      <c r="G57" s="404">
        <f t="shared" si="23"/>
        <v>8.1037870219695565E-2</v>
      </c>
      <c r="H57" s="404">
        <f t="shared" si="23"/>
        <v>8.0812148942475959E-2</v>
      </c>
      <c r="I57" s="404">
        <f t="shared" si="23"/>
        <v>8.1159878726846282E-2</v>
      </c>
      <c r="J57" s="404">
        <f t="shared" si="23"/>
        <v>8.090882179214634E-2</v>
      </c>
      <c r="K57" s="404">
        <f t="shared" si="23"/>
        <v>8.1309962157003049E-2</v>
      </c>
      <c r="L57" s="404">
        <f t="shared" si="23"/>
        <v>8.1431671591268448E-2</v>
      </c>
    </row>
    <row r="58" spans="1:12" ht="15" thickTop="1" x14ac:dyDescent="0.3">
      <c r="B58" s="405"/>
      <c r="C58" s="405"/>
      <c r="D58" s="405"/>
      <c r="E58" s="405"/>
      <c r="F58" s="405"/>
      <c r="G58" s="405"/>
      <c r="H58" s="405"/>
      <c r="I58" s="405"/>
      <c r="J58" s="405"/>
      <c r="K58" s="405"/>
      <c r="L58" s="40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C2E1-2787-46D3-910F-76F43AA04DA4}">
  <dimension ref="A1:N97"/>
  <sheetViews>
    <sheetView zoomScale="80" zoomScaleNormal="80" workbookViewId="0">
      <pane ySplit="5" topLeftCell="A6" activePane="bottomLeft" state="frozen"/>
      <selection pane="bottomLeft" activeCell="G42" sqref="G42"/>
    </sheetView>
  </sheetViews>
  <sheetFormatPr defaultRowHeight="14.4" x14ac:dyDescent="0.3"/>
  <cols>
    <col min="1" max="1" width="27.44140625" customWidth="1"/>
    <col min="2" max="12" width="13.88671875" customWidth="1"/>
    <col min="14" max="14" width="83.33203125" customWidth="1"/>
  </cols>
  <sheetData>
    <row r="1" spans="1:14" ht="18" x14ac:dyDescent="0.35">
      <c r="A1" s="33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4" x14ac:dyDescent="0.3">
      <c r="A2" s="34" t="s">
        <v>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3">
      <c r="A3" s="25" t="s">
        <v>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4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4" x14ac:dyDescent="0.3">
      <c r="A5" s="50">
        <v>46387</v>
      </c>
      <c r="B5" s="37">
        <v>2021</v>
      </c>
      <c r="C5" s="37">
        <v>2022</v>
      </c>
      <c r="D5" s="37">
        <v>2023</v>
      </c>
      <c r="E5" s="37">
        <v>2024</v>
      </c>
      <c r="F5" s="37">
        <v>2025</v>
      </c>
      <c r="G5" s="37">
        <v>2026</v>
      </c>
      <c r="H5" s="37">
        <v>2027</v>
      </c>
      <c r="I5" s="37">
        <v>2028</v>
      </c>
      <c r="J5" s="37">
        <v>2029</v>
      </c>
      <c r="K5" s="37">
        <v>2030</v>
      </c>
      <c r="L5" s="37">
        <v>2031</v>
      </c>
      <c r="N5" s="426" t="s">
        <v>395</v>
      </c>
    </row>
    <row r="6" spans="1:14" x14ac:dyDescent="0.3">
      <c r="A6" s="26" t="s">
        <v>23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4" x14ac:dyDescent="0.3">
      <c r="A7" s="26" t="s">
        <v>24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4" x14ac:dyDescent="0.3">
      <c r="A8" s="27" t="s">
        <v>25</v>
      </c>
      <c r="B8" s="45">
        <v>1603</v>
      </c>
      <c r="C8" s="45">
        <v>1242</v>
      </c>
      <c r="D8" s="45">
        <v>1913</v>
      </c>
      <c r="E8" s="45">
        <v>1697</v>
      </c>
      <c r="F8" s="45">
        <v>2333</v>
      </c>
      <c r="G8" s="41">
        <f>'Cash flow'!G56</f>
        <v>2844.2744011763589</v>
      </c>
      <c r="H8" s="41">
        <f>'Cash flow'!H56</f>
        <v>3601.6706340037431</v>
      </c>
      <c r="I8" s="41">
        <f>'Cash flow'!I56</f>
        <v>4561.0230835981347</v>
      </c>
      <c r="J8" s="41">
        <f>'Cash flow'!J56</f>
        <v>5725.1223190718201</v>
      </c>
      <c r="K8" s="41">
        <f>'Cash flow'!K56</f>
        <v>7167.2797700834635</v>
      </c>
      <c r="L8" s="41">
        <f>'Cash flow'!L56</f>
        <v>8521.6068785348598</v>
      </c>
    </row>
    <row r="9" spans="1:14" x14ac:dyDescent="0.3">
      <c r="A9" s="27" t="s">
        <v>26</v>
      </c>
      <c r="B9" s="45">
        <v>3041</v>
      </c>
      <c r="C9" s="45">
        <v>3008</v>
      </c>
      <c r="D9" s="45">
        <v>3004</v>
      </c>
      <c r="E9" s="45">
        <v>2977</v>
      </c>
      <c r="F9" s="45">
        <v>2406</v>
      </c>
      <c r="G9" s="41">
        <f>Schedules!G116</f>
        <v>2553.3666025316456</v>
      </c>
      <c r="H9" s="41">
        <f>Schedules!H116</f>
        <v>2668.4842182714069</v>
      </c>
      <c r="I9" s="41">
        <f>Schedules!I116</f>
        <v>2795.2433805326</v>
      </c>
      <c r="J9" s="41">
        <f>Schedules!J116</f>
        <v>2931.2987628893015</v>
      </c>
      <c r="K9" s="41">
        <f>Schedules!K116</f>
        <v>3075.8758099158649</v>
      </c>
      <c r="L9" s="41">
        <f>Schedules!L116</f>
        <v>3229.6537856391724</v>
      </c>
      <c r="N9" t="s">
        <v>428</v>
      </c>
    </row>
    <row r="10" spans="1:14" x14ac:dyDescent="0.3">
      <c r="A10" s="27" t="s">
        <v>27</v>
      </c>
      <c r="B10" s="45">
        <v>8498</v>
      </c>
      <c r="C10" s="45">
        <v>8795</v>
      </c>
      <c r="D10" s="45">
        <v>7997</v>
      </c>
      <c r="E10" s="45">
        <v>8248</v>
      </c>
      <c r="F10" s="45">
        <v>8380</v>
      </c>
      <c r="G10" s="41">
        <f>G59*'Income statement'!G9</f>
        <v>8771.5652698734175</v>
      </c>
      <c r="H10" s="41">
        <f>H59*'Income statement'!H9</f>
        <v>9167.0281380617744</v>
      </c>
      <c r="I10" s="41">
        <f>I59*'Income statement'!I9</f>
        <v>9602.4831425355187</v>
      </c>
      <c r="J10" s="41">
        <f>J59*'Income statement'!J9</f>
        <v>10069.873397219719</v>
      </c>
      <c r="K10" s="41">
        <f>K59*'Income statement'!K9</f>
        <v>10566.538076416853</v>
      </c>
      <c r="L10" s="41">
        <f>L59*'Income statement'!L9</f>
        <v>11094.810651842803</v>
      </c>
      <c r="N10" t="s">
        <v>429</v>
      </c>
    </row>
    <row r="11" spans="1:14" x14ac:dyDescent="0.3">
      <c r="A11" s="27" t="s">
        <v>28</v>
      </c>
      <c r="B11" s="45">
        <v>5340</v>
      </c>
      <c r="C11" s="45">
        <v>6322</v>
      </c>
      <c r="D11" s="45">
        <v>8578</v>
      </c>
      <c r="E11" s="45">
        <v>9724</v>
      </c>
      <c r="F11" s="45">
        <v>9232</v>
      </c>
      <c r="G11" s="41">
        <f>Schedules!G117</f>
        <v>9560.3617873575768</v>
      </c>
      <c r="H11" s="41">
        <f>Schedules!H117</f>
        <v>9991.2607695352181</v>
      </c>
      <c r="I11" s="41">
        <f>Schedules!I117</f>
        <v>10465.708232253852</v>
      </c>
      <c r="J11" s="41">
        <f>Schedules!J117</f>
        <v>10974.946971951822</v>
      </c>
      <c r="K11" s="41">
        <f>Schedules!K117</f>
        <v>11516.089330141449</v>
      </c>
      <c r="L11" s="41">
        <f>Schedules!L117</f>
        <v>12091.680338979584</v>
      </c>
      <c r="N11" t="s">
        <v>430</v>
      </c>
    </row>
    <row r="12" spans="1:14" x14ac:dyDescent="0.3">
      <c r="A12" s="27" t="s">
        <v>29</v>
      </c>
      <c r="B12" s="45">
        <v>1505</v>
      </c>
      <c r="C12" s="45">
        <v>1696</v>
      </c>
      <c r="D12" s="45">
        <v>2123</v>
      </c>
      <c r="E12" s="45">
        <v>1740</v>
      </c>
      <c r="F12" s="45">
        <v>1897</v>
      </c>
      <c r="G12" s="41">
        <f>G61*'Income statement'!G9</f>
        <v>2192.8913174683544</v>
      </c>
      <c r="H12" s="41">
        <f>H61*'Income statement'!H9</f>
        <v>2291.7570345154436</v>
      </c>
      <c r="I12" s="41">
        <f>I61*'Income statement'!I9</f>
        <v>2400.6207856338797</v>
      </c>
      <c r="J12" s="41">
        <f>J61*'Income statement'!J9</f>
        <v>2517.4683493049297</v>
      </c>
      <c r="K12" s="41">
        <f>K61*'Income statement'!K9</f>
        <v>2641.6345191042133</v>
      </c>
      <c r="L12" s="41">
        <f>L61*'Income statement'!L9</f>
        <v>2773.7026629607008</v>
      </c>
      <c r="N12" t="s">
        <v>431</v>
      </c>
    </row>
    <row r="13" spans="1:14" x14ac:dyDescent="0.3">
      <c r="A13" s="38" t="s">
        <v>30</v>
      </c>
      <c r="B13" s="42">
        <f t="shared" ref="B13:L13" si="0">SUM(B8:B12)</f>
        <v>19987</v>
      </c>
      <c r="C13" s="42">
        <f t="shared" si="0"/>
        <v>21063</v>
      </c>
      <c r="D13" s="42">
        <f t="shared" si="0"/>
        <v>23615</v>
      </c>
      <c r="E13" s="42">
        <f t="shared" si="0"/>
        <v>24386</v>
      </c>
      <c r="F13" s="42">
        <f t="shared" si="0"/>
        <v>24248</v>
      </c>
      <c r="G13" s="42">
        <f t="shared" si="0"/>
        <v>25922.459378407351</v>
      </c>
      <c r="H13" s="42">
        <f t="shared" si="0"/>
        <v>27720.200794387587</v>
      </c>
      <c r="I13" s="42">
        <f t="shared" si="0"/>
        <v>29825.078624553986</v>
      </c>
      <c r="J13" s="42">
        <f t="shared" si="0"/>
        <v>32218.709800437595</v>
      </c>
      <c r="K13" s="42">
        <f t="shared" si="0"/>
        <v>34967.417505661841</v>
      </c>
      <c r="L13" s="42">
        <f t="shared" si="0"/>
        <v>37711.454317957119</v>
      </c>
    </row>
    <row r="14" spans="1:14" x14ac:dyDescent="0.3">
      <c r="A14" s="27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</row>
    <row r="15" spans="1:14" x14ac:dyDescent="0.3">
      <c r="A15" s="26" t="s">
        <v>31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 spans="1:14" x14ac:dyDescent="0.3">
      <c r="A16" s="27" t="s">
        <v>32</v>
      </c>
      <c r="B16" s="45">
        <v>5417</v>
      </c>
      <c r="C16" s="45">
        <v>5900</v>
      </c>
      <c r="D16" s="45">
        <v>6198</v>
      </c>
      <c r="E16" s="45">
        <v>6467</v>
      </c>
      <c r="F16" s="45">
        <v>7525</v>
      </c>
      <c r="G16" s="41">
        <f>Schedules!G50</f>
        <v>8880</v>
      </c>
      <c r="H16" s="41">
        <f>Schedules!H50</f>
        <v>10065</v>
      </c>
      <c r="I16" s="41">
        <f>Schedules!I50</f>
        <v>10960</v>
      </c>
      <c r="J16" s="41">
        <f>Schedules!J50</f>
        <v>11552</v>
      </c>
      <c r="K16" s="41">
        <f>Schedules!K50</f>
        <v>11827</v>
      </c>
      <c r="L16" s="41">
        <f>Schedules!L50</f>
        <v>12107</v>
      </c>
      <c r="N16" t="s">
        <v>488</v>
      </c>
    </row>
    <row r="17" spans="1:14" x14ac:dyDescent="0.3">
      <c r="A17" s="27" t="s">
        <v>33</v>
      </c>
      <c r="B17" s="45">
        <v>1978</v>
      </c>
      <c r="C17" s="45">
        <v>1824</v>
      </c>
      <c r="D17" s="45">
        <v>1656</v>
      </c>
      <c r="E17" s="45">
        <v>1520</v>
      </c>
      <c r="F17" s="45">
        <v>1375</v>
      </c>
      <c r="G17" s="41">
        <f t="shared" ref="G17:L17" si="1">F17+G66</f>
        <v>1225</v>
      </c>
      <c r="H17" s="41">
        <f t="shared" si="1"/>
        <v>1075</v>
      </c>
      <c r="I17" s="41">
        <f t="shared" si="1"/>
        <v>925</v>
      </c>
      <c r="J17" s="41">
        <f t="shared" si="1"/>
        <v>775</v>
      </c>
      <c r="K17" s="41">
        <f t="shared" si="1"/>
        <v>625</v>
      </c>
      <c r="L17" s="41">
        <f t="shared" si="1"/>
        <v>475</v>
      </c>
      <c r="N17" t="s">
        <v>432</v>
      </c>
    </row>
    <row r="18" spans="1:14" x14ac:dyDescent="0.3">
      <c r="A18" s="27" t="s">
        <v>34</v>
      </c>
      <c r="B18" s="45">
        <v>20098</v>
      </c>
      <c r="C18" s="45">
        <v>20334</v>
      </c>
      <c r="D18" s="45">
        <v>20586</v>
      </c>
      <c r="E18" s="45">
        <v>20556</v>
      </c>
      <c r="F18" s="45">
        <v>21009</v>
      </c>
      <c r="G18" s="41">
        <v>21009</v>
      </c>
      <c r="H18" s="41">
        <v>21009</v>
      </c>
      <c r="I18" s="41">
        <v>21009</v>
      </c>
      <c r="J18" s="41">
        <v>21009</v>
      </c>
      <c r="K18" s="41">
        <v>21009</v>
      </c>
      <c r="L18" s="41">
        <v>21009</v>
      </c>
      <c r="N18" t="s">
        <v>433</v>
      </c>
    </row>
    <row r="19" spans="1:14" x14ac:dyDescent="0.3">
      <c r="A19" s="27" t="s">
        <v>35</v>
      </c>
      <c r="B19" s="45">
        <v>2593</v>
      </c>
      <c r="C19" s="45">
        <v>2464</v>
      </c>
      <c r="D19" s="45">
        <v>2755</v>
      </c>
      <c r="E19" s="45">
        <v>2951</v>
      </c>
      <c r="F19" s="45">
        <v>3092</v>
      </c>
      <c r="G19" s="41">
        <f>'Income statement'!G9*'Balance sheet'!G68</f>
        <v>3462.4584444908946</v>
      </c>
      <c r="H19" s="41">
        <f>'Income statement'!H9*'Balance sheet'!H68</f>
        <v>3618.5621392492562</v>
      </c>
      <c r="I19" s="41">
        <f>'Income statement'!I9*'Balance sheet'!I68</f>
        <v>3790.4521966161437</v>
      </c>
      <c r="J19" s="41">
        <f>'Income statement'!J9*'Balance sheet'!J68</f>
        <v>3974.9482682308976</v>
      </c>
      <c r="K19" s="41">
        <f>'Income statement'!K9*'Balance sheet'!K68</f>
        <v>4171.0000286245468</v>
      </c>
      <c r="L19" s="41">
        <f>'Income statement'!L9*'Balance sheet'!L68</f>
        <v>4379.5285846462175</v>
      </c>
      <c r="N19" t="s">
        <v>434</v>
      </c>
    </row>
    <row r="20" spans="1:14" x14ac:dyDescent="0.3">
      <c r="A20" s="38" t="s">
        <v>36</v>
      </c>
      <c r="B20" s="42">
        <f t="shared" ref="B20:L20" si="2">SUM(B16:B19)</f>
        <v>30086</v>
      </c>
      <c r="C20" s="42">
        <f t="shared" si="2"/>
        <v>30522</v>
      </c>
      <c r="D20" s="42">
        <f t="shared" si="2"/>
        <v>31195</v>
      </c>
      <c r="E20" s="42">
        <f t="shared" si="2"/>
        <v>31494</v>
      </c>
      <c r="F20" s="42">
        <f t="shared" si="2"/>
        <v>33001</v>
      </c>
      <c r="G20" s="42">
        <f t="shared" si="2"/>
        <v>34576.458444490898</v>
      </c>
      <c r="H20" s="42">
        <f t="shared" si="2"/>
        <v>35767.562139249254</v>
      </c>
      <c r="I20" s="42">
        <f t="shared" si="2"/>
        <v>36684.452196616141</v>
      </c>
      <c r="J20" s="42">
        <f t="shared" si="2"/>
        <v>37310.948268230895</v>
      </c>
      <c r="K20" s="42">
        <f t="shared" si="2"/>
        <v>37632.000028624549</v>
      </c>
      <c r="L20" s="42">
        <f t="shared" si="2"/>
        <v>37970.528584646221</v>
      </c>
    </row>
    <row r="21" spans="1:14" x14ac:dyDescent="0.3">
      <c r="A21" s="27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4" ht="15" thickBot="1" x14ac:dyDescent="0.35">
      <c r="A22" s="39" t="s">
        <v>37</v>
      </c>
      <c r="B22" s="44">
        <f t="shared" ref="B22:L22" si="3">B13+B20</f>
        <v>50073</v>
      </c>
      <c r="C22" s="44">
        <f t="shared" si="3"/>
        <v>51585</v>
      </c>
      <c r="D22" s="44">
        <f t="shared" si="3"/>
        <v>54810</v>
      </c>
      <c r="E22" s="44">
        <f t="shared" si="3"/>
        <v>55880</v>
      </c>
      <c r="F22" s="44">
        <f t="shared" si="3"/>
        <v>57249</v>
      </c>
      <c r="G22" s="44">
        <f t="shared" si="3"/>
        <v>60498.917822898249</v>
      </c>
      <c r="H22" s="44">
        <f t="shared" si="3"/>
        <v>63487.762933636841</v>
      </c>
      <c r="I22" s="44">
        <f t="shared" si="3"/>
        <v>66509.530821170134</v>
      </c>
      <c r="J22" s="44">
        <f t="shared" si="3"/>
        <v>69529.65806866849</v>
      </c>
      <c r="K22" s="44">
        <f t="shared" si="3"/>
        <v>72599.417534286389</v>
      </c>
      <c r="L22" s="44">
        <f t="shared" si="3"/>
        <v>75681.98290260334</v>
      </c>
    </row>
    <row r="23" spans="1:14" ht="15" thickTop="1" x14ac:dyDescent="0.3">
      <c r="A23" s="27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spans="1:14" x14ac:dyDescent="0.3">
      <c r="A24" s="26" t="s">
        <v>38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spans="1:14" x14ac:dyDescent="0.3">
      <c r="A25" s="26" t="s">
        <v>39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1:14" x14ac:dyDescent="0.3">
      <c r="A26" s="27" t="s">
        <v>40</v>
      </c>
      <c r="B26" s="45">
        <v>1005</v>
      </c>
      <c r="C26" s="45">
        <v>1253</v>
      </c>
      <c r="D26" s="45">
        <v>507</v>
      </c>
      <c r="E26" s="45">
        <v>1502</v>
      </c>
      <c r="F26" s="45">
        <v>1006</v>
      </c>
      <c r="G26" s="41">
        <f>Schedules!G88</f>
        <v>1257</v>
      </c>
      <c r="H26" s="41">
        <f>Schedules!H88</f>
        <v>1007</v>
      </c>
      <c r="I26" s="41">
        <f>Schedules!I88</f>
        <v>7</v>
      </c>
      <c r="J26" s="41">
        <f>Schedules!J88</f>
        <v>1007</v>
      </c>
      <c r="K26" s="41">
        <f>Schedules!K88</f>
        <v>500</v>
      </c>
      <c r="L26" s="41">
        <f>Schedules!L88</f>
        <v>0</v>
      </c>
      <c r="N26" t="s">
        <v>435</v>
      </c>
    </row>
    <row r="27" spans="1:14" x14ac:dyDescent="0.3">
      <c r="A27" s="27" t="s">
        <v>41</v>
      </c>
      <c r="B27" s="45">
        <v>3167</v>
      </c>
      <c r="C27" s="45">
        <v>3398</v>
      </c>
      <c r="D27" s="45">
        <v>3095</v>
      </c>
      <c r="E27" s="45">
        <v>3344</v>
      </c>
      <c r="F27" s="45">
        <v>2678</v>
      </c>
      <c r="G27" s="41">
        <f>Schedules!G118</f>
        <v>2804.3727909582226</v>
      </c>
      <c r="H27" s="41">
        <f>Schedules!H118</f>
        <v>2930.7698257303309</v>
      </c>
      <c r="I27" s="41">
        <f>Schedules!I118</f>
        <v>3069.9410814611301</v>
      </c>
      <c r="J27" s="41">
        <f>Schedules!J118</f>
        <v>3219.3177784392014</v>
      </c>
      <c r="K27" s="41">
        <f>Schedules!K118</f>
        <v>3378.0528701748253</v>
      </c>
      <c r="L27" s="41">
        <f>Schedules!L118</f>
        <v>3546.8928994340117</v>
      </c>
      <c r="N27" t="s">
        <v>436</v>
      </c>
    </row>
    <row r="28" spans="1:14" x14ac:dyDescent="0.3">
      <c r="A28" s="27" t="s">
        <v>42</v>
      </c>
      <c r="B28" s="45">
        <v>6266</v>
      </c>
      <c r="C28" s="45">
        <v>7436</v>
      </c>
      <c r="D28" s="45">
        <v>9564</v>
      </c>
      <c r="E28" s="45">
        <v>9491</v>
      </c>
      <c r="F28" s="45">
        <v>9824</v>
      </c>
      <c r="G28" s="41">
        <f>G77*'Income statement'!G9</f>
        <v>10566.2569853677</v>
      </c>
      <c r="H28" s="41">
        <f>H77*'Income statement'!H9</f>
        <v>11042.632884638533</v>
      </c>
      <c r="I28" s="41">
        <f>I77*'Income statement'!I9</f>
        <v>11567.183445601348</v>
      </c>
      <c r="J28" s="41">
        <f>J77*'Income statement'!J9</f>
        <v>12130.203316229406</v>
      </c>
      <c r="K28" s="41">
        <f>K77*'Income statement'!K9</f>
        <v>12728.487256950497</v>
      </c>
      <c r="L28" s="41">
        <f>L77*'Income statement'!L9</f>
        <v>13364.846175631061</v>
      </c>
      <c r="N28" t="s">
        <v>437</v>
      </c>
    </row>
    <row r="29" spans="1:14" x14ac:dyDescent="0.3">
      <c r="A29" s="27" t="s">
        <v>43</v>
      </c>
      <c r="B29" s="45">
        <v>3540</v>
      </c>
      <c r="C29" s="45">
        <v>3254</v>
      </c>
      <c r="D29" s="45">
        <v>3266</v>
      </c>
      <c r="E29" s="45">
        <v>3487</v>
      </c>
      <c r="F29" s="45">
        <v>3288</v>
      </c>
      <c r="G29" s="41">
        <f>G78*'Income statement'!G9</f>
        <v>3289.3369762025313</v>
      </c>
      <c r="H29" s="41">
        <f>H78*'Income statement'!H9</f>
        <v>3437.6355517731649</v>
      </c>
      <c r="I29" s="41">
        <f>I78*'Income statement'!I9</f>
        <v>3600.9311784508195</v>
      </c>
      <c r="J29" s="41">
        <f>J78*'Income statement'!J9</f>
        <v>3776.2025239573941</v>
      </c>
      <c r="K29" s="41">
        <f>K78*'Income statement'!K9</f>
        <v>3962.4517786563197</v>
      </c>
      <c r="L29" s="41">
        <f>L78*'Income statement'!L9</f>
        <v>4160.5539944410511</v>
      </c>
      <c r="N29" t="s">
        <v>438</v>
      </c>
    </row>
    <row r="30" spans="1:14" x14ac:dyDescent="0.3">
      <c r="A30" s="38" t="s">
        <v>44</v>
      </c>
      <c r="B30" s="42">
        <f t="shared" ref="B30:L30" si="4">SUM(B26:B29)</f>
        <v>13978</v>
      </c>
      <c r="C30" s="42">
        <f t="shared" si="4"/>
        <v>15341</v>
      </c>
      <c r="D30" s="42">
        <f t="shared" si="4"/>
        <v>16432</v>
      </c>
      <c r="E30" s="42">
        <f t="shared" si="4"/>
        <v>17824</v>
      </c>
      <c r="F30" s="42">
        <f t="shared" si="4"/>
        <v>16796</v>
      </c>
      <c r="G30" s="42">
        <f t="shared" si="4"/>
        <v>17916.966752528453</v>
      </c>
      <c r="H30" s="42">
        <f t="shared" si="4"/>
        <v>18418.038262142029</v>
      </c>
      <c r="I30" s="42">
        <f t="shared" si="4"/>
        <v>18245.055705513299</v>
      </c>
      <c r="J30" s="42">
        <f t="shared" si="4"/>
        <v>20132.723618626002</v>
      </c>
      <c r="K30" s="42">
        <f t="shared" si="4"/>
        <v>20568.991905781641</v>
      </c>
      <c r="L30" s="42">
        <f t="shared" si="4"/>
        <v>21072.293069506126</v>
      </c>
    </row>
    <row r="31" spans="1:14" x14ac:dyDescent="0.3">
      <c r="A31" s="27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spans="1:14" x14ac:dyDescent="0.3">
      <c r="A32" s="26" t="s">
        <v>45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spans="1:14" x14ac:dyDescent="0.3">
      <c r="A33" s="27" t="s">
        <v>46</v>
      </c>
      <c r="B33" s="45">
        <v>10490</v>
      </c>
      <c r="C33" s="45">
        <v>9243</v>
      </c>
      <c r="D33" s="45">
        <v>8754</v>
      </c>
      <c r="E33" s="45">
        <v>7260</v>
      </c>
      <c r="F33" s="45">
        <v>7007</v>
      </c>
      <c r="G33" s="41">
        <f>Schedules!G89</f>
        <v>7231</v>
      </c>
      <c r="H33" s="41">
        <f>Schedules!H89</f>
        <v>7930</v>
      </c>
      <c r="I33" s="41">
        <f>Schedules!I89</f>
        <v>9354</v>
      </c>
      <c r="J33" s="41">
        <f>Schedules!J89</f>
        <v>8753</v>
      </c>
      <c r="K33" s="41">
        <f>Schedules!K89</f>
        <v>9659</v>
      </c>
      <c r="L33" s="41">
        <f>Schedules!L89</f>
        <v>10515</v>
      </c>
      <c r="N33" t="s">
        <v>439</v>
      </c>
    </row>
    <row r="34" spans="1:14" x14ac:dyDescent="0.3">
      <c r="A34" s="27" t="s">
        <v>47</v>
      </c>
      <c r="B34" s="45">
        <v>7964</v>
      </c>
      <c r="C34" s="45">
        <v>8433</v>
      </c>
      <c r="D34" s="45">
        <v>8325</v>
      </c>
      <c r="E34" s="45">
        <v>8733</v>
      </c>
      <c r="F34" s="45">
        <v>7824</v>
      </c>
      <c r="G34" s="41">
        <f>'Income statement'!G9*'Balance sheet'!G83</f>
        <v>8223.3424405063288</v>
      </c>
      <c r="H34" s="41">
        <f>'Income statement'!H9*'Balance sheet'!H83</f>
        <v>8594.088879432913</v>
      </c>
      <c r="I34" s="41">
        <f>'Income statement'!I9*'Balance sheet'!I83</f>
        <v>9002.3279461270486</v>
      </c>
      <c r="J34" s="41">
        <f>'Income statement'!J9*'Balance sheet'!J83</f>
        <v>9440.5063098934843</v>
      </c>
      <c r="K34" s="41">
        <f>'Income statement'!K9*'Balance sheet'!K83</f>
        <v>9906.1294466407981</v>
      </c>
      <c r="L34" s="41">
        <f>'Income statement'!L9*'Balance sheet'!L83</f>
        <v>10401.384986102626</v>
      </c>
      <c r="N34" t="s">
        <v>440</v>
      </c>
    </row>
    <row r="35" spans="1:14" x14ac:dyDescent="0.3">
      <c r="A35" s="38" t="s">
        <v>48</v>
      </c>
      <c r="B35" s="42">
        <f t="shared" ref="B35:L35" si="5">SUM(B33:B34)</f>
        <v>18454</v>
      </c>
      <c r="C35" s="42">
        <f t="shared" si="5"/>
        <v>17676</v>
      </c>
      <c r="D35" s="42">
        <f t="shared" si="5"/>
        <v>17079</v>
      </c>
      <c r="E35" s="42">
        <f t="shared" si="5"/>
        <v>15993</v>
      </c>
      <c r="F35" s="42">
        <f t="shared" si="5"/>
        <v>14831</v>
      </c>
      <c r="G35" s="42">
        <f t="shared" si="5"/>
        <v>15454.342440506329</v>
      </c>
      <c r="H35" s="42">
        <f t="shared" si="5"/>
        <v>16524.088879432915</v>
      </c>
      <c r="I35" s="42">
        <f t="shared" si="5"/>
        <v>18356.32794612705</v>
      </c>
      <c r="J35" s="42">
        <f t="shared" si="5"/>
        <v>18193.506309893484</v>
      </c>
      <c r="K35" s="42">
        <f t="shared" si="5"/>
        <v>19565.1294466408</v>
      </c>
      <c r="L35" s="42">
        <f t="shared" si="5"/>
        <v>20916.384986102625</v>
      </c>
    </row>
    <row r="36" spans="1:14" x14ac:dyDescent="0.3">
      <c r="A36" s="27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spans="1:14" x14ac:dyDescent="0.3">
      <c r="A37" s="38" t="s">
        <v>49</v>
      </c>
      <c r="B37" s="42">
        <f t="shared" ref="B37:L37" si="6">B30+B35</f>
        <v>32432</v>
      </c>
      <c r="C37" s="42">
        <f t="shared" si="6"/>
        <v>33017</v>
      </c>
      <c r="D37" s="42">
        <f t="shared" si="6"/>
        <v>33511</v>
      </c>
      <c r="E37" s="42">
        <f t="shared" si="6"/>
        <v>33817</v>
      </c>
      <c r="F37" s="42">
        <f t="shared" si="6"/>
        <v>31627</v>
      </c>
      <c r="G37" s="42">
        <f t="shared" si="6"/>
        <v>33371.30919303478</v>
      </c>
      <c r="H37" s="42">
        <f t="shared" si="6"/>
        <v>34942.127141574943</v>
      </c>
      <c r="I37" s="42">
        <f t="shared" si="6"/>
        <v>36601.383651640353</v>
      </c>
      <c r="J37" s="42">
        <f t="shared" si="6"/>
        <v>38326.229928519489</v>
      </c>
      <c r="K37" s="42">
        <f t="shared" si="6"/>
        <v>40134.121352422444</v>
      </c>
      <c r="L37" s="42">
        <f t="shared" si="6"/>
        <v>41988.678055608747</v>
      </c>
    </row>
    <row r="38" spans="1:14" x14ac:dyDescent="0.3">
      <c r="A38" s="27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spans="1:14" x14ac:dyDescent="0.3">
      <c r="A39" s="26" t="s">
        <v>50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spans="1:14" x14ac:dyDescent="0.3">
      <c r="A40" s="27" t="s">
        <v>51</v>
      </c>
      <c r="B40" s="45">
        <v>482</v>
      </c>
      <c r="C40" s="45">
        <v>482</v>
      </c>
      <c r="D40" s="45">
        <v>482</v>
      </c>
      <c r="E40" s="45">
        <v>482</v>
      </c>
      <c r="F40" s="45">
        <v>482</v>
      </c>
      <c r="G40" s="41">
        <f>Equity!G45</f>
        <v>482</v>
      </c>
      <c r="H40" s="41">
        <f>Equity!H45</f>
        <v>482</v>
      </c>
      <c r="I40" s="41">
        <f>Equity!I45</f>
        <v>482</v>
      </c>
      <c r="J40" s="41">
        <f>Equity!J45</f>
        <v>482</v>
      </c>
      <c r="K40" s="41">
        <f>Equity!K45</f>
        <v>482</v>
      </c>
      <c r="L40" s="41">
        <f>Equity!L45</f>
        <v>482</v>
      </c>
      <c r="N40" t="s">
        <v>441</v>
      </c>
    </row>
    <row r="41" spans="1:14" x14ac:dyDescent="0.3">
      <c r="A41" s="27" t="s">
        <v>52</v>
      </c>
      <c r="B41" s="45">
        <v>3278</v>
      </c>
      <c r="C41" s="45">
        <v>3556</v>
      </c>
      <c r="D41" s="45">
        <v>3760</v>
      </c>
      <c r="E41" s="45">
        <v>4062</v>
      </c>
      <c r="F41" s="45">
        <v>4403</v>
      </c>
      <c r="G41" s="41">
        <f>Equity!G32</f>
        <v>4743</v>
      </c>
      <c r="H41" s="41">
        <f>Equity!H32</f>
        <v>5083</v>
      </c>
      <c r="I41" s="41">
        <f>Equity!I32</f>
        <v>5423</v>
      </c>
      <c r="J41" s="41">
        <f>Equity!J32</f>
        <v>5763</v>
      </c>
      <c r="K41" s="41">
        <f>Equity!K32</f>
        <v>6103</v>
      </c>
      <c r="L41" s="41">
        <f>Equity!L32</f>
        <v>6443</v>
      </c>
      <c r="N41" t="s">
        <v>442</v>
      </c>
    </row>
    <row r="42" spans="1:14" x14ac:dyDescent="0.3">
      <c r="A42" s="27" t="s">
        <v>53</v>
      </c>
      <c r="B42" s="45">
        <v>35420</v>
      </c>
      <c r="C42" s="45">
        <v>37403</v>
      </c>
      <c r="D42" s="45">
        <v>39270</v>
      </c>
      <c r="E42" s="45">
        <v>41487</v>
      </c>
      <c r="F42" s="45">
        <v>44080</v>
      </c>
      <c r="G42" s="41">
        <f>Equity!G13</f>
        <v>46745.608629863469</v>
      </c>
      <c r="H42" s="41">
        <f>Equity!H13</f>
        <v>49523.635792061905</v>
      </c>
      <c r="I42" s="41">
        <f>Equity!I13</f>
        <v>52446.147169529788</v>
      </c>
      <c r="J42" s="41">
        <f>Equity!J13</f>
        <v>55501.428140149008</v>
      </c>
      <c r="K42" s="41">
        <f>Equity!K13</f>
        <v>58723.296181863952</v>
      </c>
      <c r="L42" s="41">
        <f>Equity!L13</f>
        <v>62111.304846994593</v>
      </c>
      <c r="N42" t="s">
        <v>443</v>
      </c>
    </row>
    <row r="43" spans="1:14" x14ac:dyDescent="0.3">
      <c r="A43" s="27" t="s">
        <v>54</v>
      </c>
      <c r="B43" s="45">
        <v>-19619</v>
      </c>
      <c r="C43" s="45">
        <v>-20721</v>
      </c>
      <c r="D43" s="45">
        <v>-21054</v>
      </c>
      <c r="E43" s="45">
        <v>-22450</v>
      </c>
      <c r="F43" s="45">
        <v>-22860</v>
      </c>
      <c r="G43" s="41">
        <f>Equity!G22</f>
        <v>-24360</v>
      </c>
      <c r="H43" s="41">
        <f>Equity!H22</f>
        <v>-26060</v>
      </c>
      <c r="I43" s="41">
        <f>Equity!I22</f>
        <v>-27960</v>
      </c>
      <c r="J43" s="41">
        <f>Equity!J22</f>
        <v>-30060</v>
      </c>
      <c r="K43" s="41">
        <f>Equity!K22</f>
        <v>-32360</v>
      </c>
      <c r="L43" s="41">
        <f>Equity!L22</f>
        <v>-34860</v>
      </c>
      <c r="N43" t="s">
        <v>444</v>
      </c>
    </row>
    <row r="44" spans="1:14" x14ac:dyDescent="0.3">
      <c r="A44" s="27" t="s">
        <v>55</v>
      </c>
      <c r="B44" s="45">
        <v>-1920</v>
      </c>
      <c r="C44" s="45">
        <v>-2152</v>
      </c>
      <c r="D44" s="45">
        <v>-1159</v>
      </c>
      <c r="E44" s="45">
        <v>-1518</v>
      </c>
      <c r="F44" s="45">
        <v>-483</v>
      </c>
      <c r="G44" s="41">
        <f>Equity!G41</f>
        <v>-483</v>
      </c>
      <c r="H44" s="41">
        <f>Equity!H41</f>
        <v>-483</v>
      </c>
      <c r="I44" s="41">
        <f>Equity!I41</f>
        <v>-483</v>
      </c>
      <c r="J44" s="41">
        <f>Equity!J41</f>
        <v>-483</v>
      </c>
      <c r="K44" s="41">
        <f>Equity!K41</f>
        <v>-483</v>
      </c>
      <c r="L44" s="41">
        <f>Equity!L41</f>
        <v>-483</v>
      </c>
      <c r="N44" t="s">
        <v>445</v>
      </c>
    </row>
    <row r="45" spans="1:14" x14ac:dyDescent="0.3">
      <c r="A45" s="38" t="s">
        <v>56</v>
      </c>
      <c r="B45" s="42">
        <f t="shared" ref="B45:L45" si="7">SUM(B40:B44)</f>
        <v>17641</v>
      </c>
      <c r="C45" s="42">
        <f t="shared" si="7"/>
        <v>18568</v>
      </c>
      <c r="D45" s="42">
        <f t="shared" si="7"/>
        <v>21299</v>
      </c>
      <c r="E45" s="42">
        <f t="shared" si="7"/>
        <v>22063</v>
      </c>
      <c r="F45" s="42">
        <f t="shared" si="7"/>
        <v>25622</v>
      </c>
      <c r="G45" s="42">
        <f t="shared" si="7"/>
        <v>27127.608629863469</v>
      </c>
      <c r="H45" s="42">
        <f t="shared" si="7"/>
        <v>28545.635792061905</v>
      </c>
      <c r="I45" s="42">
        <f t="shared" si="7"/>
        <v>29908.147169529788</v>
      </c>
      <c r="J45" s="42">
        <f t="shared" si="7"/>
        <v>31203.428140149008</v>
      </c>
      <c r="K45" s="42">
        <f t="shared" si="7"/>
        <v>32465.296181863952</v>
      </c>
      <c r="L45" s="42">
        <f t="shared" si="7"/>
        <v>33693.304846994593</v>
      </c>
    </row>
    <row r="46" spans="1:14" x14ac:dyDescent="0.3">
      <c r="A46" s="27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spans="1:14" ht="15" thickBot="1" x14ac:dyDescent="0.35">
      <c r="A47" s="39" t="s">
        <v>57</v>
      </c>
      <c r="B47" s="44">
        <f t="shared" ref="B47:L47" si="8">B37+B45</f>
        <v>50073</v>
      </c>
      <c r="C47" s="44">
        <f t="shared" si="8"/>
        <v>51585</v>
      </c>
      <c r="D47" s="44">
        <f t="shared" si="8"/>
        <v>54810</v>
      </c>
      <c r="E47" s="44">
        <f t="shared" si="8"/>
        <v>55880</v>
      </c>
      <c r="F47" s="44">
        <f t="shared" si="8"/>
        <v>57249</v>
      </c>
      <c r="G47" s="44">
        <f t="shared" si="8"/>
        <v>60498.917822898249</v>
      </c>
      <c r="H47" s="44">
        <f t="shared" si="8"/>
        <v>63487.762933636848</v>
      </c>
      <c r="I47" s="44">
        <f t="shared" si="8"/>
        <v>66509.530821170134</v>
      </c>
      <c r="J47" s="44">
        <f t="shared" si="8"/>
        <v>69529.658068668505</v>
      </c>
      <c r="K47" s="44">
        <f t="shared" si="8"/>
        <v>72599.417534286389</v>
      </c>
      <c r="L47" s="44">
        <f t="shared" si="8"/>
        <v>75681.98290260334</v>
      </c>
    </row>
    <row r="48" spans="1:14" ht="15" thickTop="1" x14ac:dyDescent="0.3">
      <c r="A48" s="27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</row>
    <row r="49" spans="1:12" x14ac:dyDescent="0.3">
      <c r="A49" s="51" t="s">
        <v>58</v>
      </c>
      <c r="B49" s="52">
        <f t="shared" ref="B49:L49" si="9">B22-B47</f>
        <v>0</v>
      </c>
      <c r="C49" s="52">
        <f t="shared" si="9"/>
        <v>0</v>
      </c>
      <c r="D49" s="52">
        <f t="shared" si="9"/>
        <v>0</v>
      </c>
      <c r="E49" s="52">
        <f t="shared" si="9"/>
        <v>0</v>
      </c>
      <c r="F49" s="52">
        <f t="shared" si="9"/>
        <v>0</v>
      </c>
      <c r="G49" s="41">
        <f t="shared" si="9"/>
        <v>0</v>
      </c>
      <c r="H49" s="41">
        <f t="shared" si="9"/>
        <v>0</v>
      </c>
      <c r="I49" s="41">
        <f t="shared" si="9"/>
        <v>0</v>
      </c>
      <c r="J49" s="41">
        <f t="shared" si="9"/>
        <v>0</v>
      </c>
      <c r="K49" s="41">
        <f t="shared" si="9"/>
        <v>0</v>
      </c>
      <c r="L49" s="41">
        <f t="shared" si="9"/>
        <v>0</v>
      </c>
    </row>
    <row r="50" spans="1:12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spans="1:12" x14ac:dyDescent="0.3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spans="1:12" x14ac:dyDescent="0.3">
      <c r="A52" s="26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2" ht="18" x14ac:dyDescent="0.35">
      <c r="A53" s="33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2" x14ac:dyDescent="0.3">
      <c r="A54" s="56">
        <v>46387</v>
      </c>
      <c r="B54" s="57">
        <v>2021</v>
      </c>
      <c r="C54" s="57">
        <v>2022</v>
      </c>
      <c r="D54" s="57">
        <v>2023</v>
      </c>
      <c r="E54" s="57">
        <v>2024</v>
      </c>
      <c r="F54" s="57">
        <v>2025</v>
      </c>
      <c r="G54" s="57">
        <v>2026</v>
      </c>
      <c r="H54" s="57">
        <v>2027</v>
      </c>
      <c r="I54" s="57">
        <v>2028</v>
      </c>
      <c r="J54" s="57">
        <v>2029</v>
      </c>
      <c r="K54" s="57">
        <v>2030</v>
      </c>
      <c r="L54" s="57">
        <v>2031</v>
      </c>
    </row>
    <row r="55" spans="1:12" x14ac:dyDescent="0.3">
      <c r="A55" s="55" t="s">
        <v>23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</row>
    <row r="56" spans="1:12" x14ac:dyDescent="0.3">
      <c r="A56" s="84" t="s">
        <v>24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spans="1:12" x14ac:dyDescent="0.3">
      <c r="A57" s="27" t="s">
        <v>25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</row>
    <row r="58" spans="1:12" x14ac:dyDescent="0.3">
      <c r="A58" s="27" t="s">
        <v>168</v>
      </c>
      <c r="B58" s="349">
        <f>B9/'Income statement'!B9*365</f>
        <v>28.85349242247004</v>
      </c>
      <c r="C58" s="349">
        <f>C9/'Income statement'!C9*365</f>
        <v>27.861039916766057</v>
      </c>
      <c r="D58" s="349">
        <f>D9/'Income statement'!D9*365</f>
        <v>25.938209689629065</v>
      </c>
      <c r="E58" s="349">
        <f>E9/'Income statement'!E9*365</f>
        <v>22.772340514712045</v>
      </c>
      <c r="F58" s="349">
        <f>F9/'Income statement'!F9*365</f>
        <v>16.71151284490961</v>
      </c>
      <c r="G58" s="349">
        <f>Schedules!G110</f>
        <v>17</v>
      </c>
      <c r="H58" s="349">
        <f>Schedules!H110</f>
        <v>17</v>
      </c>
      <c r="I58" s="349">
        <f>Schedules!I110</f>
        <v>17</v>
      </c>
      <c r="J58" s="349">
        <f>Schedules!J110</f>
        <v>17</v>
      </c>
      <c r="K58" s="349">
        <f>Schedules!K110</f>
        <v>17</v>
      </c>
      <c r="L58" s="349">
        <f>Schedules!L110</f>
        <v>17</v>
      </c>
    </row>
    <row r="59" spans="1:12" x14ac:dyDescent="0.3">
      <c r="A59" s="27" t="s">
        <v>27</v>
      </c>
      <c r="B59" s="49">
        <f>B10/'Income statement'!B9</f>
        <v>0.22090514440198603</v>
      </c>
      <c r="C59" s="49">
        <f>C10/'Income statement'!C9</f>
        <v>0.22318369832770826</v>
      </c>
      <c r="D59" s="49">
        <f>D10/'Income statement'!D9</f>
        <v>0.18917959878879637</v>
      </c>
      <c r="E59" s="49">
        <f>E10/'Income statement'!E9</f>
        <v>0.17285606505155504</v>
      </c>
      <c r="F59" s="49">
        <f>F10/'Income statement'!F9</f>
        <v>0.15946717411988581</v>
      </c>
      <c r="G59" s="49">
        <v>0.16</v>
      </c>
      <c r="H59" s="49">
        <f>G59</f>
        <v>0.16</v>
      </c>
      <c r="I59" s="49">
        <f>H59</f>
        <v>0.16</v>
      </c>
      <c r="J59" s="49">
        <f>I59</f>
        <v>0.16</v>
      </c>
      <c r="K59" s="49">
        <f>J59</f>
        <v>0.16</v>
      </c>
      <c r="L59" s="49">
        <f>K59</f>
        <v>0.16</v>
      </c>
    </row>
    <row r="60" spans="1:12" x14ac:dyDescent="0.3">
      <c r="A60" s="27" t="s">
        <v>169</v>
      </c>
      <c r="B60" s="88">
        <f>B11/(ABS('Income statement'!B12)+ABS('Income statement'!B13))*365</f>
        <v>60.793487414615889</v>
      </c>
      <c r="C60" s="88">
        <f>C11/(ABS('Income statement'!C12)+ABS('Income statement'!C13))*365</f>
        <v>70.383712063443653</v>
      </c>
      <c r="D60" s="88">
        <f>D11/(ABS('Income statement'!D12)+ABS('Income statement'!D13))*365</f>
        <v>87.948595505617973</v>
      </c>
      <c r="E60" s="88">
        <f>E11/(ABS('Income statement'!E12)+ABS('Income statement'!E13))*365</f>
        <v>87.957474226804123</v>
      </c>
      <c r="F60" s="88">
        <f>F11/(ABS('Income statement'!F12)+ABS('Income statement'!F13))*365</f>
        <v>75.555057288280011</v>
      </c>
      <c r="G60" s="88">
        <f>Schedules!G111</f>
        <v>75</v>
      </c>
      <c r="H60" s="88">
        <f>Schedules!H111</f>
        <v>75</v>
      </c>
      <c r="I60" s="88">
        <f>Schedules!I111</f>
        <v>75</v>
      </c>
      <c r="J60" s="88">
        <f>Schedules!J111</f>
        <v>75</v>
      </c>
      <c r="K60" s="88">
        <f>Schedules!K111</f>
        <v>75</v>
      </c>
      <c r="L60" s="88">
        <f>Schedules!L111</f>
        <v>75</v>
      </c>
    </row>
    <row r="61" spans="1:12" x14ac:dyDescent="0.3">
      <c r="A61" s="27" t="s">
        <v>29</v>
      </c>
      <c r="B61" s="49">
        <f>B12/'Income statement'!B9</f>
        <v>3.9122410252411033E-2</v>
      </c>
      <c r="C61" s="49">
        <f>C12/'Income statement'!C9</f>
        <v>4.3038038927094173E-2</v>
      </c>
      <c r="D61" s="49">
        <f>D12/'Income statement'!D9</f>
        <v>5.0222369417108254E-2</v>
      </c>
      <c r="E61" s="49">
        <f>E12/'Income statement'!E9</f>
        <v>3.6465755721351328E-2</v>
      </c>
      <c r="F61" s="49">
        <f>F12/'Income statement'!F9</f>
        <v>3.6098953377735492E-2</v>
      </c>
      <c r="G61" s="49">
        <v>0.04</v>
      </c>
      <c r="H61" s="49">
        <v>0.04</v>
      </c>
      <c r="I61" s="49">
        <v>0.04</v>
      </c>
      <c r="J61" s="49">
        <v>0.04</v>
      </c>
      <c r="K61" s="49">
        <v>0.04</v>
      </c>
      <c r="L61" s="49">
        <v>0.04</v>
      </c>
    </row>
    <row r="62" spans="1:12" x14ac:dyDescent="0.3">
      <c r="A62" s="26" t="s">
        <v>30</v>
      </c>
      <c r="B62" s="2"/>
      <c r="C62" s="2"/>
      <c r="D62" s="2"/>
      <c r="E62" s="2"/>
      <c r="F62" s="2"/>
      <c r="G62" s="29"/>
      <c r="H62" s="29"/>
      <c r="I62" s="29"/>
      <c r="J62" s="29"/>
      <c r="K62" s="29"/>
      <c r="L62" s="29"/>
    </row>
    <row r="63" spans="1:12" x14ac:dyDescent="0.3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x14ac:dyDescent="0.3">
      <c r="A64" s="26" t="s">
        <v>31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x14ac:dyDescent="0.3">
      <c r="A65" s="27" t="s">
        <v>32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3">
      <c r="A66" s="84" t="s">
        <v>33</v>
      </c>
      <c r="B66" s="5"/>
      <c r="C66" s="5">
        <f>C17-B17</f>
        <v>-154</v>
      </c>
      <c r="D66" s="5">
        <f>D17-C17</f>
        <v>-168</v>
      </c>
      <c r="E66" s="5">
        <f>E17-D17</f>
        <v>-136</v>
      </c>
      <c r="F66" s="5">
        <f>F17-E17</f>
        <v>-145</v>
      </c>
      <c r="G66" s="5">
        <v>-150</v>
      </c>
      <c r="H66" s="5">
        <v>-150</v>
      </c>
      <c r="I66" s="5">
        <v>-150</v>
      </c>
      <c r="J66" s="5">
        <v>-150</v>
      </c>
      <c r="K66" s="5">
        <v>-150</v>
      </c>
      <c r="L66" s="5">
        <v>-150</v>
      </c>
    </row>
    <row r="67" spans="1:12" x14ac:dyDescent="0.3">
      <c r="A67" s="27" t="s">
        <v>34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">
      <c r="A68" s="84" t="s">
        <v>35</v>
      </c>
      <c r="B68" s="49">
        <f>B19/'Income statement'!B9</f>
        <v>6.7404923444851703E-2</v>
      </c>
      <c r="C68" s="49">
        <f>C19/'Income statement'!C9</f>
        <v>6.2526962214834933E-2</v>
      </c>
      <c r="D68" s="49">
        <f>D19/'Income statement'!D9</f>
        <v>6.5173164269492809E-2</v>
      </c>
      <c r="E68" s="49">
        <f>E19/'Income statement'!E9</f>
        <v>6.1845083410176881E-2</v>
      </c>
      <c r="F68" s="49">
        <f>F19/'Income statement'!F9</f>
        <v>5.8839200761179829E-2</v>
      </c>
      <c r="G68" s="49">
        <f>AVERAGE(B68:F68)</f>
        <v>6.3157866820107225E-2</v>
      </c>
      <c r="H68" s="49">
        <f>G68</f>
        <v>6.3157866820107225E-2</v>
      </c>
      <c r="I68" s="49">
        <f t="shared" ref="I68:L68" si="10">H68</f>
        <v>6.3157866820107225E-2</v>
      </c>
      <c r="J68" s="49">
        <f t="shared" si="10"/>
        <v>6.3157866820107225E-2</v>
      </c>
      <c r="K68" s="49">
        <f t="shared" si="10"/>
        <v>6.3157866820107225E-2</v>
      </c>
      <c r="L68" s="49">
        <f t="shared" si="10"/>
        <v>6.3157866820107225E-2</v>
      </c>
    </row>
    <row r="69" spans="1:12" x14ac:dyDescent="0.3">
      <c r="A69" s="26" t="s">
        <v>36</v>
      </c>
      <c r="B69" s="2"/>
      <c r="C69" s="2"/>
      <c r="D69" s="2"/>
      <c r="E69" s="2"/>
      <c r="F69" s="2"/>
      <c r="G69" s="29"/>
      <c r="H69" s="29"/>
      <c r="I69" s="29"/>
      <c r="J69" s="29"/>
      <c r="K69" s="29"/>
      <c r="L69" s="29"/>
    </row>
    <row r="70" spans="1:12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ht="15" thickBot="1" x14ac:dyDescent="0.35">
      <c r="A71" s="30" t="s">
        <v>37</v>
      </c>
      <c r="B71" s="3"/>
      <c r="C71" s="3"/>
      <c r="D71" s="3"/>
      <c r="E71" s="3"/>
      <c r="F71" s="3"/>
      <c r="G71" s="31"/>
      <c r="H71" s="31"/>
      <c r="I71" s="31"/>
      <c r="J71" s="31"/>
      <c r="K71" s="31"/>
      <c r="L71" s="31"/>
    </row>
    <row r="72" spans="1:12" ht="15" thickTop="1" x14ac:dyDescent="0.3">
      <c r="A72" s="27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spans="1:12" x14ac:dyDescent="0.3">
      <c r="A73" s="26" t="s">
        <v>38</v>
      </c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</row>
    <row r="74" spans="1:12" x14ac:dyDescent="0.3">
      <c r="A74" s="26" t="s">
        <v>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x14ac:dyDescent="0.3">
      <c r="A75" s="27" t="s">
        <v>40</v>
      </c>
      <c r="B75" s="8"/>
      <c r="C75" s="8"/>
      <c r="D75" s="8"/>
      <c r="E75" s="8"/>
      <c r="F75" s="8"/>
      <c r="G75" s="40">
        <f>Schedules!G88</f>
        <v>1257</v>
      </c>
      <c r="H75" s="40">
        <f>Schedules!H88</f>
        <v>1007</v>
      </c>
      <c r="I75" s="40">
        <f>Schedules!I88</f>
        <v>7</v>
      </c>
      <c r="J75" s="40">
        <f>Schedules!J88</f>
        <v>1007</v>
      </c>
      <c r="K75" s="40">
        <f>Schedules!K88</f>
        <v>500</v>
      </c>
      <c r="L75" s="40">
        <f>Schedules!L88</f>
        <v>0</v>
      </c>
    </row>
    <row r="76" spans="1:12" x14ac:dyDescent="0.3">
      <c r="A76" s="27" t="s">
        <v>170</v>
      </c>
      <c r="B76" s="47">
        <f>B27/(ABS('Income statement'!B12)+ABS('Income statement'!B13))*365</f>
        <v>36.054864165185116</v>
      </c>
      <c r="C76" s="47">
        <f>C27/(ABS('Income statement'!C12)+ABS('Income statement'!C13))*365</f>
        <v>37.830410248589295</v>
      </c>
      <c r="D76" s="47">
        <f>D27/(ABS('Income statement'!D12)+ABS('Income statement'!D13))*365</f>
        <v>31.73244382022472</v>
      </c>
      <c r="E76" s="47">
        <f>E27/(ABS('Income statement'!E12)+ABS('Income statement'!E13))*365</f>
        <v>30.247819191118158</v>
      </c>
      <c r="F76" s="47">
        <f>F27/(ABS('Income statement'!F12)+ABS('Income statement'!F13))*365</f>
        <v>21.916859122401849</v>
      </c>
      <c r="G76" s="47">
        <f>Schedules!G112</f>
        <v>22</v>
      </c>
      <c r="H76" s="47">
        <f>Schedules!H112</f>
        <v>22</v>
      </c>
      <c r="I76" s="47">
        <f>Schedules!I112</f>
        <v>22</v>
      </c>
      <c r="J76" s="47">
        <f>Schedules!J112</f>
        <v>22</v>
      </c>
      <c r="K76" s="47">
        <f>Schedules!K112</f>
        <v>22</v>
      </c>
      <c r="L76" s="47">
        <f>Schedules!L112</f>
        <v>22</v>
      </c>
    </row>
    <row r="77" spans="1:12" x14ac:dyDescent="0.3">
      <c r="A77" s="27" t="s">
        <v>42</v>
      </c>
      <c r="B77" s="49">
        <f>B28/'Income statement'!B9</f>
        <v>0.1628844004263173</v>
      </c>
      <c r="C77" s="49">
        <f>C28/'Income statement'!C9</f>
        <v>0.18869743954119828</v>
      </c>
      <c r="D77" s="49">
        <f>D28/'Income statement'!D9</f>
        <v>0.22624905374716126</v>
      </c>
      <c r="E77" s="49">
        <f>E28/'Income statement'!E9</f>
        <v>0.19890602732835946</v>
      </c>
      <c r="F77" s="49">
        <f>F28/'Income statement'!F9</f>
        <v>0.18694576593720266</v>
      </c>
      <c r="G77" s="49">
        <f>AVERAGE(B77:F77)</f>
        <v>0.19273653739604779</v>
      </c>
      <c r="H77" s="49">
        <f>G77</f>
        <v>0.19273653739604779</v>
      </c>
      <c r="I77" s="49">
        <f>H77</f>
        <v>0.19273653739604779</v>
      </c>
      <c r="J77" s="49">
        <f>I77</f>
        <v>0.19273653739604779</v>
      </c>
      <c r="K77" s="49">
        <f>J77</f>
        <v>0.19273653739604779</v>
      </c>
      <c r="L77" s="49">
        <f>K77</f>
        <v>0.19273653739604779</v>
      </c>
    </row>
    <row r="78" spans="1:12" x14ac:dyDescent="0.3">
      <c r="A78" s="27" t="s">
        <v>43</v>
      </c>
      <c r="B78" s="49">
        <f>B29/'Income statement'!B9</f>
        <v>9.2022147703345547E-2</v>
      </c>
      <c r="C78" s="49">
        <f>C29/'Income statement'!C9</f>
        <v>8.2574161950922431E-2</v>
      </c>
      <c r="D78" s="49">
        <f>D29/'Income statement'!D9</f>
        <v>7.726154428463286E-2</v>
      </c>
      <c r="E78" s="49">
        <f>E29/'Income statement'!E9</f>
        <v>7.3078212758823036E-2</v>
      </c>
      <c r="F78" s="49">
        <f>F29/'Income statement'!F9</f>
        <v>6.2568981921979072E-2</v>
      </c>
      <c r="G78" s="46">
        <v>0.06</v>
      </c>
      <c r="H78" s="46">
        <v>0.06</v>
      </c>
      <c r="I78" s="46">
        <v>0.06</v>
      </c>
      <c r="J78" s="46">
        <v>0.06</v>
      </c>
      <c r="K78" s="46">
        <v>0.06</v>
      </c>
      <c r="L78" s="46">
        <v>0.06</v>
      </c>
    </row>
    <row r="79" spans="1:12" x14ac:dyDescent="0.3">
      <c r="A79" s="26" t="s">
        <v>44</v>
      </c>
      <c r="B79" s="348"/>
      <c r="C79" s="348"/>
      <c r="D79" s="348"/>
      <c r="E79" s="348"/>
      <c r="F79" s="348"/>
      <c r="G79" s="350"/>
      <c r="H79" s="350"/>
      <c r="I79" s="350"/>
      <c r="J79" s="350"/>
      <c r="K79" s="350"/>
      <c r="L79" s="350"/>
    </row>
    <row r="80" spans="1:12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1:12" x14ac:dyDescent="0.3">
      <c r="A81" s="26" t="s">
        <v>45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x14ac:dyDescent="0.3">
      <c r="A82" s="27" t="s">
        <v>46</v>
      </c>
      <c r="B82" s="5"/>
      <c r="C82" s="5"/>
      <c r="D82" s="5"/>
      <c r="E82" s="5"/>
      <c r="F82" s="5"/>
      <c r="G82" s="48"/>
      <c r="H82" s="48"/>
      <c r="I82" s="48"/>
      <c r="J82" s="48"/>
      <c r="K82" s="48"/>
      <c r="L82" s="48"/>
    </row>
    <row r="83" spans="1:12" x14ac:dyDescent="0.3">
      <c r="A83" s="27" t="s">
        <v>47</v>
      </c>
      <c r="B83" s="49">
        <f>B34/'Income statement'!B9</f>
        <v>0.20702383737554914</v>
      </c>
      <c r="C83" s="49">
        <f>C34/'Income statement'!C9</f>
        <v>0.21399751313218462</v>
      </c>
      <c r="D83" s="49">
        <f>D34/'Income statement'!D9</f>
        <v>0.1969388720666162</v>
      </c>
      <c r="E83" s="49">
        <f>E34/'Income statement'!E9</f>
        <v>0.18302037052560985</v>
      </c>
      <c r="F83" s="49">
        <f>F34/'Income statement'!F9</f>
        <v>0.14888677450047574</v>
      </c>
      <c r="G83" s="49">
        <v>0.15</v>
      </c>
      <c r="H83" s="49">
        <f>G83</f>
        <v>0.15</v>
      </c>
      <c r="I83" s="49">
        <f t="shared" ref="I83:L83" si="11">H83</f>
        <v>0.15</v>
      </c>
      <c r="J83" s="49">
        <f t="shared" si="11"/>
        <v>0.15</v>
      </c>
      <c r="K83" s="49">
        <f t="shared" si="11"/>
        <v>0.15</v>
      </c>
      <c r="L83" s="49">
        <f t="shared" si="11"/>
        <v>0.15</v>
      </c>
    </row>
    <row r="84" spans="1:12" x14ac:dyDescent="0.3">
      <c r="A84" s="26" t="s">
        <v>48</v>
      </c>
      <c r="B84" s="2"/>
      <c r="C84" s="2"/>
      <c r="D84" s="2"/>
      <c r="E84" s="2"/>
      <c r="F84" s="2"/>
      <c r="G84" s="29"/>
      <c r="H84" s="29"/>
      <c r="I84" s="29"/>
      <c r="J84" s="29"/>
      <c r="K84" s="29"/>
      <c r="L84" s="29"/>
    </row>
    <row r="85" spans="1:12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</row>
    <row r="86" spans="1:12" x14ac:dyDescent="0.3">
      <c r="A86" s="26" t="s">
        <v>49</v>
      </c>
      <c r="B86" s="2"/>
      <c r="C86" s="2"/>
      <c r="D86" s="2"/>
      <c r="E86" s="2"/>
      <c r="F86" s="2"/>
      <c r="G86" s="29"/>
      <c r="H86" s="29"/>
      <c r="I86" s="29"/>
      <c r="J86" s="29"/>
      <c r="K86" s="29"/>
      <c r="L86" s="29"/>
    </row>
    <row r="87" spans="1:12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</row>
    <row r="88" spans="1:12" x14ac:dyDescent="0.3">
      <c r="A88" s="26" t="s">
        <v>50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</row>
    <row r="89" spans="1:12" x14ac:dyDescent="0.3">
      <c r="A89" s="27" t="s">
        <v>51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3">
      <c r="A90" s="27" t="s">
        <v>52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3">
      <c r="A91" s="27" t="s">
        <v>53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3">
      <c r="A92" s="27" t="s">
        <v>54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3">
      <c r="A93" s="27" t="s">
        <v>55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3">
      <c r="A94" s="26" t="s">
        <v>56</v>
      </c>
      <c r="B94" s="2"/>
      <c r="C94" s="2"/>
      <c r="D94" s="2"/>
      <c r="E94" s="2"/>
      <c r="F94" s="2"/>
      <c r="G94" s="29"/>
      <c r="H94" s="29"/>
      <c r="I94" s="29"/>
      <c r="J94" s="29"/>
      <c r="K94" s="29"/>
      <c r="L94" s="29"/>
    </row>
    <row r="95" spans="1:12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</row>
    <row r="96" spans="1:12" ht="15" thickBot="1" x14ac:dyDescent="0.35">
      <c r="A96" s="30" t="s">
        <v>57</v>
      </c>
      <c r="B96" s="3"/>
      <c r="C96" s="3"/>
      <c r="D96" s="3"/>
      <c r="E96" s="3"/>
      <c r="F96" s="3"/>
      <c r="G96" s="31"/>
      <c r="H96" s="31"/>
      <c r="I96" s="31"/>
      <c r="J96" s="31"/>
      <c r="K96" s="31"/>
      <c r="L96" s="31"/>
    </row>
    <row r="97" ht="15" thickTop="1" x14ac:dyDescent="0.3"/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3717-8FF9-48A6-8E6B-647555BD4BAB}">
  <dimension ref="A3:L62"/>
  <sheetViews>
    <sheetView zoomScale="54" workbookViewId="0">
      <selection activeCell="Q43" sqref="Q43"/>
    </sheetView>
  </sheetViews>
  <sheetFormatPr defaultRowHeight="14.4" x14ac:dyDescent="0.3"/>
  <cols>
    <col min="1" max="1" width="51.88671875" customWidth="1"/>
    <col min="7" max="12" width="13.88671875" customWidth="1"/>
  </cols>
  <sheetData>
    <row r="3" spans="1:12" x14ac:dyDescent="0.3">
      <c r="A3" s="34" t="s">
        <v>167</v>
      </c>
      <c r="B3" s="27"/>
      <c r="C3" s="27"/>
      <c r="D3" s="27"/>
      <c r="E3" s="27"/>
      <c r="F3" s="27"/>
      <c r="G3" s="41">
        <f>'Income statement'!G26</f>
        <v>4442.6810497724427</v>
      </c>
      <c r="H3" s="41">
        <f>'Income statement'!H26</f>
        <v>4630.0452703307255</v>
      </c>
      <c r="I3" s="41">
        <f>'Income statement'!I26</f>
        <v>4870.8522957798032</v>
      </c>
      <c r="J3" s="41">
        <f>'Income statement'!J26</f>
        <v>5092.1349510320333</v>
      </c>
      <c r="K3" s="41">
        <f>'Income statement'!K26</f>
        <v>5369.7800695249125</v>
      </c>
      <c r="L3" s="41">
        <f>'Income statement'!L26</f>
        <v>5646.6811085510635</v>
      </c>
    </row>
    <row r="4" spans="1:12" x14ac:dyDescent="0.3">
      <c r="A4" s="50">
        <v>46387</v>
      </c>
      <c r="B4" s="59"/>
      <c r="C4" s="59"/>
      <c r="D4" s="59"/>
      <c r="E4" s="59"/>
      <c r="F4" s="59"/>
      <c r="G4" s="37">
        <v>2026</v>
      </c>
      <c r="H4" s="37">
        <v>2027</v>
      </c>
      <c r="I4" s="37">
        <v>2028</v>
      </c>
      <c r="J4" s="37">
        <v>2029</v>
      </c>
      <c r="K4" s="37">
        <v>2030</v>
      </c>
      <c r="L4" s="37">
        <v>2031</v>
      </c>
    </row>
    <row r="5" spans="1:12" x14ac:dyDescent="0.3">
      <c r="A5" s="26" t="s">
        <v>23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x14ac:dyDescent="0.3">
      <c r="A6" s="26" t="s">
        <v>24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3">
      <c r="A7" s="27" t="s">
        <v>25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 x14ac:dyDescent="0.3">
      <c r="A8" s="27" t="s">
        <v>26</v>
      </c>
      <c r="B8" s="27"/>
      <c r="C8" s="27"/>
      <c r="D8" s="27"/>
      <c r="E8" s="27"/>
      <c r="F8" s="27"/>
      <c r="G8" s="41">
        <f>'Balance sheet'!F9-'Balance sheet'!G9</f>
        <v>-147.36660253164564</v>
      </c>
      <c r="H8" s="41">
        <f>'Balance sheet'!G9-'Balance sheet'!H9</f>
        <v>-115.11761573976128</v>
      </c>
      <c r="I8" s="41">
        <f>'Balance sheet'!H9-'Balance sheet'!I9</f>
        <v>-126.75916226119307</v>
      </c>
      <c r="J8" s="41">
        <f>'Balance sheet'!I9-'Balance sheet'!J9</f>
        <v>-136.05538235670156</v>
      </c>
      <c r="K8" s="41">
        <f>'Balance sheet'!J9-'Balance sheet'!K9</f>
        <v>-144.57704702656338</v>
      </c>
      <c r="L8" s="41">
        <f>'Balance sheet'!K9-'Balance sheet'!L9</f>
        <v>-153.77797572330746</v>
      </c>
    </row>
    <row r="9" spans="1:12" x14ac:dyDescent="0.3">
      <c r="A9" s="27" t="s">
        <v>27</v>
      </c>
      <c r="B9" s="27"/>
      <c r="C9" s="27"/>
      <c r="D9" s="27"/>
      <c r="E9" s="27"/>
      <c r="F9" s="27"/>
      <c r="G9" s="41">
        <f>'Balance sheet'!F10-'Balance sheet'!G10</f>
        <v>-391.56526987341749</v>
      </c>
      <c r="H9" s="41">
        <f>'Balance sheet'!G10-'Balance sheet'!H10</f>
        <v>-395.46286818835688</v>
      </c>
      <c r="I9" s="41">
        <f>'Balance sheet'!H10-'Balance sheet'!I10</f>
        <v>-435.45500447374434</v>
      </c>
      <c r="J9" s="41">
        <f>'Balance sheet'!I10-'Balance sheet'!J10</f>
        <v>-467.39025468420004</v>
      </c>
      <c r="K9" s="41">
        <f>'Balance sheet'!J10-'Balance sheet'!K10</f>
        <v>-496.66467919713432</v>
      </c>
      <c r="L9" s="41">
        <f>'Balance sheet'!K10-'Balance sheet'!L10</f>
        <v>-528.27257542594998</v>
      </c>
    </row>
    <row r="10" spans="1:12" x14ac:dyDescent="0.3">
      <c r="A10" s="27" t="s">
        <v>28</v>
      </c>
      <c r="B10" s="27"/>
      <c r="C10" s="27"/>
      <c r="D10" s="27"/>
      <c r="E10" s="27"/>
      <c r="F10" s="27"/>
      <c r="G10" s="41">
        <f>'Balance sheet'!F11-'Balance sheet'!G11</f>
        <v>-328.36178735757676</v>
      </c>
      <c r="H10" s="41">
        <f>'Balance sheet'!G11-'Balance sheet'!H11</f>
        <v>-430.8989821776413</v>
      </c>
      <c r="I10" s="41">
        <f>'Balance sheet'!H11-'Balance sheet'!I11</f>
        <v>-474.44746271863369</v>
      </c>
      <c r="J10" s="41">
        <f>'Balance sheet'!I11-'Balance sheet'!J11</f>
        <v>-509.23873969797023</v>
      </c>
      <c r="K10" s="41">
        <f>'Balance sheet'!J11-'Balance sheet'!K11</f>
        <v>-541.14235818962698</v>
      </c>
      <c r="L10" s="41">
        <f>'Balance sheet'!K11-'Balance sheet'!L11</f>
        <v>-575.59100883813517</v>
      </c>
    </row>
    <row r="11" spans="1:12" x14ac:dyDescent="0.3">
      <c r="A11" s="27" t="s">
        <v>29</v>
      </c>
      <c r="B11" s="27"/>
      <c r="C11" s="27"/>
      <c r="D11" s="27"/>
      <c r="E11" s="27"/>
      <c r="F11" s="27"/>
      <c r="G11" s="41">
        <f>'Balance sheet'!F12-'Balance sheet'!G12</f>
        <v>-295.89131746835437</v>
      </c>
      <c r="H11" s="41">
        <f>'Balance sheet'!G12-'Balance sheet'!H12</f>
        <v>-98.86571704708922</v>
      </c>
      <c r="I11" s="41">
        <f>'Balance sheet'!H12-'Balance sheet'!I12</f>
        <v>-108.86375111843608</v>
      </c>
      <c r="J11" s="41">
        <f>'Balance sheet'!I12-'Balance sheet'!J12</f>
        <v>-116.84756367105001</v>
      </c>
      <c r="K11" s="41">
        <f>'Balance sheet'!J12-'Balance sheet'!K12</f>
        <v>-124.16616979928358</v>
      </c>
      <c r="L11" s="41">
        <f>'Balance sheet'!K12-'Balance sheet'!L12</f>
        <v>-132.0681438564875</v>
      </c>
    </row>
    <row r="12" spans="1:12" x14ac:dyDescent="0.3">
      <c r="A12" s="26" t="s">
        <v>30</v>
      </c>
      <c r="B12" s="27"/>
      <c r="C12" s="27"/>
      <c r="D12" s="27"/>
      <c r="E12" s="27"/>
      <c r="F12" s="27"/>
      <c r="G12" s="41"/>
      <c r="H12" s="41"/>
      <c r="I12" s="41"/>
      <c r="J12" s="41"/>
      <c r="K12" s="41"/>
      <c r="L12" s="41"/>
    </row>
    <row r="13" spans="1:12" x14ac:dyDescent="0.3">
      <c r="A13" s="27"/>
      <c r="B13" s="27"/>
      <c r="C13" s="27"/>
      <c r="D13" s="27"/>
      <c r="E13" s="27"/>
      <c r="F13" s="27"/>
      <c r="G13" s="41">
        <f>'Balance sheet'!F14-'Balance sheet'!G14</f>
        <v>0</v>
      </c>
      <c r="H13" s="41">
        <f>'Balance sheet'!G14-'Balance sheet'!H14</f>
        <v>0</v>
      </c>
      <c r="I13" s="41">
        <f>'Balance sheet'!H14-'Balance sheet'!I14</f>
        <v>0</v>
      </c>
      <c r="J13" s="41">
        <f>'Balance sheet'!I14-'Balance sheet'!J14</f>
        <v>0</v>
      </c>
      <c r="K13" s="41">
        <f>'Balance sheet'!J14-'Balance sheet'!K14</f>
        <v>0</v>
      </c>
      <c r="L13" s="41">
        <f>'Balance sheet'!K14-'Balance sheet'!L14</f>
        <v>0</v>
      </c>
    </row>
    <row r="14" spans="1:12" x14ac:dyDescent="0.3">
      <c r="A14" s="26" t="s">
        <v>31</v>
      </c>
      <c r="B14" s="27"/>
      <c r="C14" s="27"/>
      <c r="D14" s="27"/>
      <c r="E14" s="27"/>
      <c r="F14" s="27"/>
      <c r="G14" s="41">
        <f>'Balance sheet'!F15-'Balance sheet'!G15</f>
        <v>0</v>
      </c>
      <c r="H14" s="41">
        <f>'Balance sheet'!G15-'Balance sheet'!H15</f>
        <v>0</v>
      </c>
      <c r="I14" s="41">
        <f>'Balance sheet'!H15-'Balance sheet'!I15</f>
        <v>0</v>
      </c>
      <c r="J14" s="41">
        <f>'Balance sheet'!I15-'Balance sheet'!J15</f>
        <v>0</v>
      </c>
      <c r="K14" s="41">
        <f>'Balance sheet'!J15-'Balance sheet'!K15</f>
        <v>0</v>
      </c>
      <c r="L14" s="41">
        <f>'Balance sheet'!K15-'Balance sheet'!L15</f>
        <v>0</v>
      </c>
    </row>
    <row r="15" spans="1:12" x14ac:dyDescent="0.3">
      <c r="A15" s="27" t="s">
        <v>32</v>
      </c>
      <c r="B15" s="27"/>
      <c r="C15" s="27"/>
      <c r="D15" s="27"/>
      <c r="E15" s="27"/>
      <c r="F15" s="27"/>
      <c r="G15" s="41">
        <f>'Balance sheet'!F16-'Balance sheet'!G16</f>
        <v>-1355</v>
      </c>
      <c r="H15" s="41">
        <f>'Balance sheet'!G16-'Balance sheet'!H16</f>
        <v>-1185</v>
      </c>
      <c r="I15" s="41">
        <f>'Balance sheet'!H16-'Balance sheet'!I16</f>
        <v>-895</v>
      </c>
      <c r="J15" s="41">
        <f>'Balance sheet'!I16-'Balance sheet'!J16</f>
        <v>-592</v>
      </c>
      <c r="K15" s="41">
        <f>'Balance sheet'!J16-'Balance sheet'!K16</f>
        <v>-275</v>
      </c>
      <c r="L15" s="41">
        <f>'Balance sheet'!K16-'Balance sheet'!L16</f>
        <v>-280</v>
      </c>
    </row>
    <row r="16" spans="1:12" x14ac:dyDescent="0.3">
      <c r="A16" s="27" t="s">
        <v>33</v>
      </c>
      <c r="B16" s="27"/>
      <c r="C16" s="27"/>
      <c r="D16" s="27"/>
      <c r="E16" s="27"/>
      <c r="F16" s="27"/>
      <c r="G16" s="41">
        <f>'Balance sheet'!F17-'Balance sheet'!G17</f>
        <v>150</v>
      </c>
      <c r="H16" s="41">
        <f>'Balance sheet'!G17-'Balance sheet'!H17</f>
        <v>150</v>
      </c>
      <c r="I16" s="41">
        <f>'Balance sheet'!H17-'Balance sheet'!I17</f>
        <v>150</v>
      </c>
      <c r="J16" s="41">
        <f>'Balance sheet'!I17-'Balance sheet'!J17</f>
        <v>150</v>
      </c>
      <c r="K16" s="41">
        <f>'Balance sheet'!J17-'Balance sheet'!K17</f>
        <v>150</v>
      </c>
      <c r="L16" s="41">
        <f>'Balance sheet'!K17-'Balance sheet'!L17</f>
        <v>150</v>
      </c>
    </row>
    <row r="17" spans="1:12" x14ac:dyDescent="0.3">
      <c r="A17" s="27" t="s">
        <v>34</v>
      </c>
      <c r="B17" s="27"/>
      <c r="C17" s="27"/>
      <c r="D17" s="27"/>
      <c r="E17" s="27"/>
      <c r="F17" s="27"/>
      <c r="G17" s="41">
        <f>'Balance sheet'!F18-'Balance sheet'!G18</f>
        <v>0</v>
      </c>
      <c r="H17" s="41">
        <f>'Balance sheet'!G18-'Balance sheet'!H18</f>
        <v>0</v>
      </c>
      <c r="I17" s="41">
        <f>'Balance sheet'!H18-'Balance sheet'!I18</f>
        <v>0</v>
      </c>
      <c r="J17" s="41">
        <f>'Balance sheet'!I18-'Balance sheet'!J18</f>
        <v>0</v>
      </c>
      <c r="K17" s="41">
        <f>'Balance sheet'!J18-'Balance sheet'!K18</f>
        <v>0</v>
      </c>
      <c r="L17" s="41">
        <f>'Balance sheet'!K18-'Balance sheet'!L18</f>
        <v>0</v>
      </c>
    </row>
    <row r="18" spans="1:12" x14ac:dyDescent="0.3">
      <c r="A18" s="27" t="s">
        <v>35</v>
      </c>
      <c r="B18" s="27"/>
      <c r="C18" s="27"/>
      <c r="D18" s="27"/>
      <c r="E18" s="27"/>
      <c r="F18" s="27"/>
      <c r="G18" s="41">
        <f>'Balance sheet'!F19-'Balance sheet'!G19</f>
        <v>-370.45844449089464</v>
      </c>
      <c r="H18" s="41">
        <f>'Balance sheet'!G19-'Balance sheet'!H19</f>
        <v>-156.1036947583616</v>
      </c>
      <c r="I18" s="41">
        <f>'Balance sheet'!H19-'Balance sheet'!I19</f>
        <v>-171.8900573668875</v>
      </c>
      <c r="J18" s="41">
        <f>'Balance sheet'!I19-'Balance sheet'!J19</f>
        <v>-184.49607161475387</v>
      </c>
      <c r="K18" s="41">
        <f>'Balance sheet'!J19-'Balance sheet'!K19</f>
        <v>-196.05176039364915</v>
      </c>
      <c r="L18" s="41">
        <f>'Balance sheet'!K19-'Balance sheet'!L19</f>
        <v>-208.52855602167074</v>
      </c>
    </row>
    <row r="19" spans="1:12" x14ac:dyDescent="0.3">
      <c r="A19" s="26" t="s">
        <v>36</v>
      </c>
      <c r="B19" s="27"/>
      <c r="C19" s="27"/>
      <c r="D19" s="27"/>
      <c r="E19" s="27"/>
      <c r="F19" s="27"/>
      <c r="G19" s="41"/>
      <c r="H19" s="41"/>
      <c r="I19" s="41"/>
      <c r="J19" s="41"/>
      <c r="K19" s="41"/>
      <c r="L19" s="41"/>
    </row>
    <row r="20" spans="1:12" x14ac:dyDescent="0.3">
      <c r="A20" s="27"/>
      <c r="B20" s="27"/>
      <c r="C20" s="27"/>
      <c r="D20" s="27"/>
      <c r="E20" s="27"/>
      <c r="F20" s="27"/>
      <c r="G20" s="41"/>
      <c r="H20" s="41"/>
      <c r="I20" s="41"/>
      <c r="J20" s="41"/>
      <c r="K20" s="41"/>
      <c r="L20" s="41"/>
    </row>
    <row r="21" spans="1:12" x14ac:dyDescent="0.3">
      <c r="A21" s="30" t="s">
        <v>37</v>
      </c>
      <c r="B21" s="27"/>
      <c r="C21" s="27"/>
      <c r="D21" s="27"/>
      <c r="E21" s="27"/>
      <c r="F21" s="27"/>
      <c r="G21" s="41"/>
      <c r="H21" s="41"/>
      <c r="I21" s="41"/>
      <c r="J21" s="41"/>
      <c r="K21" s="41"/>
      <c r="L21" s="41"/>
    </row>
    <row r="22" spans="1:12" x14ac:dyDescent="0.3">
      <c r="A22" s="27"/>
      <c r="B22" s="27"/>
      <c r="C22" s="27"/>
      <c r="D22" s="27"/>
      <c r="E22" s="27"/>
      <c r="F22" s="27"/>
      <c r="G22" s="41"/>
      <c r="H22" s="41"/>
      <c r="I22" s="41"/>
      <c r="J22" s="41"/>
      <c r="K22" s="41"/>
      <c r="L22" s="41"/>
    </row>
    <row r="23" spans="1:12" x14ac:dyDescent="0.3">
      <c r="A23" s="26" t="s">
        <v>38</v>
      </c>
      <c r="B23" s="27"/>
      <c r="C23" s="27"/>
      <c r="D23" s="27"/>
      <c r="E23" s="27"/>
      <c r="F23" s="27"/>
      <c r="G23" s="41"/>
      <c r="H23" s="41"/>
      <c r="I23" s="41"/>
      <c r="J23" s="41"/>
      <c r="K23" s="41"/>
      <c r="L23" s="41"/>
    </row>
    <row r="24" spans="1:12" x14ac:dyDescent="0.3">
      <c r="A24" s="26" t="s">
        <v>39</v>
      </c>
      <c r="B24" s="27"/>
      <c r="C24" s="27"/>
      <c r="D24" s="27"/>
      <c r="E24" s="27"/>
      <c r="F24" s="27"/>
      <c r="G24" s="41"/>
      <c r="H24" s="41"/>
      <c r="I24" s="41"/>
      <c r="J24" s="41"/>
      <c r="K24" s="41"/>
      <c r="L24" s="41"/>
    </row>
    <row r="25" spans="1:12" x14ac:dyDescent="0.3">
      <c r="A25" s="27" t="s">
        <v>40</v>
      </c>
      <c r="B25" s="27"/>
      <c r="C25" s="27"/>
      <c r="D25" s="27"/>
      <c r="E25" s="27"/>
      <c r="F25" s="27"/>
      <c r="G25" s="41">
        <f>'Balance sheet'!G26-'Balance sheet'!F26</f>
        <v>251</v>
      </c>
      <c r="H25" s="41">
        <f>'Balance sheet'!H26-'Balance sheet'!G26</f>
        <v>-250</v>
      </c>
      <c r="I25" s="41">
        <f>'Balance sheet'!I26-'Balance sheet'!H26</f>
        <v>-1000</v>
      </c>
      <c r="J25" s="41">
        <f>'Balance sheet'!J26-'Balance sheet'!I26</f>
        <v>1000</v>
      </c>
      <c r="K25" s="41">
        <f>'Balance sheet'!K26-'Balance sheet'!J26</f>
        <v>-507</v>
      </c>
      <c r="L25" s="41">
        <f>'Balance sheet'!L26-'Balance sheet'!K26</f>
        <v>-500</v>
      </c>
    </row>
    <row r="26" spans="1:12" x14ac:dyDescent="0.3">
      <c r="A26" s="27" t="s">
        <v>41</v>
      </c>
      <c r="B26" s="27"/>
      <c r="C26" s="27"/>
      <c r="D26" s="27"/>
      <c r="E26" s="27"/>
      <c r="F26" s="27"/>
      <c r="G26" s="41">
        <f>'Balance sheet'!G27-'Balance sheet'!F27</f>
        <v>126.37279095822259</v>
      </c>
      <c r="H26" s="41">
        <f>'Balance sheet'!H27-'Balance sheet'!G27</f>
        <v>126.39703477210833</v>
      </c>
      <c r="I26" s="41">
        <f>'Balance sheet'!I27-'Balance sheet'!H27</f>
        <v>139.1712557307992</v>
      </c>
      <c r="J26" s="41">
        <f>'Balance sheet'!J27-'Balance sheet'!I27</f>
        <v>149.37669697807132</v>
      </c>
      <c r="K26" s="41">
        <f>'Balance sheet'!K27-'Balance sheet'!J27</f>
        <v>158.73509173562388</v>
      </c>
      <c r="L26" s="41">
        <f>'Balance sheet'!L27-'Balance sheet'!K27</f>
        <v>168.84002925918639</v>
      </c>
    </row>
    <row r="27" spans="1:12" x14ac:dyDescent="0.3">
      <c r="A27" s="27" t="s">
        <v>42</v>
      </c>
      <c r="B27" s="27"/>
      <c r="C27" s="27"/>
      <c r="D27" s="27"/>
      <c r="E27" s="27"/>
      <c r="F27" s="27"/>
      <c r="G27" s="41">
        <f>'Balance sheet'!G28-'Balance sheet'!F28</f>
        <v>742.2569853676996</v>
      </c>
      <c r="H27" s="41">
        <f>'Balance sheet'!H28-'Balance sheet'!G28</f>
        <v>476.37589927083354</v>
      </c>
      <c r="I27" s="41">
        <f>'Balance sheet'!I28-'Balance sheet'!H28</f>
        <v>524.55056096281442</v>
      </c>
      <c r="J27" s="41">
        <f>'Balance sheet'!J28-'Balance sheet'!I28</f>
        <v>563.01987062805892</v>
      </c>
      <c r="K27" s="41">
        <f>'Balance sheet'!K28-'Balance sheet'!J28</f>
        <v>598.2839407210904</v>
      </c>
      <c r="L27" s="41">
        <f>'Balance sheet'!L28-'Balance sheet'!K28</f>
        <v>636.35891868056387</v>
      </c>
    </row>
    <row r="28" spans="1:12" x14ac:dyDescent="0.3">
      <c r="A28" s="27" t="s">
        <v>43</v>
      </c>
      <c r="B28" s="27"/>
      <c r="C28" s="27"/>
      <c r="D28" s="27"/>
      <c r="E28" s="27"/>
      <c r="F28" s="27"/>
      <c r="G28" s="41">
        <f>'Balance sheet'!G29-'Balance sheet'!F29</f>
        <v>1.3369762025313321</v>
      </c>
      <c r="H28" s="41">
        <f>'Balance sheet'!H29-'Balance sheet'!G29</f>
        <v>148.2985755706336</v>
      </c>
      <c r="I28" s="41">
        <f>'Balance sheet'!I29-'Balance sheet'!H29</f>
        <v>163.29562667765458</v>
      </c>
      <c r="J28" s="41">
        <f>'Balance sheet'!J29-'Balance sheet'!I29</f>
        <v>175.27134550657456</v>
      </c>
      <c r="K28" s="41">
        <f>'Balance sheet'!K29-'Balance sheet'!J29</f>
        <v>186.2492546989256</v>
      </c>
      <c r="L28" s="41">
        <f>'Balance sheet'!L29-'Balance sheet'!K29</f>
        <v>198.10221578473147</v>
      </c>
    </row>
    <row r="29" spans="1:12" x14ac:dyDescent="0.3">
      <c r="A29" s="26" t="s">
        <v>44</v>
      </c>
      <c r="B29" s="27"/>
      <c r="C29" s="27"/>
      <c r="D29" s="27"/>
      <c r="E29" s="27"/>
      <c r="F29" s="27"/>
      <c r="G29" s="41"/>
      <c r="H29" s="41"/>
      <c r="I29" s="41"/>
      <c r="J29" s="41"/>
      <c r="K29" s="41"/>
      <c r="L29" s="41"/>
    </row>
    <row r="30" spans="1:12" x14ac:dyDescent="0.3">
      <c r="A30" s="27"/>
      <c r="B30" s="27"/>
      <c r="C30" s="27"/>
      <c r="D30" s="27"/>
      <c r="E30" s="27"/>
      <c r="F30" s="27"/>
      <c r="G30" s="41">
        <f>'Balance sheet'!G31-'Balance sheet'!F31</f>
        <v>0</v>
      </c>
      <c r="H30" s="41">
        <f>'Balance sheet'!H31-'Balance sheet'!G31</f>
        <v>0</v>
      </c>
      <c r="I30" s="41">
        <f>'Balance sheet'!I31-'Balance sheet'!H31</f>
        <v>0</v>
      </c>
      <c r="J30" s="41">
        <f>'Balance sheet'!J31-'Balance sheet'!I31</f>
        <v>0</v>
      </c>
      <c r="K30" s="41">
        <f>'Balance sheet'!K31-'Balance sheet'!J31</f>
        <v>0</v>
      </c>
      <c r="L30" s="41">
        <f>'Balance sheet'!L31-'Balance sheet'!K31</f>
        <v>0</v>
      </c>
    </row>
    <row r="31" spans="1:12" x14ac:dyDescent="0.3">
      <c r="A31" s="26" t="s">
        <v>45</v>
      </c>
      <c r="B31" s="27"/>
      <c r="C31" s="27"/>
      <c r="D31" s="27"/>
      <c r="E31" s="27"/>
      <c r="F31" s="27"/>
      <c r="G31" s="41">
        <f>'Balance sheet'!G32-'Balance sheet'!F32</f>
        <v>0</v>
      </c>
      <c r="H31" s="41">
        <f>'Balance sheet'!H32-'Balance sheet'!G32</f>
        <v>0</v>
      </c>
      <c r="I31" s="41">
        <f>'Balance sheet'!I32-'Balance sheet'!H32</f>
        <v>0</v>
      </c>
      <c r="J31" s="41">
        <f>'Balance sheet'!J32-'Balance sheet'!I32</f>
        <v>0</v>
      </c>
      <c r="K31" s="41">
        <f>'Balance sheet'!K32-'Balance sheet'!J32</f>
        <v>0</v>
      </c>
      <c r="L31" s="41">
        <f>'Balance sheet'!L32-'Balance sheet'!K32</f>
        <v>0</v>
      </c>
    </row>
    <row r="32" spans="1:12" x14ac:dyDescent="0.3">
      <c r="A32" s="27" t="s">
        <v>46</v>
      </c>
      <c r="B32" s="27"/>
      <c r="C32" s="27"/>
      <c r="D32" s="27"/>
      <c r="E32" s="27"/>
      <c r="F32" s="27"/>
      <c r="G32" s="41">
        <f>'Balance sheet'!G33-'Balance sheet'!F33</f>
        <v>224</v>
      </c>
      <c r="H32" s="41">
        <f>'Balance sheet'!H33-'Balance sheet'!G33</f>
        <v>699</v>
      </c>
      <c r="I32" s="41">
        <f>'Balance sheet'!I33-'Balance sheet'!H33</f>
        <v>1424</v>
      </c>
      <c r="J32" s="41">
        <f>'Balance sheet'!J33-'Balance sheet'!I33</f>
        <v>-601</v>
      </c>
      <c r="K32" s="41">
        <f>'Balance sheet'!K33-'Balance sheet'!J33</f>
        <v>906</v>
      </c>
      <c r="L32" s="41">
        <f>'Balance sheet'!L33-'Balance sheet'!K33</f>
        <v>856</v>
      </c>
    </row>
    <row r="33" spans="1:12" x14ac:dyDescent="0.3">
      <c r="A33" s="27" t="s">
        <v>47</v>
      </c>
      <c r="B33" s="27"/>
      <c r="C33" s="27"/>
      <c r="D33" s="27"/>
      <c r="E33" s="27"/>
      <c r="F33" s="27"/>
      <c r="G33" s="41">
        <f>'Balance sheet'!G34-'Balance sheet'!F34</f>
        <v>399.34244050632878</v>
      </c>
      <c r="H33" s="41">
        <f>'Balance sheet'!H34-'Balance sheet'!G34</f>
        <v>370.74643892658423</v>
      </c>
      <c r="I33" s="41">
        <f>'Balance sheet'!I34-'Balance sheet'!H34</f>
        <v>408.23906669413554</v>
      </c>
      <c r="J33" s="41">
        <f>'Balance sheet'!J34-'Balance sheet'!I34</f>
        <v>438.17836376643572</v>
      </c>
      <c r="K33" s="41">
        <f>'Balance sheet'!K34-'Balance sheet'!J34</f>
        <v>465.62313674731377</v>
      </c>
      <c r="L33" s="41">
        <f>'Balance sheet'!L34-'Balance sheet'!K34</f>
        <v>495.25553946182845</v>
      </c>
    </row>
    <row r="34" spans="1:12" x14ac:dyDescent="0.3">
      <c r="A34" s="26" t="s">
        <v>48</v>
      </c>
      <c r="B34" s="27"/>
      <c r="C34" s="27"/>
      <c r="D34" s="27"/>
      <c r="E34" s="27"/>
      <c r="F34" s="27"/>
      <c r="G34" s="41"/>
      <c r="H34" s="41"/>
      <c r="I34" s="41"/>
      <c r="J34" s="41"/>
      <c r="K34" s="41"/>
      <c r="L34" s="41"/>
    </row>
    <row r="35" spans="1:12" x14ac:dyDescent="0.3">
      <c r="A35" s="27"/>
      <c r="B35" s="27"/>
      <c r="C35" s="27"/>
      <c r="D35" s="27"/>
      <c r="E35" s="27"/>
      <c r="F35" s="27"/>
      <c r="G35" s="41">
        <f>'Balance sheet'!G36-'Balance sheet'!F36</f>
        <v>0</v>
      </c>
      <c r="H35" s="41">
        <f>'Balance sheet'!H36-'Balance sheet'!G36</f>
        <v>0</v>
      </c>
      <c r="I35" s="41">
        <f>'Balance sheet'!I36-'Balance sheet'!H36</f>
        <v>0</v>
      </c>
      <c r="J35" s="41">
        <f>'Balance sheet'!J36-'Balance sheet'!I36</f>
        <v>0</v>
      </c>
      <c r="K35" s="41">
        <f>'Balance sheet'!K36-'Balance sheet'!J36</f>
        <v>0</v>
      </c>
      <c r="L35" s="41">
        <f>'Balance sheet'!L36-'Balance sheet'!K36</f>
        <v>0</v>
      </c>
    </row>
    <row r="36" spans="1:12" x14ac:dyDescent="0.3">
      <c r="A36" s="26" t="s">
        <v>49</v>
      </c>
      <c r="B36" s="27"/>
      <c r="C36" s="27"/>
      <c r="D36" s="27"/>
      <c r="E36" s="27"/>
      <c r="F36" s="27"/>
      <c r="G36" s="41"/>
      <c r="H36" s="41"/>
      <c r="I36" s="41"/>
      <c r="J36" s="41"/>
      <c r="K36" s="41"/>
      <c r="L36" s="41"/>
    </row>
    <row r="37" spans="1:12" x14ac:dyDescent="0.3">
      <c r="A37" s="27"/>
      <c r="B37" s="27"/>
      <c r="C37" s="27"/>
      <c r="D37" s="27"/>
      <c r="E37" s="27"/>
      <c r="F37" s="27"/>
      <c r="G37" s="41">
        <f>'Balance sheet'!G38-'Balance sheet'!F38</f>
        <v>0</v>
      </c>
      <c r="H37" s="41">
        <f>'Balance sheet'!H38-'Balance sheet'!G38</f>
        <v>0</v>
      </c>
      <c r="I37" s="41">
        <f>'Balance sheet'!I38-'Balance sheet'!H38</f>
        <v>0</v>
      </c>
      <c r="J37" s="41">
        <f>'Balance sheet'!J38-'Balance sheet'!I38</f>
        <v>0</v>
      </c>
      <c r="K37" s="41">
        <f>'Balance sheet'!K38-'Balance sheet'!J38</f>
        <v>0</v>
      </c>
      <c r="L37" s="41">
        <f>'Balance sheet'!L38-'Balance sheet'!K38</f>
        <v>0</v>
      </c>
    </row>
    <row r="38" spans="1:12" x14ac:dyDescent="0.3">
      <c r="A38" s="26" t="s">
        <v>50</v>
      </c>
      <c r="B38" s="27"/>
      <c r="C38" s="27"/>
      <c r="D38" s="27"/>
      <c r="E38" s="27"/>
      <c r="F38" s="27"/>
      <c r="G38" s="41">
        <f>'Balance sheet'!G39-'Balance sheet'!F39</f>
        <v>0</v>
      </c>
      <c r="H38" s="41">
        <f>'Balance sheet'!H39-'Balance sheet'!G39</f>
        <v>0</v>
      </c>
      <c r="I38" s="41">
        <f>'Balance sheet'!I39-'Balance sheet'!H39</f>
        <v>0</v>
      </c>
      <c r="J38" s="41">
        <f>'Balance sheet'!J39-'Balance sheet'!I39</f>
        <v>0</v>
      </c>
      <c r="K38" s="41">
        <f>'Balance sheet'!K39-'Balance sheet'!J39</f>
        <v>0</v>
      </c>
      <c r="L38" s="41">
        <f>'Balance sheet'!L39-'Balance sheet'!K39</f>
        <v>0</v>
      </c>
    </row>
    <row r="39" spans="1:12" x14ac:dyDescent="0.3">
      <c r="A39" s="27" t="s">
        <v>51</v>
      </c>
      <c r="B39" s="27"/>
      <c r="C39" s="27"/>
      <c r="D39" s="27"/>
      <c r="E39" s="27"/>
      <c r="F39" s="27"/>
      <c r="G39" s="41">
        <f>'Balance sheet'!G40-'Balance sheet'!F40</f>
        <v>0</v>
      </c>
      <c r="H39" s="41">
        <f>'Balance sheet'!H40-'Balance sheet'!G40</f>
        <v>0</v>
      </c>
      <c r="I39" s="41">
        <f>'Balance sheet'!I40-'Balance sheet'!H40</f>
        <v>0</v>
      </c>
      <c r="J39" s="41">
        <f>'Balance sheet'!J40-'Balance sheet'!I40</f>
        <v>0</v>
      </c>
      <c r="K39" s="41">
        <f>'Balance sheet'!K40-'Balance sheet'!J40</f>
        <v>0</v>
      </c>
      <c r="L39" s="41">
        <f>'Balance sheet'!L40-'Balance sheet'!K40</f>
        <v>0</v>
      </c>
    </row>
    <row r="40" spans="1:12" x14ac:dyDescent="0.3">
      <c r="A40" s="27" t="s">
        <v>52</v>
      </c>
      <c r="B40" s="27"/>
      <c r="C40" s="27"/>
      <c r="D40" s="27"/>
      <c r="E40" s="27"/>
      <c r="F40" s="27"/>
      <c r="G40" s="41">
        <f>'Balance sheet'!G41-'Balance sheet'!F41</f>
        <v>340</v>
      </c>
      <c r="H40" s="41">
        <f>'Balance sheet'!H41-'Balance sheet'!G41</f>
        <v>340</v>
      </c>
      <c r="I40" s="41">
        <f>'Balance sheet'!I41-'Balance sheet'!H41</f>
        <v>340</v>
      </c>
      <c r="J40" s="41">
        <f>'Balance sheet'!J41-'Balance sheet'!I41</f>
        <v>340</v>
      </c>
      <c r="K40" s="41">
        <f>'Balance sheet'!K41-'Balance sheet'!J41</f>
        <v>340</v>
      </c>
      <c r="L40" s="41">
        <f>'Balance sheet'!L41-'Balance sheet'!K41</f>
        <v>340</v>
      </c>
    </row>
    <row r="41" spans="1:12" x14ac:dyDescent="0.3">
      <c r="A41" s="27"/>
      <c r="B41" s="27"/>
      <c r="C41" s="27"/>
      <c r="D41" s="27"/>
      <c r="E41" s="27"/>
      <c r="F41" s="27"/>
      <c r="G41" s="41"/>
      <c r="H41" s="41"/>
      <c r="I41" s="41"/>
      <c r="J41" s="41"/>
      <c r="K41" s="41"/>
      <c r="L41" s="41"/>
    </row>
    <row r="42" spans="1:12" x14ac:dyDescent="0.3">
      <c r="A42" s="27"/>
      <c r="B42" s="27"/>
      <c r="C42" s="27"/>
      <c r="D42" s="27"/>
      <c r="E42" s="27"/>
      <c r="F42" s="27"/>
      <c r="G42" s="41"/>
      <c r="H42" s="41"/>
      <c r="I42" s="41"/>
      <c r="J42" s="41"/>
      <c r="K42" s="41"/>
      <c r="L42" s="41"/>
    </row>
    <row r="43" spans="1:12" x14ac:dyDescent="0.3">
      <c r="A43" s="27" t="s">
        <v>55</v>
      </c>
      <c r="B43" s="27"/>
      <c r="C43" s="27"/>
      <c r="D43" s="27"/>
      <c r="E43" s="27"/>
      <c r="F43" s="27"/>
      <c r="G43" s="41">
        <f>'Balance sheet'!G44-'Balance sheet'!F44</f>
        <v>0</v>
      </c>
      <c r="H43" s="41">
        <f>'Balance sheet'!H44-'Balance sheet'!G44</f>
        <v>0</v>
      </c>
      <c r="I43" s="41">
        <f>'Balance sheet'!I44-'Balance sheet'!H44</f>
        <v>0</v>
      </c>
      <c r="J43" s="41">
        <f>'Balance sheet'!J44-'Balance sheet'!I44</f>
        <v>0</v>
      </c>
      <c r="K43" s="41">
        <f>'Balance sheet'!K44-'Balance sheet'!J44</f>
        <v>0</v>
      </c>
      <c r="L43" s="41">
        <f>'Balance sheet'!L44-'Balance sheet'!K44</f>
        <v>0</v>
      </c>
    </row>
    <row r="44" spans="1:12" x14ac:dyDescent="0.3">
      <c r="A44" s="26" t="s">
        <v>56</v>
      </c>
      <c r="B44" s="27"/>
      <c r="C44" s="27"/>
      <c r="D44" s="27"/>
      <c r="E44" s="27"/>
      <c r="F44" s="27"/>
      <c r="G44" s="41"/>
      <c r="H44" s="41"/>
      <c r="I44" s="41"/>
      <c r="J44" s="41"/>
      <c r="K44" s="41"/>
      <c r="L44" s="41"/>
    </row>
    <row r="45" spans="1:12" x14ac:dyDescent="0.3">
      <c r="A45" s="27"/>
      <c r="B45" s="27"/>
      <c r="C45" s="27"/>
      <c r="D45" s="27"/>
      <c r="E45" s="27"/>
      <c r="F45" s="27"/>
      <c r="G45" s="41"/>
      <c r="H45" s="41"/>
      <c r="I45" s="41"/>
      <c r="J45" s="41"/>
      <c r="K45" s="41"/>
      <c r="L45" s="41"/>
    </row>
    <row r="46" spans="1:12" x14ac:dyDescent="0.3">
      <c r="A46" s="30" t="s">
        <v>57</v>
      </c>
      <c r="B46" s="27"/>
      <c r="C46" s="27"/>
      <c r="D46" s="27"/>
      <c r="E46" s="27"/>
      <c r="F46" s="27"/>
      <c r="G46" s="41"/>
      <c r="H46" s="41"/>
      <c r="I46" s="41"/>
      <c r="J46" s="41"/>
      <c r="K46" s="41"/>
      <c r="L46" s="41"/>
    </row>
    <row r="47" spans="1:12" x14ac:dyDescent="0.3">
      <c r="A47" s="27"/>
      <c r="B47" s="27"/>
      <c r="C47" s="27"/>
      <c r="D47" s="27"/>
      <c r="E47" s="27"/>
      <c r="F47" s="27"/>
      <c r="G47" s="41"/>
      <c r="H47" s="41"/>
      <c r="I47" s="41"/>
      <c r="J47" s="41"/>
      <c r="K47" s="41"/>
      <c r="L47" s="41"/>
    </row>
    <row r="48" spans="1:12" ht="15" thickBot="1" x14ac:dyDescent="0.35">
      <c r="A48" s="39" t="s">
        <v>225</v>
      </c>
      <c r="B48" s="39"/>
      <c r="C48" s="39"/>
      <c r="D48" s="39"/>
      <c r="E48" s="39"/>
      <c r="F48" s="39"/>
      <c r="G48" s="61">
        <f>SUM(G8:G43)+G3</f>
        <v>3788.3468210853362</v>
      </c>
      <c r="H48" s="61">
        <f t="shared" ref="H48:L48" si="0">SUM(H8:H43)+H3</f>
        <v>4309.4143409596745</v>
      </c>
      <c r="I48" s="61">
        <f t="shared" si="0"/>
        <v>4807.6933679063122</v>
      </c>
      <c r="J48" s="61">
        <f t="shared" si="0"/>
        <v>5300.9532158864986</v>
      </c>
      <c r="K48" s="61">
        <f t="shared" si="0"/>
        <v>5890.0694788216088</v>
      </c>
      <c r="L48" s="61">
        <f t="shared" si="0"/>
        <v>6112.9995518718224</v>
      </c>
    </row>
    <row r="49" spans="1:12" ht="15" thickTop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</row>
    <row r="50" spans="1:12" x14ac:dyDescent="0.3">
      <c r="A50" s="27" t="s">
        <v>220</v>
      </c>
      <c r="B50" s="27"/>
      <c r="C50" s="27"/>
      <c r="D50" s="27"/>
      <c r="E50" s="27"/>
      <c r="F50" s="27"/>
      <c r="G50" s="41">
        <f>Equity!G10</f>
        <v>-1777.0724199089773</v>
      </c>
      <c r="H50" s="41">
        <f>Equity!H10</f>
        <v>-1852.0181081322903</v>
      </c>
      <c r="I50" s="41">
        <f>Equity!I10</f>
        <v>-1948.3409183119213</v>
      </c>
      <c r="J50" s="41">
        <f>Equity!J10</f>
        <v>-2036.8539804128134</v>
      </c>
      <c r="K50" s="41">
        <f>Equity!K10</f>
        <v>-2147.9120278099649</v>
      </c>
      <c r="L50" s="41">
        <f>Equity!L10</f>
        <v>-2258.6724434204257</v>
      </c>
    </row>
    <row r="51" spans="1:12" x14ac:dyDescent="0.3">
      <c r="A51" s="27" t="s">
        <v>221</v>
      </c>
      <c r="B51" s="27"/>
      <c r="C51" s="27"/>
      <c r="D51" s="27"/>
      <c r="E51" s="27"/>
      <c r="F51" s="27"/>
      <c r="G51" s="41">
        <f>Equity!G18</f>
        <v>-1500</v>
      </c>
      <c r="H51" s="41">
        <f>Equity!H18</f>
        <v>-1700</v>
      </c>
      <c r="I51" s="41">
        <f>Equity!I18</f>
        <v>-1900</v>
      </c>
      <c r="J51" s="41">
        <f>Equity!J18</f>
        <v>-2100</v>
      </c>
      <c r="K51" s="41">
        <f>Equity!K18</f>
        <v>-2300</v>
      </c>
      <c r="L51" s="41">
        <f>Equity!L18</f>
        <v>-2500</v>
      </c>
    </row>
    <row r="52" spans="1:12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2" x14ac:dyDescent="0.3">
      <c r="A53" s="38" t="s">
        <v>222</v>
      </c>
      <c r="B53" s="38"/>
      <c r="C53" s="38"/>
      <c r="D53" s="38"/>
      <c r="E53" s="38"/>
      <c r="F53" s="38"/>
      <c r="G53" s="42">
        <f>G48+G50+G51</f>
        <v>511.27440117635888</v>
      </c>
      <c r="H53" s="42">
        <f t="shared" ref="H53:L53" si="1">H48+H50+H51</f>
        <v>757.39623282738421</v>
      </c>
      <c r="I53" s="42">
        <f t="shared" si="1"/>
        <v>959.35244959439115</v>
      </c>
      <c r="J53" s="42">
        <f t="shared" si="1"/>
        <v>1164.0992354736854</v>
      </c>
      <c r="K53" s="42">
        <f t="shared" si="1"/>
        <v>1442.1574510116438</v>
      </c>
      <c r="L53" s="42">
        <f t="shared" si="1"/>
        <v>1354.3271084513967</v>
      </c>
    </row>
    <row r="54" spans="1:12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1:12" x14ac:dyDescent="0.3">
      <c r="A55" s="27" t="s">
        <v>223</v>
      </c>
      <c r="B55" s="27"/>
      <c r="C55" s="27"/>
      <c r="D55" s="27"/>
      <c r="E55" s="27"/>
      <c r="F55" s="27"/>
      <c r="G55" s="41">
        <f>'Balance sheet'!F8</f>
        <v>2333</v>
      </c>
      <c r="H55" s="41">
        <f>G56</f>
        <v>2844.2744011763589</v>
      </c>
      <c r="I55" s="41">
        <f t="shared" ref="I55:L55" si="2">H56</f>
        <v>3601.6706340037431</v>
      </c>
      <c r="J55" s="41">
        <f t="shared" si="2"/>
        <v>4561.0230835981347</v>
      </c>
      <c r="K55" s="41">
        <f t="shared" si="2"/>
        <v>5725.1223190718201</v>
      </c>
      <c r="L55" s="41">
        <f t="shared" si="2"/>
        <v>7167.2797700834635</v>
      </c>
    </row>
    <row r="56" spans="1:12" ht="15" thickBot="1" x14ac:dyDescent="0.35">
      <c r="A56" s="39" t="s">
        <v>224</v>
      </c>
      <c r="B56" s="39"/>
      <c r="C56" s="39"/>
      <c r="D56" s="39"/>
      <c r="E56" s="39"/>
      <c r="F56" s="39"/>
      <c r="G56" s="61">
        <f>G55+G53</f>
        <v>2844.2744011763589</v>
      </c>
      <c r="H56" s="61">
        <f t="shared" ref="H56:L56" si="3">H55+H53</f>
        <v>3601.6706340037431</v>
      </c>
      <c r="I56" s="61">
        <f t="shared" si="3"/>
        <v>4561.0230835981347</v>
      </c>
      <c r="J56" s="61">
        <f t="shared" si="3"/>
        <v>5725.1223190718201</v>
      </c>
      <c r="K56" s="61">
        <f t="shared" si="3"/>
        <v>7167.2797700834635</v>
      </c>
      <c r="L56" s="61">
        <f t="shared" si="3"/>
        <v>8521.6068785348598</v>
      </c>
    </row>
    <row r="57" spans="1:12" ht="15" thickTop="1" x14ac:dyDescent="0.3">
      <c r="A57" s="13"/>
    </row>
    <row r="58" spans="1:12" x14ac:dyDescent="0.3">
      <c r="A58" s="14"/>
    </row>
    <row r="59" spans="1:12" x14ac:dyDescent="0.3">
      <c r="A59" s="13"/>
    </row>
    <row r="60" spans="1:12" x14ac:dyDescent="0.3">
      <c r="A60" s="13"/>
    </row>
    <row r="61" spans="1:12" x14ac:dyDescent="0.3">
      <c r="A61" s="13"/>
    </row>
    <row r="62" spans="1:12" x14ac:dyDescent="0.3">
      <c r="A62" s="1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B0AC-75C8-4A0F-AC55-CE53DC95D241}">
  <dimension ref="A1:N53"/>
  <sheetViews>
    <sheetView zoomScale="56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4" sqref="G14"/>
    </sheetView>
  </sheetViews>
  <sheetFormatPr defaultRowHeight="14.4" x14ac:dyDescent="0.3"/>
  <cols>
    <col min="1" max="1" width="51.88671875" customWidth="1"/>
    <col min="2" max="12" width="13.88671875" customWidth="1"/>
    <col min="14" max="14" width="83.33203125" customWidth="1"/>
  </cols>
  <sheetData>
    <row r="1" spans="1:14" ht="18" x14ac:dyDescent="0.35">
      <c r="A1" s="33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4" x14ac:dyDescent="0.3">
      <c r="A2" s="34" t="s">
        <v>112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3">
      <c r="A3" s="25" t="s">
        <v>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4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4" x14ac:dyDescent="0.3">
      <c r="A5" s="81"/>
      <c r="B5" s="82">
        <v>2021</v>
      </c>
      <c r="C5" s="82">
        <v>2022</v>
      </c>
      <c r="D5" s="82">
        <v>2023</v>
      </c>
      <c r="E5" s="82">
        <v>2024</v>
      </c>
      <c r="F5" s="82">
        <v>2025</v>
      </c>
      <c r="G5" s="82">
        <v>2026</v>
      </c>
      <c r="H5" s="82">
        <v>2027</v>
      </c>
      <c r="I5" s="82">
        <v>2028</v>
      </c>
      <c r="J5" s="82">
        <v>2029</v>
      </c>
      <c r="K5" s="82">
        <v>2030</v>
      </c>
      <c r="L5" s="82">
        <v>2031</v>
      </c>
      <c r="N5" s="426" t="s">
        <v>395</v>
      </c>
    </row>
    <row r="6" spans="1:14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N6" t="s">
        <v>464</v>
      </c>
    </row>
    <row r="7" spans="1:14" x14ac:dyDescent="0.3">
      <c r="A7" s="83" t="s">
        <v>113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14" x14ac:dyDescent="0.3">
      <c r="A8" s="27" t="s">
        <v>114</v>
      </c>
      <c r="B8" s="45">
        <v>33512</v>
      </c>
      <c r="C8" s="45">
        <f>B13</f>
        <v>35420</v>
      </c>
      <c r="D8" s="45">
        <f>C13</f>
        <v>37403</v>
      </c>
      <c r="E8" s="45">
        <f>D13</f>
        <v>39270</v>
      </c>
      <c r="F8" s="45">
        <f>E13</f>
        <v>41487</v>
      </c>
      <c r="G8" s="41">
        <f>F13</f>
        <v>44080</v>
      </c>
      <c r="H8" s="41">
        <f t="shared" ref="H8:L8" si="0">G13</f>
        <v>46745.608629863469</v>
      </c>
      <c r="I8" s="41">
        <f t="shared" si="0"/>
        <v>49523.635792061905</v>
      </c>
      <c r="J8" s="41">
        <f t="shared" si="0"/>
        <v>52446.147169529788</v>
      </c>
      <c r="K8" s="41">
        <f t="shared" si="0"/>
        <v>55501.428140149008</v>
      </c>
      <c r="L8" s="41">
        <f t="shared" si="0"/>
        <v>58723.296181863952</v>
      </c>
    </row>
    <row r="9" spans="1:14" x14ac:dyDescent="0.3">
      <c r="A9" s="27" t="s">
        <v>115</v>
      </c>
      <c r="B9" s="45">
        <f>'Income statement'!B26</f>
        <v>3257</v>
      </c>
      <c r="C9" s="45">
        <f>'Income statement'!C26</f>
        <v>3390</v>
      </c>
      <c r="D9" s="45">
        <f>'Income statement'!D26</f>
        <v>3315</v>
      </c>
      <c r="E9" s="45">
        <f>'Income statement'!E26</f>
        <v>3782</v>
      </c>
      <c r="F9" s="45">
        <f>'Income statement'!F26</f>
        <v>4210</v>
      </c>
      <c r="G9" s="41">
        <f>'Income statement'!G26</f>
        <v>4442.6810497724427</v>
      </c>
      <c r="H9" s="41">
        <f>'Income statement'!H26</f>
        <v>4630.0452703307255</v>
      </c>
      <c r="I9" s="41">
        <f>'Income statement'!I26</f>
        <v>4870.8522957798032</v>
      </c>
      <c r="J9" s="41">
        <f>'Income statement'!J26</f>
        <v>5092.1349510320333</v>
      </c>
      <c r="K9" s="41">
        <f>'Income statement'!K26</f>
        <v>5369.7800695249125</v>
      </c>
      <c r="L9" s="41">
        <f>'Income statement'!L26</f>
        <v>5646.6811085510635</v>
      </c>
    </row>
    <row r="10" spans="1:14" x14ac:dyDescent="0.3">
      <c r="A10" s="27" t="s">
        <v>116</v>
      </c>
      <c r="B10" s="45">
        <f>-(B8+B9-B13)</f>
        <v>-1349</v>
      </c>
      <c r="C10" s="45">
        <f>-(C8+C9-C13)</f>
        <v>-1407</v>
      </c>
      <c r="D10" s="45">
        <f>-(D8+D9-D13)</f>
        <v>-1448</v>
      </c>
      <c r="E10" s="45">
        <f>-(E8+E9-E13)</f>
        <v>-1565</v>
      </c>
      <c r="F10" s="45">
        <f>-(F8+F9-F13)</f>
        <v>-1617</v>
      </c>
      <c r="G10" s="41">
        <f t="shared" ref="G10:L10" si="1">-G9*0.4</f>
        <v>-1777.0724199089773</v>
      </c>
      <c r="H10" s="41">
        <f t="shared" si="1"/>
        <v>-1852.0181081322903</v>
      </c>
      <c r="I10" s="41">
        <f t="shared" si="1"/>
        <v>-1948.3409183119213</v>
      </c>
      <c r="J10" s="41">
        <f t="shared" si="1"/>
        <v>-2036.8539804128134</v>
      </c>
      <c r="K10" s="41">
        <f t="shared" si="1"/>
        <v>-2147.9120278099649</v>
      </c>
      <c r="L10" s="41">
        <f t="shared" si="1"/>
        <v>-2258.6724434204257</v>
      </c>
      <c r="N10" t="s">
        <v>487</v>
      </c>
    </row>
    <row r="11" spans="1:14" x14ac:dyDescent="0.3">
      <c r="A11" s="27" t="s">
        <v>117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0">
        <v>0</v>
      </c>
    </row>
    <row r="12" spans="1:14" x14ac:dyDescent="0.3">
      <c r="A12" s="27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</row>
    <row r="13" spans="1:14" ht="15" thickBot="1" x14ac:dyDescent="0.35">
      <c r="A13" s="38" t="s">
        <v>118</v>
      </c>
      <c r="B13" s="90">
        <f>'Balance sheet'!B42</f>
        <v>35420</v>
      </c>
      <c r="C13" s="90">
        <f>'Balance sheet'!C42</f>
        <v>37403</v>
      </c>
      <c r="D13" s="90">
        <f>'Balance sheet'!D42</f>
        <v>39270</v>
      </c>
      <c r="E13" s="90">
        <f>'Balance sheet'!E42</f>
        <v>41487</v>
      </c>
      <c r="F13" s="90">
        <f>'Balance sheet'!F42</f>
        <v>44080</v>
      </c>
      <c r="G13" s="90">
        <f>G8+G9+G10+G11</f>
        <v>46745.608629863469</v>
      </c>
      <c r="H13" s="90">
        <f t="shared" ref="H13:K13" si="2">H8+H9+H10+H11</f>
        <v>49523.635792061905</v>
      </c>
      <c r="I13" s="90">
        <f t="shared" si="2"/>
        <v>52446.147169529788</v>
      </c>
      <c r="J13" s="90">
        <f t="shared" si="2"/>
        <v>55501.428140149008</v>
      </c>
      <c r="K13" s="90">
        <f t="shared" si="2"/>
        <v>58723.296181863952</v>
      </c>
      <c r="L13" s="90">
        <f t="shared" ref="L13" si="3">L8+L9+L10+L11</f>
        <v>62111.304846994593</v>
      </c>
    </row>
    <row r="14" spans="1:14" ht="15" thickTop="1" x14ac:dyDescent="0.3">
      <c r="A14" s="2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</row>
    <row r="15" spans="1:14" x14ac:dyDescent="0.3">
      <c r="A15" s="2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</row>
    <row r="16" spans="1:14" x14ac:dyDescent="0.3">
      <c r="A16" s="83" t="s">
        <v>119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</row>
    <row r="17" spans="1:14" x14ac:dyDescent="0.3">
      <c r="A17" s="27" t="s">
        <v>114</v>
      </c>
      <c r="B17" s="45">
        <v>-17763</v>
      </c>
      <c r="C17" s="45">
        <f>B22</f>
        <v>-19619</v>
      </c>
      <c r="D17" s="45">
        <f>C22</f>
        <v>-20721</v>
      </c>
      <c r="E17" s="45">
        <f>D22</f>
        <v>-21054</v>
      </c>
      <c r="F17" s="45">
        <f>E22</f>
        <v>-22450</v>
      </c>
      <c r="G17" s="41">
        <f>F22</f>
        <v>-22860</v>
      </c>
      <c r="H17" s="41">
        <f t="shared" ref="H17:L17" si="4">G22</f>
        <v>-24360</v>
      </c>
      <c r="I17" s="41">
        <f t="shared" si="4"/>
        <v>-26060</v>
      </c>
      <c r="J17" s="41">
        <f t="shared" si="4"/>
        <v>-27960</v>
      </c>
      <c r="K17" s="41">
        <f t="shared" si="4"/>
        <v>-30060</v>
      </c>
      <c r="L17" s="41">
        <f t="shared" si="4"/>
        <v>-32360</v>
      </c>
    </row>
    <row r="18" spans="1:14" x14ac:dyDescent="0.3">
      <c r="A18" s="27" t="s">
        <v>120</v>
      </c>
      <c r="B18" s="45">
        <f>B22-B17-B19</f>
        <v>-1856</v>
      </c>
      <c r="C18" s="45">
        <f>C22-C17-C19</f>
        <v>-1102</v>
      </c>
      <c r="D18" s="45">
        <f>D22-D17-D19</f>
        <v>-333</v>
      </c>
      <c r="E18" s="45">
        <f>E22-E17-E19</f>
        <v>-1396</v>
      </c>
      <c r="F18" s="45">
        <f>F22-F17-F19</f>
        <v>-410</v>
      </c>
      <c r="G18" s="41">
        <v>-1500</v>
      </c>
      <c r="H18" s="41">
        <v>-1700</v>
      </c>
      <c r="I18" s="41">
        <v>-1900</v>
      </c>
      <c r="J18" s="41">
        <v>-2100</v>
      </c>
      <c r="K18" s="41">
        <v>-2300</v>
      </c>
      <c r="L18" s="41">
        <v>-2500</v>
      </c>
      <c r="N18" t="s">
        <v>490</v>
      </c>
    </row>
    <row r="19" spans="1:14" x14ac:dyDescent="0.3">
      <c r="A19" s="27" t="s">
        <v>121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</row>
    <row r="20" spans="1:14" x14ac:dyDescent="0.3">
      <c r="A20" s="27" t="s">
        <v>368</v>
      </c>
      <c r="B20" s="32"/>
      <c r="C20" s="32"/>
      <c r="D20" s="32"/>
      <c r="E20" s="32"/>
      <c r="F20" s="32">
        <v>308</v>
      </c>
      <c r="G20" s="32">
        <f>F20*(1+Ke!$D$32)</f>
        <v>331.15037555188024</v>
      </c>
      <c r="H20" s="32">
        <f>G20*(1+Ke!$D$32)</f>
        <v>356.04081567581602</v>
      </c>
      <c r="I20" s="32">
        <f>H20*(1+Ke!$D$32)</f>
        <v>382.8021098144294</v>
      </c>
      <c r="J20" s="32">
        <f>I20*(1+Ke!$D$32)</f>
        <v>411.57487801006624</v>
      </c>
      <c r="K20" s="32">
        <f>J20*(1+Ke!$D$32)</f>
        <v>442.51030980763881</v>
      </c>
      <c r="L20" s="32">
        <f>K20*(1+Ke!$D$32)</f>
        <v>475.77095869603403</v>
      </c>
      <c r="N20" t="s">
        <v>465</v>
      </c>
    </row>
    <row r="21" spans="1:14" x14ac:dyDescent="0.3">
      <c r="A21" s="27" t="s">
        <v>369</v>
      </c>
      <c r="B21" s="94"/>
      <c r="C21" s="94"/>
      <c r="D21" s="94"/>
      <c r="E21" s="94"/>
      <c r="F21" s="94">
        <f>DCF!I3</f>
        <v>270.38975900000003</v>
      </c>
      <c r="G21" s="94">
        <f>F21+(G18/G20)+G29</f>
        <v>266.886818687561</v>
      </c>
      <c r="H21" s="94">
        <f t="shared" ref="H21:L21" si="5">G21+(H18/H20)+H29</f>
        <v>263.06703190997337</v>
      </c>
      <c r="I21" s="94">
        <f t="shared" si="5"/>
        <v>258.99181926092018</v>
      </c>
      <c r="J21" s="94">
        <f t="shared" si="5"/>
        <v>254.71556214700334</v>
      </c>
      <c r="K21" s="94">
        <f t="shared" si="5"/>
        <v>250.28628681361727</v>
      </c>
      <c r="L21" s="94">
        <f t="shared" si="5"/>
        <v>245.7462871341076</v>
      </c>
      <c r="N21" t="s">
        <v>466</v>
      </c>
    </row>
    <row r="22" spans="1:14" ht="15" thickBot="1" x14ac:dyDescent="0.35">
      <c r="A22" s="38" t="s">
        <v>118</v>
      </c>
      <c r="B22" s="90">
        <f>'Balance sheet'!B43</f>
        <v>-19619</v>
      </c>
      <c r="C22" s="90">
        <f>'Balance sheet'!C43</f>
        <v>-20721</v>
      </c>
      <c r="D22" s="90">
        <f>'Balance sheet'!D43</f>
        <v>-21054</v>
      </c>
      <c r="E22" s="90">
        <f>'Balance sheet'!E43</f>
        <v>-22450</v>
      </c>
      <c r="F22" s="90">
        <f>'Balance sheet'!F43</f>
        <v>-22860</v>
      </c>
      <c r="G22" s="90">
        <f>G17+G18+G19</f>
        <v>-24360</v>
      </c>
      <c r="H22" s="90">
        <f t="shared" ref="H22:K22" si="6">H17+H18+H19</f>
        <v>-26060</v>
      </c>
      <c r="I22" s="90">
        <f t="shared" si="6"/>
        <v>-27960</v>
      </c>
      <c r="J22" s="90">
        <f t="shared" si="6"/>
        <v>-30060</v>
      </c>
      <c r="K22" s="90">
        <f t="shared" si="6"/>
        <v>-32360</v>
      </c>
      <c r="L22" s="90">
        <f t="shared" ref="L22" si="7">L17+L18+L19</f>
        <v>-34860</v>
      </c>
    </row>
    <row r="23" spans="1:14" ht="15" thickTop="1" x14ac:dyDescent="0.3">
      <c r="A23" s="27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</row>
    <row r="24" spans="1:14" x14ac:dyDescent="0.3">
      <c r="A24" s="84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</row>
    <row r="25" spans="1:14" x14ac:dyDescent="0.3">
      <c r="A25" s="79" t="s">
        <v>122</v>
      </c>
      <c r="B25" s="92"/>
      <c r="C25" s="92"/>
      <c r="D25" s="92"/>
      <c r="E25" s="92"/>
      <c r="F25" s="92"/>
      <c r="G25" s="87"/>
      <c r="H25" s="87"/>
      <c r="I25" s="87"/>
      <c r="J25" s="87"/>
      <c r="K25" s="87"/>
      <c r="L25" s="87"/>
    </row>
    <row r="26" spans="1:14" x14ac:dyDescent="0.3">
      <c r="A26" s="27" t="s">
        <v>114</v>
      </c>
      <c r="B26" s="45">
        <v>3008</v>
      </c>
      <c r="C26" s="45">
        <f>B32</f>
        <v>3278</v>
      </c>
      <c r="D26" s="45">
        <f>C32</f>
        <v>3556</v>
      </c>
      <c r="E26" s="45">
        <f>D32</f>
        <v>3760</v>
      </c>
      <c r="F26" s="45">
        <f>E32</f>
        <v>4062</v>
      </c>
      <c r="G26" s="41">
        <f>F32</f>
        <v>4403</v>
      </c>
      <c r="H26" s="41">
        <f t="shared" ref="H26:L26" si="8">G32</f>
        <v>4743</v>
      </c>
      <c r="I26" s="41">
        <f t="shared" si="8"/>
        <v>5083</v>
      </c>
      <c r="J26" s="41">
        <f t="shared" si="8"/>
        <v>5423</v>
      </c>
      <c r="K26" s="41">
        <f t="shared" si="8"/>
        <v>5763</v>
      </c>
      <c r="L26" s="41">
        <f t="shared" si="8"/>
        <v>6103</v>
      </c>
    </row>
    <row r="27" spans="1:14" x14ac:dyDescent="0.3">
      <c r="A27" s="27" t="s">
        <v>123</v>
      </c>
      <c r="B27" s="41">
        <f>B32-B26-B28</f>
        <v>270</v>
      </c>
      <c r="C27" s="41">
        <f>C32-C26-C28</f>
        <v>278</v>
      </c>
      <c r="D27" s="41">
        <f>D32-D26-D28</f>
        <v>204</v>
      </c>
      <c r="E27" s="41">
        <f>E32-E26-E28</f>
        <v>302</v>
      </c>
      <c r="F27" s="41">
        <f>F32-F26-F28</f>
        <v>341</v>
      </c>
      <c r="G27" s="41">
        <v>340</v>
      </c>
      <c r="H27" s="41">
        <v>340</v>
      </c>
      <c r="I27" s="41">
        <v>340</v>
      </c>
      <c r="J27" s="41">
        <v>340</v>
      </c>
      <c r="K27" s="41">
        <v>340</v>
      </c>
      <c r="L27" s="41">
        <v>340</v>
      </c>
      <c r="N27" t="s">
        <v>467</v>
      </c>
    </row>
    <row r="28" spans="1:14" x14ac:dyDescent="0.3">
      <c r="A28" s="27" t="s">
        <v>124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</row>
    <row r="29" spans="1:14" x14ac:dyDescent="0.3">
      <c r="A29" s="27" t="s">
        <v>491</v>
      </c>
      <c r="B29" s="41"/>
      <c r="C29" s="41"/>
      <c r="D29" s="41"/>
      <c r="E29" s="41"/>
      <c r="F29" s="41"/>
      <c r="G29" s="484">
        <f>G27/G20</f>
        <v>1.0267238846804005</v>
      </c>
      <c r="H29" s="484">
        <f t="shared" ref="H29:L29" si="9">H27/H20</f>
        <v>0.95494669439690982</v>
      </c>
      <c r="I29" s="484">
        <f t="shared" si="9"/>
        <v>0.88818737222953514</v>
      </c>
      <c r="J29" s="484">
        <f t="shared" si="9"/>
        <v>0.82609512427938891</v>
      </c>
      <c r="K29" s="484">
        <f t="shared" si="9"/>
        <v>0.7683436802812561</v>
      </c>
      <c r="L29" s="484">
        <f t="shared" si="9"/>
        <v>0.7146295791820767</v>
      </c>
      <c r="N29" t="s">
        <v>492</v>
      </c>
    </row>
    <row r="30" spans="1:14" x14ac:dyDescent="0.3">
      <c r="A30" s="27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spans="1:14" x14ac:dyDescent="0.3">
      <c r="A31" s="27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spans="1:14" ht="15" thickBot="1" x14ac:dyDescent="0.35">
      <c r="A32" s="38" t="s">
        <v>118</v>
      </c>
      <c r="B32" s="90">
        <f>'Balance sheet'!B41</f>
        <v>3278</v>
      </c>
      <c r="C32" s="90">
        <f>'Balance sheet'!C41</f>
        <v>3556</v>
      </c>
      <c r="D32" s="90">
        <f>'Balance sheet'!D41</f>
        <v>3760</v>
      </c>
      <c r="E32" s="90">
        <f>'Balance sheet'!E41</f>
        <v>4062</v>
      </c>
      <c r="F32" s="90">
        <f>'Balance sheet'!F41</f>
        <v>4403</v>
      </c>
      <c r="G32" s="90">
        <f>G26+G27+G28</f>
        <v>4743</v>
      </c>
      <c r="H32" s="90">
        <f t="shared" ref="H32:K32" si="10">H26+H27+H28</f>
        <v>5083</v>
      </c>
      <c r="I32" s="90">
        <f t="shared" si="10"/>
        <v>5423</v>
      </c>
      <c r="J32" s="90">
        <f t="shared" si="10"/>
        <v>5763</v>
      </c>
      <c r="K32" s="90">
        <f t="shared" si="10"/>
        <v>6103</v>
      </c>
      <c r="L32" s="90">
        <f t="shared" ref="L32" si="11">L26+L27+L28</f>
        <v>6443</v>
      </c>
    </row>
    <row r="33" spans="1:14" ht="15" thickTop="1" x14ac:dyDescent="0.3">
      <c r="A33" s="2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</row>
    <row r="34" spans="1:14" x14ac:dyDescent="0.3">
      <c r="A34" s="2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</row>
    <row r="35" spans="1:14" x14ac:dyDescent="0.3">
      <c r="A35" s="79" t="s">
        <v>125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</row>
    <row r="36" spans="1:14" x14ac:dyDescent="0.3">
      <c r="A36" s="84" t="s">
        <v>114</v>
      </c>
      <c r="B36" s="62">
        <v>-2182</v>
      </c>
      <c r="C36" s="62">
        <f>B41</f>
        <v>-1920</v>
      </c>
      <c r="D36" s="62">
        <f>C41</f>
        <v>-2152</v>
      </c>
      <c r="E36" s="62">
        <f>D41</f>
        <v>-1159</v>
      </c>
      <c r="F36" s="62">
        <f>E41</f>
        <v>-1518</v>
      </c>
      <c r="G36" s="62">
        <f>F41</f>
        <v>-483</v>
      </c>
      <c r="H36" s="62">
        <f t="shared" ref="H36:L36" si="12">G41</f>
        <v>-483</v>
      </c>
      <c r="I36" s="62">
        <f t="shared" si="12"/>
        <v>-483</v>
      </c>
      <c r="J36" s="62">
        <f t="shared" si="12"/>
        <v>-483</v>
      </c>
      <c r="K36" s="62">
        <f t="shared" si="12"/>
        <v>-483</v>
      </c>
      <c r="L36" s="62">
        <f t="shared" si="12"/>
        <v>-483</v>
      </c>
    </row>
    <row r="37" spans="1:14" x14ac:dyDescent="0.3">
      <c r="A37" s="27" t="s">
        <v>126</v>
      </c>
      <c r="B37" s="45">
        <f>B41-B36</f>
        <v>262</v>
      </c>
      <c r="C37" s="45">
        <f>C41-C36</f>
        <v>-232</v>
      </c>
      <c r="D37" s="45">
        <f>D41-D36</f>
        <v>993</v>
      </c>
      <c r="E37" s="45">
        <f>E41-E36</f>
        <v>-359</v>
      </c>
      <c r="F37" s="45">
        <f>F41-F36</f>
        <v>1035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N37" t="s">
        <v>489</v>
      </c>
    </row>
    <row r="38" spans="1:14" x14ac:dyDescent="0.3">
      <c r="A38" s="27"/>
      <c r="B38" s="45"/>
      <c r="C38" s="45"/>
      <c r="D38" s="45"/>
      <c r="E38" s="45"/>
      <c r="F38" s="45"/>
      <c r="G38" s="41"/>
      <c r="H38" s="41"/>
      <c r="I38" s="41"/>
      <c r="J38" s="41"/>
      <c r="K38" s="41"/>
      <c r="L38" s="41"/>
    </row>
    <row r="39" spans="1:14" x14ac:dyDescent="0.3">
      <c r="A39" s="27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spans="1:14" x14ac:dyDescent="0.3">
      <c r="A40" s="27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spans="1:14" ht="15" thickBot="1" x14ac:dyDescent="0.35">
      <c r="A41" s="38" t="s">
        <v>118</v>
      </c>
      <c r="B41" s="90">
        <f>'Balance sheet'!B44</f>
        <v>-1920</v>
      </c>
      <c r="C41" s="90">
        <f>'Balance sheet'!C44</f>
        <v>-2152</v>
      </c>
      <c r="D41" s="90">
        <f>'Balance sheet'!D44</f>
        <v>-1159</v>
      </c>
      <c r="E41" s="90">
        <f>'Balance sheet'!E44</f>
        <v>-1518</v>
      </c>
      <c r="F41" s="90">
        <f>'Balance sheet'!F44</f>
        <v>-483</v>
      </c>
      <c r="G41" s="90">
        <f>G36+G37</f>
        <v>-483</v>
      </c>
      <c r="H41" s="90">
        <f t="shared" ref="H41:K41" si="13">H36+H37</f>
        <v>-483</v>
      </c>
      <c r="I41" s="90">
        <f t="shared" si="13"/>
        <v>-483</v>
      </c>
      <c r="J41" s="90">
        <f t="shared" si="13"/>
        <v>-483</v>
      </c>
      <c r="K41" s="90">
        <f t="shared" si="13"/>
        <v>-483</v>
      </c>
      <c r="L41" s="90">
        <f>L36+L37</f>
        <v>-483</v>
      </c>
    </row>
    <row r="42" spans="1:14" ht="15" thickTop="1" x14ac:dyDescent="0.3">
      <c r="A42" s="27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</row>
    <row r="43" spans="1:14" x14ac:dyDescent="0.3">
      <c r="A43" s="84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</row>
    <row r="44" spans="1:14" x14ac:dyDescent="0.3">
      <c r="A44" s="67" t="s">
        <v>127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spans="1:14" x14ac:dyDescent="0.3">
      <c r="A45" s="27" t="s">
        <v>128</v>
      </c>
      <c r="B45" s="41">
        <f>'Balance sheet'!B40</f>
        <v>482</v>
      </c>
      <c r="C45" s="41">
        <f>'Balance sheet'!C40</f>
        <v>482</v>
      </c>
      <c r="D45" s="41">
        <f>'Balance sheet'!D40</f>
        <v>482</v>
      </c>
      <c r="E45" s="41">
        <f>'Balance sheet'!E40</f>
        <v>482</v>
      </c>
      <c r="F45" s="41">
        <f>'Balance sheet'!F40</f>
        <v>482</v>
      </c>
      <c r="G45" s="41">
        <v>482</v>
      </c>
      <c r="H45" s="41">
        <v>482</v>
      </c>
      <c r="I45" s="41">
        <v>482</v>
      </c>
      <c r="J45" s="41">
        <v>482</v>
      </c>
      <c r="K45" s="41">
        <v>482</v>
      </c>
      <c r="L45" s="41">
        <v>482</v>
      </c>
    </row>
    <row r="46" spans="1:14" x14ac:dyDescent="0.3">
      <c r="A46" s="27" t="s">
        <v>129</v>
      </c>
      <c r="B46" s="41">
        <f>B32</f>
        <v>3278</v>
      </c>
      <c r="C46" s="41">
        <f t="shared" ref="C46:K46" si="14">C32</f>
        <v>3556</v>
      </c>
      <c r="D46" s="41">
        <f t="shared" si="14"/>
        <v>3760</v>
      </c>
      <c r="E46" s="41">
        <f t="shared" si="14"/>
        <v>4062</v>
      </c>
      <c r="F46" s="41">
        <f t="shared" si="14"/>
        <v>4403</v>
      </c>
      <c r="G46" s="41">
        <f t="shared" si="14"/>
        <v>4743</v>
      </c>
      <c r="H46" s="41">
        <f t="shared" si="14"/>
        <v>5083</v>
      </c>
      <c r="I46" s="41">
        <f t="shared" si="14"/>
        <v>5423</v>
      </c>
      <c r="J46" s="41">
        <f t="shared" si="14"/>
        <v>5763</v>
      </c>
      <c r="K46" s="41">
        <f t="shared" si="14"/>
        <v>6103</v>
      </c>
      <c r="L46" s="41">
        <f t="shared" ref="L46" si="15">L32</f>
        <v>6443</v>
      </c>
    </row>
    <row r="47" spans="1:14" x14ac:dyDescent="0.3">
      <c r="A47" s="27" t="s">
        <v>130</v>
      </c>
      <c r="B47" s="41">
        <f>B13</f>
        <v>35420</v>
      </c>
      <c r="C47" s="41">
        <f t="shared" ref="C47:K47" si="16">C13</f>
        <v>37403</v>
      </c>
      <c r="D47" s="41">
        <f t="shared" si="16"/>
        <v>39270</v>
      </c>
      <c r="E47" s="41">
        <f t="shared" si="16"/>
        <v>41487</v>
      </c>
      <c r="F47" s="41">
        <f t="shared" si="16"/>
        <v>44080</v>
      </c>
      <c r="G47" s="41">
        <f>G13</f>
        <v>46745.608629863469</v>
      </c>
      <c r="H47" s="41">
        <f t="shared" si="16"/>
        <v>49523.635792061905</v>
      </c>
      <c r="I47" s="41">
        <f t="shared" si="16"/>
        <v>52446.147169529788</v>
      </c>
      <c r="J47" s="41">
        <f t="shared" si="16"/>
        <v>55501.428140149008</v>
      </c>
      <c r="K47" s="41">
        <f t="shared" si="16"/>
        <v>58723.296181863952</v>
      </c>
      <c r="L47" s="41">
        <f t="shared" ref="L47" si="17">L13</f>
        <v>62111.304846994593</v>
      </c>
    </row>
    <row r="48" spans="1:14" x14ac:dyDescent="0.3">
      <c r="A48" s="27" t="s">
        <v>131</v>
      </c>
      <c r="B48" s="41">
        <f>B22</f>
        <v>-19619</v>
      </c>
      <c r="C48" s="41">
        <f t="shared" ref="C48:K48" si="18">C22</f>
        <v>-20721</v>
      </c>
      <c r="D48" s="41">
        <f t="shared" si="18"/>
        <v>-21054</v>
      </c>
      <c r="E48" s="41">
        <f t="shared" si="18"/>
        <v>-22450</v>
      </c>
      <c r="F48" s="41">
        <f t="shared" si="18"/>
        <v>-22860</v>
      </c>
      <c r="G48" s="41">
        <f t="shared" si="18"/>
        <v>-24360</v>
      </c>
      <c r="H48" s="41">
        <f t="shared" si="18"/>
        <v>-26060</v>
      </c>
      <c r="I48" s="41">
        <f t="shared" si="18"/>
        <v>-27960</v>
      </c>
      <c r="J48" s="41">
        <f t="shared" si="18"/>
        <v>-30060</v>
      </c>
      <c r="K48" s="41">
        <f t="shared" si="18"/>
        <v>-32360</v>
      </c>
      <c r="L48" s="41">
        <f t="shared" ref="L48" si="19">L22</f>
        <v>-34860</v>
      </c>
    </row>
    <row r="49" spans="1:12" x14ac:dyDescent="0.3">
      <c r="A49" s="27" t="s">
        <v>132</v>
      </c>
      <c r="B49" s="41">
        <f>B41</f>
        <v>-1920</v>
      </c>
      <c r="C49" s="41">
        <f t="shared" ref="C49:K49" si="20">C41</f>
        <v>-2152</v>
      </c>
      <c r="D49" s="41">
        <f t="shared" si="20"/>
        <v>-1159</v>
      </c>
      <c r="E49" s="41">
        <f t="shared" si="20"/>
        <v>-1518</v>
      </c>
      <c r="F49" s="41">
        <f t="shared" si="20"/>
        <v>-483</v>
      </c>
      <c r="G49" s="41">
        <f t="shared" si="20"/>
        <v>-483</v>
      </c>
      <c r="H49" s="41">
        <f t="shared" si="20"/>
        <v>-483</v>
      </c>
      <c r="I49" s="41">
        <f t="shared" si="20"/>
        <v>-483</v>
      </c>
      <c r="J49" s="41">
        <f t="shared" si="20"/>
        <v>-483</v>
      </c>
      <c r="K49" s="41">
        <f t="shared" si="20"/>
        <v>-483</v>
      </c>
      <c r="L49" s="41">
        <f t="shared" ref="L49" si="21">L41</f>
        <v>-483</v>
      </c>
    </row>
    <row r="50" spans="1:12" x14ac:dyDescent="0.3">
      <c r="A50" s="27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2" x14ac:dyDescent="0.3">
      <c r="A51" s="27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</row>
    <row r="52" spans="1:12" ht="15" thickBot="1" x14ac:dyDescent="0.35">
      <c r="A52" s="39" t="s">
        <v>133</v>
      </c>
      <c r="B52" s="61">
        <f>SUM(B45:B49)</f>
        <v>17641</v>
      </c>
      <c r="C52" s="61">
        <f t="shared" ref="C52:K52" si="22">SUM(C45:C49)</f>
        <v>18568</v>
      </c>
      <c r="D52" s="61">
        <f t="shared" si="22"/>
        <v>21299</v>
      </c>
      <c r="E52" s="61">
        <f t="shared" si="22"/>
        <v>22063</v>
      </c>
      <c r="F52" s="61">
        <f t="shared" si="22"/>
        <v>25622</v>
      </c>
      <c r="G52" s="61">
        <f t="shared" si="22"/>
        <v>27127.608629863469</v>
      </c>
      <c r="H52" s="61">
        <f t="shared" si="22"/>
        <v>28545.635792061905</v>
      </c>
      <c r="I52" s="61">
        <f t="shared" si="22"/>
        <v>29908.147169529788</v>
      </c>
      <c r="J52" s="61">
        <f t="shared" si="22"/>
        <v>31203.428140149008</v>
      </c>
      <c r="K52" s="61">
        <f t="shared" si="22"/>
        <v>32465.296181863952</v>
      </c>
      <c r="L52" s="61">
        <f t="shared" ref="L52" si="23">SUM(L45:L49)</f>
        <v>33693.304846994593</v>
      </c>
    </row>
    <row r="53" spans="1:12" ht="15" thickTop="1" x14ac:dyDescent="0.3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3129-7103-408B-BE9E-28EBD3FD1286}">
  <dimension ref="A1:N122"/>
  <sheetViews>
    <sheetView zoomScale="70" zoomScaleNormal="70" workbookViewId="0">
      <pane xSplit="1" topLeftCell="B1" activePane="topRight" state="frozen"/>
      <selection pane="topRight" activeCell="N24" sqref="N24"/>
    </sheetView>
  </sheetViews>
  <sheetFormatPr defaultRowHeight="14.4" outlineLevelRow="1" x14ac:dyDescent="0.3"/>
  <cols>
    <col min="1" max="1" width="38.44140625" customWidth="1"/>
    <col min="2" max="12" width="13.88671875" customWidth="1"/>
    <col min="14" max="14" width="83.33203125" customWidth="1"/>
  </cols>
  <sheetData>
    <row r="1" spans="1:14" ht="18" x14ac:dyDescent="0.35">
      <c r="A1" s="439" t="s">
        <v>0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27"/>
      <c r="N1" s="426" t="s">
        <v>395</v>
      </c>
    </row>
    <row r="2" spans="1:14" x14ac:dyDescent="0.3">
      <c r="A2" s="441" t="s">
        <v>134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3">
      <c r="A3" s="442" t="s">
        <v>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4" ht="15" thickBot="1" x14ac:dyDescent="0.35">
      <c r="A4" s="183"/>
      <c r="B4" s="27"/>
      <c r="C4" s="27"/>
      <c r="D4" s="27"/>
      <c r="E4" s="27"/>
      <c r="F4" s="27"/>
      <c r="G4" s="27"/>
      <c r="H4" s="27"/>
      <c r="I4" s="27"/>
      <c r="J4" s="27"/>
      <c r="K4" s="27"/>
      <c r="L4" s="198"/>
    </row>
    <row r="5" spans="1:14" x14ac:dyDescent="0.3">
      <c r="A5" s="473" t="s">
        <v>3</v>
      </c>
      <c r="B5" s="474">
        <v>2021</v>
      </c>
      <c r="C5" s="474">
        <v>2022</v>
      </c>
      <c r="D5" s="474">
        <v>2023</v>
      </c>
      <c r="E5" s="474">
        <v>2024</v>
      </c>
      <c r="F5" s="474">
        <v>2025</v>
      </c>
      <c r="G5" s="474">
        <v>2026</v>
      </c>
      <c r="H5" s="474">
        <v>2027</v>
      </c>
      <c r="I5" s="474">
        <v>2028</v>
      </c>
      <c r="J5" s="474">
        <v>2029</v>
      </c>
      <c r="K5" s="474">
        <v>2030</v>
      </c>
      <c r="L5" s="443">
        <v>2031</v>
      </c>
    </row>
    <row r="6" spans="1:14" x14ac:dyDescent="0.3">
      <c r="A6" s="183"/>
      <c r="B6" s="27"/>
      <c r="C6" s="27"/>
      <c r="D6" s="27"/>
      <c r="E6" s="27"/>
      <c r="F6" s="27"/>
      <c r="G6" s="27"/>
      <c r="H6" s="27"/>
      <c r="I6" s="27"/>
      <c r="J6" s="27"/>
      <c r="K6" s="27"/>
      <c r="L6" s="176"/>
    </row>
    <row r="7" spans="1:14" x14ac:dyDescent="0.3">
      <c r="A7" s="444" t="s">
        <v>145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445"/>
    </row>
    <row r="8" spans="1:14" x14ac:dyDescent="0.3">
      <c r="A8" s="183" t="s">
        <v>146</v>
      </c>
      <c r="B8" s="45">
        <v>5908</v>
      </c>
      <c r="C8" s="45">
        <v>6195</v>
      </c>
      <c r="D8" s="45">
        <v>6540</v>
      </c>
      <c r="E8" s="45">
        <v>7067</v>
      </c>
      <c r="F8" s="45">
        <v>7383</v>
      </c>
      <c r="G8" s="41"/>
      <c r="H8" s="41"/>
      <c r="I8" s="41"/>
      <c r="J8" s="41"/>
      <c r="K8" s="41"/>
      <c r="L8" s="446"/>
    </row>
    <row r="9" spans="1:14" x14ac:dyDescent="0.3">
      <c r="A9" s="183" t="s">
        <v>147</v>
      </c>
      <c r="B9" s="45">
        <v>3756</v>
      </c>
      <c r="C9" s="45">
        <v>4035</v>
      </c>
      <c r="D9" s="45">
        <v>4406</v>
      </c>
      <c r="E9" s="45">
        <v>4886</v>
      </c>
      <c r="F9" s="45">
        <v>5763</v>
      </c>
      <c r="G9" s="41"/>
      <c r="H9" s="41"/>
      <c r="I9" s="41"/>
      <c r="J9" s="41"/>
      <c r="K9" s="41"/>
      <c r="L9" s="446"/>
    </row>
    <row r="10" spans="1:14" x14ac:dyDescent="0.3">
      <c r="A10" s="183" t="s">
        <v>148</v>
      </c>
      <c r="B10" s="45">
        <v>1318</v>
      </c>
      <c r="C10" s="45">
        <v>1397</v>
      </c>
      <c r="D10" s="45">
        <v>1434</v>
      </c>
      <c r="E10" s="45">
        <v>1173</v>
      </c>
      <c r="F10" s="45">
        <v>1462</v>
      </c>
      <c r="G10" s="41"/>
      <c r="H10" s="41"/>
      <c r="I10" s="41"/>
      <c r="J10" s="41"/>
      <c r="K10" s="41"/>
      <c r="L10" s="446"/>
    </row>
    <row r="11" spans="1:14" x14ac:dyDescent="0.3">
      <c r="A11" s="183" t="s">
        <v>149</v>
      </c>
      <c r="B11" s="45">
        <v>382</v>
      </c>
      <c r="C11" s="45">
        <v>397</v>
      </c>
      <c r="D11" s="45">
        <v>428</v>
      </c>
      <c r="E11" s="45">
        <v>438</v>
      </c>
      <c r="F11" s="45">
        <v>522</v>
      </c>
      <c r="G11" s="41"/>
      <c r="H11" s="41"/>
      <c r="I11" s="41"/>
      <c r="J11" s="41"/>
      <c r="K11" s="41"/>
      <c r="L11" s="446"/>
    </row>
    <row r="12" spans="1:14" x14ac:dyDescent="0.3">
      <c r="A12" s="183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46"/>
    </row>
    <row r="13" spans="1:14" x14ac:dyDescent="0.3">
      <c r="A13" s="447" t="s">
        <v>150</v>
      </c>
      <c r="B13" s="42">
        <f>SUM(B8:B11)</f>
        <v>11364</v>
      </c>
      <c r="C13" s="42">
        <f>SUM(C8:C11)</f>
        <v>12024</v>
      </c>
      <c r="D13" s="42">
        <f>SUM(D8:D11)</f>
        <v>12808</v>
      </c>
      <c r="E13" s="42">
        <f>SUM(E8:E11)</f>
        <v>13564</v>
      </c>
      <c r="F13" s="42">
        <f>SUM(F8:F11)</f>
        <v>15130</v>
      </c>
      <c r="G13" s="42">
        <f t="shared" ref="G13:L13" si="0">G33</f>
        <v>17213</v>
      </c>
      <c r="H13" s="42">
        <f t="shared" si="0"/>
        <v>19218</v>
      </c>
      <c r="I13" s="42">
        <f t="shared" si="0"/>
        <v>21018</v>
      </c>
      <c r="J13" s="42">
        <f t="shared" si="0"/>
        <v>22591</v>
      </c>
      <c r="K13" s="42">
        <f t="shared" si="0"/>
        <v>23912</v>
      </c>
      <c r="L13" s="448">
        <f t="shared" si="0"/>
        <v>25298</v>
      </c>
    </row>
    <row r="14" spans="1:14" x14ac:dyDescent="0.3">
      <c r="A14" s="183" t="s">
        <v>151</v>
      </c>
      <c r="B14" s="45">
        <v>-5947</v>
      </c>
      <c r="C14" s="45">
        <v>-6124</v>
      </c>
      <c r="D14" s="45">
        <v>-6610</v>
      </c>
      <c r="E14" s="45">
        <v>-7097</v>
      </c>
      <c r="F14" s="45">
        <v>-7605</v>
      </c>
      <c r="G14" s="41">
        <f t="shared" ref="G14:L14" si="1">-G42</f>
        <v>-8333</v>
      </c>
      <c r="H14" s="41">
        <f t="shared" si="1"/>
        <v>-9153</v>
      </c>
      <c r="I14" s="41">
        <f t="shared" si="1"/>
        <v>-10058</v>
      </c>
      <c r="J14" s="41">
        <f t="shared" si="1"/>
        <v>-11039</v>
      </c>
      <c r="K14" s="41">
        <f t="shared" si="1"/>
        <v>-12085</v>
      </c>
      <c r="L14" s="446">
        <f t="shared" si="1"/>
        <v>-13191</v>
      </c>
    </row>
    <row r="15" spans="1:14" x14ac:dyDescent="0.3">
      <c r="A15" s="183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46"/>
    </row>
    <row r="16" spans="1:14" ht="15" thickBot="1" x14ac:dyDescent="0.35">
      <c r="A16" s="449" t="s">
        <v>152</v>
      </c>
      <c r="B16" s="61">
        <f t="shared" ref="B16:L16" si="2">B13+B14</f>
        <v>5417</v>
      </c>
      <c r="C16" s="61">
        <f t="shared" si="2"/>
        <v>5900</v>
      </c>
      <c r="D16" s="61">
        <f t="shared" si="2"/>
        <v>6198</v>
      </c>
      <c r="E16" s="61">
        <f t="shared" si="2"/>
        <v>6467</v>
      </c>
      <c r="F16" s="61">
        <f t="shared" si="2"/>
        <v>7525</v>
      </c>
      <c r="G16" s="61">
        <f t="shared" si="2"/>
        <v>8880</v>
      </c>
      <c r="H16" s="61">
        <f t="shared" si="2"/>
        <v>10065</v>
      </c>
      <c r="I16" s="61">
        <f t="shared" si="2"/>
        <v>10960</v>
      </c>
      <c r="J16" s="61">
        <f t="shared" si="2"/>
        <v>11552</v>
      </c>
      <c r="K16" s="61">
        <f t="shared" si="2"/>
        <v>11827</v>
      </c>
      <c r="L16" s="450">
        <f t="shared" si="2"/>
        <v>12107</v>
      </c>
    </row>
    <row r="17" spans="1:14" ht="15" thickTop="1" x14ac:dyDescent="0.3">
      <c r="A17" s="451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452"/>
    </row>
    <row r="18" spans="1:14" x14ac:dyDescent="0.3">
      <c r="A18" s="453"/>
      <c r="B18" s="45"/>
      <c r="C18" s="45"/>
      <c r="D18" s="45"/>
      <c r="E18" s="45"/>
      <c r="F18" s="45"/>
      <c r="G18" s="41"/>
      <c r="H18" s="41"/>
      <c r="I18" s="41"/>
      <c r="J18" s="41"/>
      <c r="K18" s="41"/>
      <c r="L18" s="446"/>
    </row>
    <row r="19" spans="1:14" x14ac:dyDescent="0.3">
      <c r="A19" s="454" t="s">
        <v>135</v>
      </c>
      <c r="B19" s="92"/>
      <c r="C19" s="92"/>
      <c r="D19" s="92"/>
      <c r="E19" s="92"/>
      <c r="F19" s="92"/>
      <c r="G19" s="87"/>
      <c r="H19" s="87"/>
      <c r="I19" s="87"/>
      <c r="J19" s="87"/>
      <c r="K19" s="87"/>
      <c r="L19" s="455"/>
    </row>
    <row r="20" spans="1:14" x14ac:dyDescent="0.3">
      <c r="A20" s="183" t="s">
        <v>153</v>
      </c>
      <c r="B20" s="456">
        <v>697</v>
      </c>
      <c r="C20" s="456">
        <v>783</v>
      </c>
      <c r="D20" s="456">
        <v>878</v>
      </c>
      <c r="E20" s="456">
        <v>916</v>
      </c>
      <c r="F20" s="456">
        <v>1163</v>
      </c>
      <c r="G20" s="40">
        <f>ROUND(G24*'Income statement'!G9,0)</f>
        <v>2083</v>
      </c>
      <c r="H20" s="40">
        <f>ROUND(H24*'Income statement'!H9,0)</f>
        <v>2005</v>
      </c>
      <c r="I20" s="40">
        <f>ROUND(I24*'Income statement'!I9,0)</f>
        <v>1800</v>
      </c>
      <c r="J20" s="40">
        <f>ROUND(J24*'Income statement'!J9,0)</f>
        <v>1573</v>
      </c>
      <c r="K20" s="40">
        <f>ROUND(K24*'Income statement'!K9,0)</f>
        <v>1321</v>
      </c>
      <c r="L20" s="457">
        <f>ROUND(L24*'Income statement'!L9,0)</f>
        <v>1387</v>
      </c>
    </row>
    <row r="21" spans="1:14" x14ac:dyDescent="0.3">
      <c r="A21" s="183" t="s">
        <v>136</v>
      </c>
      <c r="B21" s="40">
        <v>508</v>
      </c>
      <c r="C21" s="40">
        <v>543</v>
      </c>
      <c r="D21" s="40">
        <v>568</v>
      </c>
      <c r="E21" s="40">
        <v>599</v>
      </c>
      <c r="F21" s="40">
        <v>680</v>
      </c>
      <c r="G21" s="40">
        <f>ROUND(G25*(G29+G33)/2,0)</f>
        <v>728</v>
      </c>
      <c r="H21" s="40">
        <f t="shared" ref="H21:L21" si="3">ROUND(H25*(H29+H33)/2,0)</f>
        <v>820</v>
      </c>
      <c r="I21" s="40">
        <f t="shared" si="3"/>
        <v>905</v>
      </c>
      <c r="J21" s="40">
        <f t="shared" si="3"/>
        <v>981</v>
      </c>
      <c r="K21" s="40">
        <f t="shared" si="3"/>
        <v>1046</v>
      </c>
      <c r="L21" s="457">
        <f t="shared" si="3"/>
        <v>1107</v>
      </c>
      <c r="N21" t="s">
        <v>486</v>
      </c>
    </row>
    <row r="22" spans="1:14" x14ac:dyDescent="0.3">
      <c r="A22" s="453" t="s">
        <v>154</v>
      </c>
      <c r="B22" s="88">
        <v>0</v>
      </c>
      <c r="C22" s="88">
        <f>B13+C20-C13</f>
        <v>123</v>
      </c>
      <c r="D22" s="88">
        <f>C13+D20-D13</f>
        <v>94</v>
      </c>
      <c r="E22" s="88">
        <f>D13+E20-E13</f>
        <v>160</v>
      </c>
      <c r="F22" s="88">
        <f>E13+F20-F13</f>
        <v>-403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458">
        <v>1</v>
      </c>
      <c r="N22" t="s">
        <v>446</v>
      </c>
    </row>
    <row r="23" spans="1:14" x14ac:dyDescent="0.3">
      <c r="A23" s="183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176"/>
    </row>
    <row r="24" spans="1:14" x14ac:dyDescent="0.3">
      <c r="A24" s="183" t="s">
        <v>137</v>
      </c>
      <c r="B24" s="459">
        <f>B20/'Income statement'!B9</f>
        <v>1.8118485013907303E-2</v>
      </c>
      <c r="C24" s="459">
        <f>C20/'Income statement'!C9</f>
        <v>1.9869566320704444E-2</v>
      </c>
      <c r="D24" s="459">
        <f>D20/'Income statement'!D9</f>
        <v>2.0770249810749434E-2</v>
      </c>
      <c r="E24" s="459">
        <f>E20/'Income statement'!E9</f>
        <v>1.9196915080895296E-2</v>
      </c>
      <c r="F24" s="459">
        <f>F20/'Income statement'!F9</f>
        <v>2.2131303520456707E-2</v>
      </c>
      <c r="G24" s="459">
        <v>3.7999999999999999E-2</v>
      </c>
      <c r="H24" s="459">
        <v>3.5000000000000003E-2</v>
      </c>
      <c r="I24" s="459">
        <v>0.03</v>
      </c>
      <c r="J24" s="459">
        <v>2.5000000000000001E-2</v>
      </c>
      <c r="K24" s="459">
        <v>0.02</v>
      </c>
      <c r="L24" s="460">
        <v>0.02</v>
      </c>
    </row>
    <row r="25" spans="1:14" x14ac:dyDescent="0.3">
      <c r="A25" s="183" t="s">
        <v>485</v>
      </c>
      <c r="B25" s="459">
        <f>B21/((B29+B33)/2)</f>
        <v>4.6116835368344607E-2</v>
      </c>
      <c r="C25" s="459">
        <f>C21/((C29+C33)/2)</f>
        <v>4.643406875320677E-2</v>
      </c>
      <c r="D25" s="459">
        <f>D21/((D29+D33)/2)</f>
        <v>4.5747422680412368E-2</v>
      </c>
      <c r="E25" s="459">
        <f>E21/((E29+E33)/2)</f>
        <v>4.5426967996359778E-2</v>
      </c>
      <c r="F25" s="459">
        <f>F21/((F29+F33)/2)</f>
        <v>4.7396668293022928E-2</v>
      </c>
      <c r="G25" s="459">
        <v>4.4999999999999998E-2</v>
      </c>
      <c r="H25" s="459">
        <v>4.4999999999999998E-2</v>
      </c>
      <c r="I25" s="459">
        <v>4.4999999999999998E-2</v>
      </c>
      <c r="J25" s="459">
        <v>4.4999999999999998E-2</v>
      </c>
      <c r="K25" s="459">
        <v>4.4999999999999998E-2</v>
      </c>
      <c r="L25" s="460">
        <v>4.4999999999999998E-2</v>
      </c>
    </row>
    <row r="26" spans="1:14" x14ac:dyDescent="0.3">
      <c r="A26" s="183" t="s">
        <v>155</v>
      </c>
      <c r="B26" s="41">
        <f>B13/B21</f>
        <v>22.370078740157481</v>
      </c>
      <c r="C26" s="41">
        <f>C13/C21</f>
        <v>22.143646408839778</v>
      </c>
      <c r="D26" s="41">
        <f>D13/D21</f>
        <v>22.549295774647888</v>
      </c>
      <c r="E26" s="41">
        <f>E13/E21</f>
        <v>22.64440734557596</v>
      </c>
      <c r="F26" s="41">
        <f>F13/F21</f>
        <v>22.25</v>
      </c>
      <c r="G26" s="41">
        <f t="shared" ref="G26:L26" si="4">IF(G21=0,"",G13/G21)</f>
        <v>23.64423076923077</v>
      </c>
      <c r="H26" s="41">
        <f t="shared" si="4"/>
        <v>23.436585365853659</v>
      </c>
      <c r="I26" s="41">
        <f t="shared" si="4"/>
        <v>23.224309392265194</v>
      </c>
      <c r="J26" s="41">
        <f t="shared" si="4"/>
        <v>23.028542303771662</v>
      </c>
      <c r="K26" s="41">
        <f t="shared" si="4"/>
        <v>22.860420650095602</v>
      </c>
      <c r="L26" s="446">
        <f t="shared" si="4"/>
        <v>22.852755194218609</v>
      </c>
    </row>
    <row r="27" spans="1:14" x14ac:dyDescent="0.3">
      <c r="A27" s="183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46"/>
      <c r="N27" t="s">
        <v>447</v>
      </c>
    </row>
    <row r="28" spans="1:14" x14ac:dyDescent="0.3">
      <c r="A28" s="461" t="s">
        <v>156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462"/>
    </row>
    <row r="29" spans="1:14" x14ac:dyDescent="0.3">
      <c r="A29" s="183" t="s">
        <v>157</v>
      </c>
      <c r="B29" s="41">
        <v>10667</v>
      </c>
      <c r="C29" s="41">
        <f t="shared" ref="C29:L29" si="5">B33</f>
        <v>11364</v>
      </c>
      <c r="D29" s="41">
        <f t="shared" si="5"/>
        <v>12024</v>
      </c>
      <c r="E29" s="41">
        <f t="shared" si="5"/>
        <v>12808</v>
      </c>
      <c r="F29" s="41">
        <f t="shared" si="5"/>
        <v>13564</v>
      </c>
      <c r="G29" s="41">
        <f t="shared" si="5"/>
        <v>15130</v>
      </c>
      <c r="H29" s="41">
        <f t="shared" si="5"/>
        <v>17213</v>
      </c>
      <c r="I29" s="41">
        <f t="shared" si="5"/>
        <v>19218</v>
      </c>
      <c r="J29" s="41">
        <f t="shared" si="5"/>
        <v>21018</v>
      </c>
      <c r="K29" s="41">
        <f t="shared" si="5"/>
        <v>22591</v>
      </c>
      <c r="L29" s="446">
        <f t="shared" si="5"/>
        <v>23912</v>
      </c>
    </row>
    <row r="30" spans="1:14" x14ac:dyDescent="0.3">
      <c r="A30" s="453" t="s">
        <v>138</v>
      </c>
      <c r="B30" s="40">
        <f t="shared" ref="B30:L30" si="6">B20</f>
        <v>697</v>
      </c>
      <c r="C30" s="40">
        <f t="shared" si="6"/>
        <v>783</v>
      </c>
      <c r="D30" s="40">
        <f t="shared" si="6"/>
        <v>878</v>
      </c>
      <c r="E30" s="40">
        <f t="shared" si="6"/>
        <v>916</v>
      </c>
      <c r="F30" s="40">
        <f t="shared" si="6"/>
        <v>1163</v>
      </c>
      <c r="G30" s="40">
        <f t="shared" si="6"/>
        <v>2083</v>
      </c>
      <c r="H30" s="40">
        <f t="shared" si="6"/>
        <v>2005</v>
      </c>
      <c r="I30" s="40">
        <f t="shared" si="6"/>
        <v>1800</v>
      </c>
      <c r="J30" s="40">
        <f t="shared" si="6"/>
        <v>1573</v>
      </c>
      <c r="K30" s="40">
        <f t="shared" si="6"/>
        <v>1321</v>
      </c>
      <c r="L30" s="457">
        <f t="shared" si="6"/>
        <v>1387</v>
      </c>
    </row>
    <row r="31" spans="1:14" x14ac:dyDescent="0.3">
      <c r="A31" s="183" t="s">
        <v>139</v>
      </c>
      <c r="B31" s="62">
        <f t="shared" ref="B31:L31" si="7">B22</f>
        <v>0</v>
      </c>
      <c r="C31" s="62">
        <f t="shared" si="7"/>
        <v>123</v>
      </c>
      <c r="D31" s="62">
        <f t="shared" si="7"/>
        <v>94</v>
      </c>
      <c r="E31" s="62">
        <f t="shared" si="7"/>
        <v>160</v>
      </c>
      <c r="F31" s="62">
        <f t="shared" si="7"/>
        <v>-403</v>
      </c>
      <c r="G31" s="62">
        <f t="shared" si="7"/>
        <v>0</v>
      </c>
      <c r="H31" s="62">
        <f t="shared" si="7"/>
        <v>0</v>
      </c>
      <c r="I31" s="62">
        <f t="shared" si="7"/>
        <v>0</v>
      </c>
      <c r="J31" s="62">
        <f t="shared" si="7"/>
        <v>0</v>
      </c>
      <c r="K31" s="62">
        <f t="shared" si="7"/>
        <v>0</v>
      </c>
      <c r="L31" s="452">
        <f t="shared" si="7"/>
        <v>1</v>
      </c>
    </row>
    <row r="32" spans="1:14" x14ac:dyDescent="0.3">
      <c r="A32" s="183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46"/>
    </row>
    <row r="33" spans="1:12" ht="15" thickBot="1" x14ac:dyDescent="0.35">
      <c r="A33" s="183" t="s">
        <v>140</v>
      </c>
      <c r="B33" s="90">
        <f>B13</f>
        <v>11364</v>
      </c>
      <c r="C33" s="90">
        <f>C13</f>
        <v>12024</v>
      </c>
      <c r="D33" s="90">
        <f>D13</f>
        <v>12808</v>
      </c>
      <c r="E33" s="90">
        <f>E13</f>
        <v>13564</v>
      </c>
      <c r="F33" s="90">
        <f>F13</f>
        <v>15130</v>
      </c>
      <c r="G33" s="90">
        <f t="shared" ref="G33:L33" si="8">G29+G30-G31</f>
        <v>17213</v>
      </c>
      <c r="H33" s="90">
        <f t="shared" si="8"/>
        <v>19218</v>
      </c>
      <c r="I33" s="90">
        <f t="shared" si="8"/>
        <v>21018</v>
      </c>
      <c r="J33" s="90">
        <f t="shared" si="8"/>
        <v>22591</v>
      </c>
      <c r="K33" s="90">
        <f t="shared" si="8"/>
        <v>23912</v>
      </c>
      <c r="L33" s="463">
        <f t="shared" si="8"/>
        <v>25298</v>
      </c>
    </row>
    <row r="34" spans="1:12" ht="15" thickTop="1" x14ac:dyDescent="0.3">
      <c r="A34" s="183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46"/>
    </row>
    <row r="35" spans="1:12" x14ac:dyDescent="0.3">
      <c r="A35" s="447" t="s">
        <v>158</v>
      </c>
      <c r="B35" s="42" t="s">
        <v>75</v>
      </c>
      <c r="C35" s="409">
        <f t="shared" ref="C35:L35" si="9">C33/B33-1</f>
        <v>5.8078141499471991E-2</v>
      </c>
      <c r="D35" s="409">
        <f t="shared" si="9"/>
        <v>6.5202927478376527E-2</v>
      </c>
      <c r="E35" s="409">
        <f t="shared" si="9"/>
        <v>5.9025608994378587E-2</v>
      </c>
      <c r="F35" s="409">
        <f t="shared" si="9"/>
        <v>0.11545266882925387</v>
      </c>
      <c r="G35" s="409">
        <f t="shared" si="9"/>
        <v>0.13767349636483805</v>
      </c>
      <c r="H35" s="409">
        <f t="shared" si="9"/>
        <v>0.11648172892581199</v>
      </c>
      <c r="I35" s="409">
        <f t="shared" si="9"/>
        <v>9.3662191695285779E-2</v>
      </c>
      <c r="J35" s="409">
        <f t="shared" si="9"/>
        <v>7.4840612808069196E-2</v>
      </c>
      <c r="K35" s="409">
        <f t="shared" si="9"/>
        <v>5.8474613784250451E-2</v>
      </c>
      <c r="L35" s="464">
        <f t="shared" si="9"/>
        <v>5.7962529274004693E-2</v>
      </c>
    </row>
    <row r="36" spans="1:12" x14ac:dyDescent="0.3">
      <c r="A36" s="183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46"/>
    </row>
    <row r="37" spans="1:12" x14ac:dyDescent="0.3">
      <c r="A37" s="444" t="s">
        <v>159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465"/>
    </row>
    <row r="38" spans="1:12" x14ac:dyDescent="0.3">
      <c r="A38" s="183" t="s">
        <v>160</v>
      </c>
      <c r="B38" s="62">
        <v>5468</v>
      </c>
      <c r="C38" s="62">
        <f t="shared" ref="C38:L38" si="10">B42</f>
        <v>5947</v>
      </c>
      <c r="D38" s="62">
        <f t="shared" si="10"/>
        <v>6124</v>
      </c>
      <c r="E38" s="62">
        <f t="shared" si="10"/>
        <v>6610</v>
      </c>
      <c r="F38" s="62">
        <f t="shared" si="10"/>
        <v>7097</v>
      </c>
      <c r="G38" s="62">
        <f t="shared" si="10"/>
        <v>7605</v>
      </c>
      <c r="H38" s="62">
        <f t="shared" si="10"/>
        <v>8333</v>
      </c>
      <c r="I38" s="62">
        <f t="shared" si="10"/>
        <v>9153</v>
      </c>
      <c r="J38" s="62">
        <f t="shared" si="10"/>
        <v>10058</v>
      </c>
      <c r="K38" s="62">
        <f t="shared" si="10"/>
        <v>11039</v>
      </c>
      <c r="L38" s="452">
        <f t="shared" si="10"/>
        <v>12085</v>
      </c>
    </row>
    <row r="39" spans="1:12" x14ac:dyDescent="0.3">
      <c r="A39" s="183" t="s">
        <v>141</v>
      </c>
      <c r="B39" s="62">
        <f t="shared" ref="B39:L39" si="11">B21</f>
        <v>508</v>
      </c>
      <c r="C39" s="62">
        <f t="shared" si="11"/>
        <v>543</v>
      </c>
      <c r="D39" s="62">
        <f t="shared" si="11"/>
        <v>568</v>
      </c>
      <c r="E39" s="62">
        <f t="shared" si="11"/>
        <v>599</v>
      </c>
      <c r="F39" s="62">
        <f t="shared" si="11"/>
        <v>680</v>
      </c>
      <c r="G39" s="62">
        <f t="shared" si="11"/>
        <v>728</v>
      </c>
      <c r="H39" s="62">
        <f t="shared" si="11"/>
        <v>820</v>
      </c>
      <c r="I39" s="62">
        <f t="shared" si="11"/>
        <v>905</v>
      </c>
      <c r="J39" s="62">
        <f t="shared" si="11"/>
        <v>981</v>
      </c>
      <c r="K39" s="62">
        <f t="shared" si="11"/>
        <v>1046</v>
      </c>
      <c r="L39" s="452">
        <f t="shared" si="11"/>
        <v>1107</v>
      </c>
    </row>
    <row r="40" spans="1:12" x14ac:dyDescent="0.3">
      <c r="A40" s="183" t="s">
        <v>161</v>
      </c>
      <c r="B40" s="62">
        <f>B42-B38-B39</f>
        <v>-29</v>
      </c>
      <c r="C40" s="62">
        <f>C42-C38-C39</f>
        <v>-366</v>
      </c>
      <c r="D40" s="62">
        <f>D42-D38-D39</f>
        <v>-82</v>
      </c>
      <c r="E40" s="62">
        <f>E42-E38-E39</f>
        <v>-112</v>
      </c>
      <c r="F40" s="62">
        <f>F42-F38-F39</f>
        <v>-172</v>
      </c>
      <c r="G40" s="62">
        <f t="shared" ref="G40:L40" si="12">G22</f>
        <v>0</v>
      </c>
      <c r="H40" s="62">
        <f t="shared" si="12"/>
        <v>0</v>
      </c>
      <c r="I40" s="62">
        <f t="shared" si="12"/>
        <v>0</v>
      </c>
      <c r="J40" s="62">
        <f t="shared" si="12"/>
        <v>0</v>
      </c>
      <c r="K40" s="62">
        <f t="shared" si="12"/>
        <v>0</v>
      </c>
      <c r="L40" s="452">
        <f t="shared" si="12"/>
        <v>1</v>
      </c>
    </row>
    <row r="41" spans="1:12" x14ac:dyDescent="0.3">
      <c r="A41" s="183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452"/>
    </row>
    <row r="42" spans="1:12" ht="15" thickBot="1" x14ac:dyDescent="0.35">
      <c r="A42" s="453" t="s">
        <v>142</v>
      </c>
      <c r="B42" s="90">
        <f>-B14</f>
        <v>5947</v>
      </c>
      <c r="C42" s="90">
        <f>-C14</f>
        <v>6124</v>
      </c>
      <c r="D42" s="90">
        <f>-D14</f>
        <v>6610</v>
      </c>
      <c r="E42" s="90">
        <f>-E14</f>
        <v>7097</v>
      </c>
      <c r="F42" s="90">
        <f>-F14</f>
        <v>7605</v>
      </c>
      <c r="G42" s="90">
        <f t="shared" ref="G42:L42" si="13">G38+G39-G40</f>
        <v>8333</v>
      </c>
      <c r="H42" s="90">
        <f t="shared" si="13"/>
        <v>9153</v>
      </c>
      <c r="I42" s="90">
        <f t="shared" si="13"/>
        <v>10058</v>
      </c>
      <c r="J42" s="90">
        <f t="shared" si="13"/>
        <v>11039</v>
      </c>
      <c r="K42" s="90">
        <f t="shared" si="13"/>
        <v>12085</v>
      </c>
      <c r="L42" s="463">
        <f t="shared" si="13"/>
        <v>13191</v>
      </c>
    </row>
    <row r="43" spans="1:12" ht="15" thickTop="1" x14ac:dyDescent="0.3">
      <c r="A43" s="183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46"/>
    </row>
    <row r="44" spans="1:12" x14ac:dyDescent="0.3">
      <c r="A44" s="183" t="s">
        <v>162</v>
      </c>
      <c r="B44" s="466">
        <f t="shared" ref="B44:L44" si="14">B42/B13</f>
        <v>0.52331925378387889</v>
      </c>
      <c r="C44" s="466">
        <f t="shared" si="14"/>
        <v>0.50931470392548239</v>
      </c>
      <c r="D44" s="466">
        <f t="shared" si="14"/>
        <v>0.51608369768894446</v>
      </c>
      <c r="E44" s="466">
        <f t="shared" si="14"/>
        <v>0.52322323798289594</v>
      </c>
      <c r="F44" s="466">
        <f t="shared" si="14"/>
        <v>0.50264375413086582</v>
      </c>
      <c r="G44" s="466">
        <f t="shared" si="14"/>
        <v>0.48411084645326208</v>
      </c>
      <c r="H44" s="466">
        <f t="shared" si="14"/>
        <v>0.47627224477052765</v>
      </c>
      <c r="I44" s="466">
        <f t="shared" si="14"/>
        <v>0.47854220192216196</v>
      </c>
      <c r="J44" s="466">
        <f t="shared" si="14"/>
        <v>0.48864592094196801</v>
      </c>
      <c r="K44" s="466">
        <f t="shared" si="14"/>
        <v>0.50539478086316492</v>
      </c>
      <c r="L44" s="467">
        <f t="shared" si="14"/>
        <v>0.52142461854692068</v>
      </c>
    </row>
    <row r="45" spans="1:12" x14ac:dyDescent="0.3">
      <c r="A45" s="183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46"/>
    </row>
    <row r="46" spans="1:12" x14ac:dyDescent="0.3">
      <c r="A46" s="468" t="s">
        <v>163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469"/>
    </row>
    <row r="47" spans="1:12" x14ac:dyDescent="0.3">
      <c r="A47" s="183" t="s">
        <v>143</v>
      </c>
      <c r="B47" s="41">
        <f t="shared" ref="B47:L47" si="15">B13</f>
        <v>11364</v>
      </c>
      <c r="C47" s="41">
        <f t="shared" si="15"/>
        <v>12024</v>
      </c>
      <c r="D47" s="41">
        <f t="shared" si="15"/>
        <v>12808</v>
      </c>
      <c r="E47" s="41">
        <f t="shared" si="15"/>
        <v>13564</v>
      </c>
      <c r="F47" s="41">
        <f t="shared" si="15"/>
        <v>15130</v>
      </c>
      <c r="G47" s="41">
        <f t="shared" si="15"/>
        <v>17213</v>
      </c>
      <c r="H47" s="41">
        <f t="shared" si="15"/>
        <v>19218</v>
      </c>
      <c r="I47" s="41">
        <f t="shared" si="15"/>
        <v>21018</v>
      </c>
      <c r="J47" s="41">
        <f t="shared" si="15"/>
        <v>22591</v>
      </c>
      <c r="K47" s="41">
        <f t="shared" si="15"/>
        <v>23912</v>
      </c>
      <c r="L47" s="446">
        <f t="shared" si="15"/>
        <v>25298</v>
      </c>
    </row>
    <row r="48" spans="1:12" x14ac:dyDescent="0.3">
      <c r="A48" s="183" t="s">
        <v>164</v>
      </c>
      <c r="B48" s="41">
        <f t="shared" ref="B48:L48" si="16">-B42</f>
        <v>-5947</v>
      </c>
      <c r="C48" s="41">
        <f t="shared" si="16"/>
        <v>-6124</v>
      </c>
      <c r="D48" s="41">
        <f t="shared" si="16"/>
        <v>-6610</v>
      </c>
      <c r="E48" s="41">
        <f t="shared" si="16"/>
        <v>-7097</v>
      </c>
      <c r="F48" s="41">
        <f t="shared" si="16"/>
        <v>-7605</v>
      </c>
      <c r="G48" s="41">
        <f t="shared" si="16"/>
        <v>-8333</v>
      </c>
      <c r="H48" s="41">
        <f t="shared" si="16"/>
        <v>-9153</v>
      </c>
      <c r="I48" s="41">
        <f t="shared" si="16"/>
        <v>-10058</v>
      </c>
      <c r="J48" s="41">
        <f t="shared" si="16"/>
        <v>-11039</v>
      </c>
      <c r="K48" s="41">
        <f t="shared" si="16"/>
        <v>-12085</v>
      </c>
      <c r="L48" s="446">
        <f t="shared" si="16"/>
        <v>-13191</v>
      </c>
    </row>
    <row r="49" spans="1:14" x14ac:dyDescent="0.3">
      <c r="A49" s="183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46"/>
    </row>
    <row r="50" spans="1:14" ht="15" thickBot="1" x14ac:dyDescent="0.35">
      <c r="A50" s="470" t="s">
        <v>144</v>
      </c>
      <c r="B50" s="471">
        <f t="shared" ref="B50:L50" si="17">B47+B48</f>
        <v>5417</v>
      </c>
      <c r="C50" s="471">
        <f t="shared" si="17"/>
        <v>5900</v>
      </c>
      <c r="D50" s="471">
        <f t="shared" si="17"/>
        <v>6198</v>
      </c>
      <c r="E50" s="471">
        <f t="shared" si="17"/>
        <v>6467</v>
      </c>
      <c r="F50" s="471">
        <f t="shared" si="17"/>
        <v>7525</v>
      </c>
      <c r="G50" s="471">
        <f t="shared" si="17"/>
        <v>8880</v>
      </c>
      <c r="H50" s="471">
        <f t="shared" si="17"/>
        <v>10065</v>
      </c>
      <c r="I50" s="471">
        <f t="shared" si="17"/>
        <v>10960</v>
      </c>
      <c r="J50" s="471">
        <f t="shared" si="17"/>
        <v>11552</v>
      </c>
      <c r="K50" s="471">
        <f t="shared" si="17"/>
        <v>11827</v>
      </c>
      <c r="L50" s="472">
        <f t="shared" si="17"/>
        <v>12107</v>
      </c>
    </row>
    <row r="51" spans="1:14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spans="1:14" ht="18" x14ac:dyDescent="0.35">
      <c r="A52" s="33" t="s">
        <v>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4" x14ac:dyDescent="0.3">
      <c r="A53" s="34" t="s">
        <v>188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4" x14ac:dyDescent="0.3">
      <c r="A54" s="25" t="s">
        <v>22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1:14" ht="15" thickBot="1" x14ac:dyDescent="0.3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spans="1:14" x14ac:dyDescent="0.3">
      <c r="A56" s="473" t="s">
        <v>3</v>
      </c>
      <c r="B56" s="474">
        <v>2021</v>
      </c>
      <c r="C56" s="474">
        <v>2022</v>
      </c>
      <c r="D56" s="474">
        <v>2023</v>
      </c>
      <c r="E56" s="474">
        <v>2024</v>
      </c>
      <c r="F56" s="474">
        <v>2025</v>
      </c>
      <c r="G56" s="474">
        <v>2026</v>
      </c>
      <c r="H56" s="474">
        <v>2027</v>
      </c>
      <c r="I56" s="474">
        <v>2028</v>
      </c>
      <c r="J56" s="474">
        <v>2029</v>
      </c>
      <c r="K56" s="474">
        <v>2030</v>
      </c>
      <c r="L56" s="475">
        <v>2031</v>
      </c>
    </row>
    <row r="57" spans="1:14" x14ac:dyDescent="0.3">
      <c r="A57" s="183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176"/>
    </row>
    <row r="58" spans="1:14" hidden="1" outlineLevel="1" x14ac:dyDescent="0.3">
      <c r="A58" s="453" t="s">
        <v>189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176"/>
      <c r="N58" t="s">
        <v>448</v>
      </c>
    </row>
    <row r="59" spans="1:14" hidden="1" outlineLevel="1" x14ac:dyDescent="0.3">
      <c r="A59" s="183" t="s">
        <v>190</v>
      </c>
      <c r="B59" s="45">
        <v>500</v>
      </c>
      <c r="C59" s="45">
        <v>500</v>
      </c>
      <c r="D59" s="45">
        <v>500</v>
      </c>
      <c r="E59" s="45">
        <v>500</v>
      </c>
      <c r="F59" s="45">
        <v>500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46">
        <v>0</v>
      </c>
    </row>
    <row r="60" spans="1:14" hidden="1" outlineLevel="1" x14ac:dyDescent="0.3">
      <c r="A60" s="183" t="s">
        <v>191</v>
      </c>
      <c r="B60" s="45">
        <v>500</v>
      </c>
      <c r="C60" s="45">
        <v>500</v>
      </c>
      <c r="D60" s="45">
        <v>500</v>
      </c>
      <c r="E60" s="45">
        <v>500</v>
      </c>
      <c r="F60" s="45">
        <v>500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46">
        <v>0</v>
      </c>
    </row>
    <row r="61" spans="1:14" hidden="1" outlineLevel="1" x14ac:dyDescent="0.3">
      <c r="A61" s="183" t="s">
        <v>192</v>
      </c>
      <c r="B61" s="45">
        <v>750</v>
      </c>
      <c r="C61" s="45">
        <v>750</v>
      </c>
      <c r="D61" s="45">
        <v>750</v>
      </c>
      <c r="E61" s="45">
        <v>750</v>
      </c>
      <c r="F61" s="45">
        <v>750</v>
      </c>
      <c r="G61" s="41">
        <v>750</v>
      </c>
      <c r="H61" s="41">
        <v>0</v>
      </c>
      <c r="I61" s="41">
        <v>0</v>
      </c>
      <c r="J61" s="41">
        <v>0</v>
      </c>
      <c r="K61" s="41">
        <v>0</v>
      </c>
      <c r="L61" s="446">
        <v>0</v>
      </c>
    </row>
    <row r="62" spans="1:14" hidden="1" outlineLevel="1" x14ac:dyDescent="0.3">
      <c r="A62" s="183" t="s">
        <v>193</v>
      </c>
      <c r="B62" s="45">
        <v>500</v>
      </c>
      <c r="C62" s="45">
        <v>500</v>
      </c>
      <c r="D62" s="45">
        <v>500</v>
      </c>
      <c r="E62" s="45">
        <v>500</v>
      </c>
      <c r="F62" s="45">
        <v>500</v>
      </c>
      <c r="G62" s="41">
        <v>500</v>
      </c>
      <c r="H62" s="41">
        <v>0</v>
      </c>
      <c r="I62" s="41">
        <v>0</v>
      </c>
      <c r="J62" s="41">
        <v>0</v>
      </c>
      <c r="K62" s="41">
        <v>0</v>
      </c>
      <c r="L62" s="446">
        <v>0</v>
      </c>
    </row>
    <row r="63" spans="1:14" hidden="1" outlineLevel="1" x14ac:dyDescent="0.3">
      <c r="A63" s="183" t="s">
        <v>194</v>
      </c>
      <c r="B63" s="45">
        <v>1000</v>
      </c>
      <c r="C63" s="45">
        <v>1000</v>
      </c>
      <c r="D63" s="45">
        <v>1000</v>
      </c>
      <c r="E63" s="45">
        <v>1000</v>
      </c>
      <c r="F63" s="45">
        <v>1000</v>
      </c>
      <c r="G63" s="41">
        <v>1000</v>
      </c>
      <c r="H63" s="41">
        <v>1000</v>
      </c>
      <c r="I63" s="41">
        <v>0</v>
      </c>
      <c r="J63" s="41">
        <v>0</v>
      </c>
      <c r="K63" s="41">
        <v>0</v>
      </c>
      <c r="L63" s="446">
        <v>0</v>
      </c>
    </row>
    <row r="64" spans="1:14" hidden="1" outlineLevel="1" x14ac:dyDescent="0.3">
      <c r="A64" s="183" t="s">
        <v>195</v>
      </c>
      <c r="B64" s="45">
        <v>1000</v>
      </c>
      <c r="C64" s="45">
        <v>1000</v>
      </c>
      <c r="D64" s="45">
        <v>1000</v>
      </c>
      <c r="E64" s="45">
        <v>1000</v>
      </c>
      <c r="F64" s="45">
        <v>1000</v>
      </c>
      <c r="G64" s="41">
        <v>1000</v>
      </c>
      <c r="H64" s="41">
        <v>1000</v>
      </c>
      <c r="I64" s="41">
        <v>1000</v>
      </c>
      <c r="J64" s="41">
        <v>1000</v>
      </c>
      <c r="K64" s="41">
        <v>0</v>
      </c>
      <c r="L64" s="446">
        <v>0</v>
      </c>
    </row>
    <row r="65" spans="1:14" hidden="1" outlineLevel="1" x14ac:dyDescent="0.3">
      <c r="A65" s="183" t="s">
        <v>196</v>
      </c>
      <c r="B65" s="45">
        <v>500</v>
      </c>
      <c r="C65" s="45">
        <v>500</v>
      </c>
      <c r="D65" s="45">
        <v>500</v>
      </c>
      <c r="E65" s="45">
        <v>500</v>
      </c>
      <c r="F65" s="45">
        <v>500</v>
      </c>
      <c r="G65" s="41">
        <v>500</v>
      </c>
      <c r="H65" s="41">
        <v>500</v>
      </c>
      <c r="I65" s="41">
        <v>500</v>
      </c>
      <c r="J65" s="41">
        <v>500</v>
      </c>
      <c r="K65" s="41">
        <v>500</v>
      </c>
      <c r="L65" s="446">
        <v>0</v>
      </c>
    </row>
    <row r="66" spans="1:14" hidden="1" outlineLevel="1" x14ac:dyDescent="0.3">
      <c r="A66" s="183" t="s">
        <v>197</v>
      </c>
      <c r="B66" s="45">
        <v>0</v>
      </c>
      <c r="C66" s="45">
        <v>0</v>
      </c>
      <c r="D66" s="45">
        <v>0</v>
      </c>
      <c r="E66" s="45">
        <v>0</v>
      </c>
      <c r="F66" s="45">
        <v>750</v>
      </c>
      <c r="G66" s="41">
        <v>750</v>
      </c>
      <c r="H66" s="41">
        <v>750</v>
      </c>
      <c r="I66" s="41">
        <v>750</v>
      </c>
      <c r="J66" s="41">
        <v>750</v>
      </c>
      <c r="K66" s="41">
        <v>750</v>
      </c>
      <c r="L66" s="446">
        <v>750</v>
      </c>
    </row>
    <row r="67" spans="1:14" hidden="1" outlineLevel="1" x14ac:dyDescent="0.3">
      <c r="A67" s="183" t="s">
        <v>198</v>
      </c>
      <c r="B67" s="45">
        <v>750</v>
      </c>
      <c r="C67" s="45">
        <v>750</v>
      </c>
      <c r="D67" s="45">
        <v>750</v>
      </c>
      <c r="E67" s="45">
        <v>750</v>
      </c>
      <c r="F67" s="45">
        <v>750</v>
      </c>
      <c r="G67" s="41">
        <v>750</v>
      </c>
      <c r="H67" s="41">
        <v>750</v>
      </c>
      <c r="I67" s="41">
        <v>750</v>
      </c>
      <c r="J67" s="41">
        <v>750</v>
      </c>
      <c r="K67" s="41">
        <v>750</v>
      </c>
      <c r="L67" s="446">
        <v>750</v>
      </c>
    </row>
    <row r="68" spans="1:14" hidden="1" outlineLevel="1" x14ac:dyDescent="0.3">
      <c r="A68" s="183" t="s">
        <v>199</v>
      </c>
      <c r="B68" s="45">
        <v>500</v>
      </c>
      <c r="C68" s="45">
        <v>500</v>
      </c>
      <c r="D68" s="45">
        <v>500</v>
      </c>
      <c r="E68" s="45">
        <v>500</v>
      </c>
      <c r="F68" s="45">
        <v>500</v>
      </c>
      <c r="G68" s="41">
        <v>500</v>
      </c>
      <c r="H68" s="41">
        <v>500</v>
      </c>
      <c r="I68" s="41">
        <v>500</v>
      </c>
      <c r="J68" s="41">
        <v>500</v>
      </c>
      <c r="K68" s="41">
        <v>500</v>
      </c>
      <c r="L68" s="446">
        <v>500</v>
      </c>
    </row>
    <row r="69" spans="1:14" hidden="1" outlineLevel="1" x14ac:dyDescent="0.3">
      <c r="A69" s="183" t="s">
        <v>200</v>
      </c>
      <c r="B69" s="45">
        <v>500</v>
      </c>
      <c r="C69" s="45">
        <v>500</v>
      </c>
      <c r="D69" s="45">
        <v>500</v>
      </c>
      <c r="E69" s="45">
        <v>500</v>
      </c>
      <c r="F69" s="45">
        <v>500</v>
      </c>
      <c r="G69" s="41">
        <v>500</v>
      </c>
      <c r="H69" s="41">
        <v>500</v>
      </c>
      <c r="I69" s="41">
        <v>500</v>
      </c>
      <c r="J69" s="41">
        <v>500</v>
      </c>
      <c r="K69" s="41">
        <v>500</v>
      </c>
      <c r="L69" s="446">
        <v>500</v>
      </c>
    </row>
    <row r="70" spans="1:14" hidden="1" outlineLevel="1" x14ac:dyDescent="0.3">
      <c r="A70" s="183" t="s">
        <v>198</v>
      </c>
      <c r="B70" s="45">
        <v>750</v>
      </c>
      <c r="C70" s="45">
        <v>750</v>
      </c>
      <c r="D70" s="45">
        <v>750</v>
      </c>
      <c r="E70" s="45">
        <v>750</v>
      </c>
      <c r="F70" s="45">
        <v>750</v>
      </c>
      <c r="G70" s="41">
        <v>750</v>
      </c>
      <c r="H70" s="41">
        <v>750</v>
      </c>
      <c r="I70" s="41">
        <v>750</v>
      </c>
      <c r="J70" s="41">
        <v>750</v>
      </c>
      <c r="K70" s="41">
        <v>750</v>
      </c>
      <c r="L70" s="446">
        <v>750</v>
      </c>
    </row>
    <row r="71" spans="1:14" hidden="1" outlineLevel="1" x14ac:dyDescent="0.3">
      <c r="A71" s="183" t="s">
        <v>117</v>
      </c>
      <c r="B71" s="45">
        <v>74</v>
      </c>
      <c r="C71" s="45">
        <v>74</v>
      </c>
      <c r="D71" s="45">
        <v>74</v>
      </c>
      <c r="E71" s="45">
        <v>76</v>
      </c>
      <c r="F71" s="45">
        <v>74</v>
      </c>
      <c r="G71" s="41">
        <v>68</v>
      </c>
      <c r="H71" s="41">
        <v>61</v>
      </c>
      <c r="I71" s="41">
        <v>54</v>
      </c>
      <c r="J71" s="41">
        <v>47</v>
      </c>
      <c r="K71" s="41">
        <v>40</v>
      </c>
      <c r="L71" s="446">
        <v>40</v>
      </c>
    </row>
    <row r="72" spans="1:14" collapsed="1" x14ac:dyDescent="0.3">
      <c r="A72" s="183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176"/>
    </row>
    <row r="73" spans="1:14" ht="15" thickBot="1" x14ac:dyDescent="0.35">
      <c r="A73" s="476" t="s">
        <v>201</v>
      </c>
      <c r="B73" s="90">
        <f>SUM(B59:B71)</f>
        <v>7324</v>
      </c>
      <c r="C73" s="90">
        <f t="shared" ref="C73:L73" si="18">SUM(C59:C71)</f>
        <v>7324</v>
      </c>
      <c r="D73" s="90">
        <f t="shared" si="18"/>
        <v>7324</v>
      </c>
      <c r="E73" s="90">
        <f t="shared" si="18"/>
        <v>7326</v>
      </c>
      <c r="F73" s="90">
        <f t="shared" si="18"/>
        <v>8074</v>
      </c>
      <c r="G73" s="90">
        <f t="shared" si="18"/>
        <v>7068</v>
      </c>
      <c r="H73" s="90">
        <f>SUM(H59:H71)</f>
        <v>5811</v>
      </c>
      <c r="I73" s="90">
        <f t="shared" si="18"/>
        <v>4804</v>
      </c>
      <c r="J73" s="90">
        <f t="shared" si="18"/>
        <v>4797</v>
      </c>
      <c r="K73" s="90">
        <f>SUM(K59:K71)</f>
        <v>3790</v>
      </c>
      <c r="L73" s="463">
        <f t="shared" si="18"/>
        <v>3290</v>
      </c>
    </row>
    <row r="74" spans="1:14" ht="15" thickTop="1" x14ac:dyDescent="0.3">
      <c r="A74" s="183" t="s">
        <v>202</v>
      </c>
      <c r="B74" s="45">
        <v>-61</v>
      </c>
      <c r="C74" s="45">
        <v>-61</v>
      </c>
      <c r="D74" s="45">
        <v>-61</v>
      </c>
      <c r="E74" s="45">
        <v>-64</v>
      </c>
      <c r="F74" s="45">
        <v>-61</v>
      </c>
      <c r="G74" s="41">
        <v>-55</v>
      </c>
      <c r="H74" s="41">
        <v>-49</v>
      </c>
      <c r="I74" s="41">
        <v>-43</v>
      </c>
      <c r="J74" s="41">
        <v>-37</v>
      </c>
      <c r="K74" s="41">
        <v>-31</v>
      </c>
      <c r="L74" s="446">
        <v>-25</v>
      </c>
      <c r="N74" t="s">
        <v>449</v>
      </c>
    </row>
    <row r="75" spans="1:14" ht="15" thickBot="1" x14ac:dyDescent="0.35">
      <c r="A75" s="449" t="s">
        <v>203</v>
      </c>
      <c r="B75" s="61">
        <f>B73+B74</f>
        <v>7263</v>
      </c>
      <c r="C75" s="61">
        <f>C73+C74</f>
        <v>7263</v>
      </c>
      <c r="D75" s="61">
        <f>D73+D74</f>
        <v>7263</v>
      </c>
      <c r="E75" s="61">
        <f>E73+E74</f>
        <v>7262</v>
      </c>
      <c r="F75" s="61">
        <f>F73+F74</f>
        <v>8013</v>
      </c>
      <c r="G75" s="61">
        <f>G81+G74</f>
        <v>8488</v>
      </c>
      <c r="H75" s="61">
        <f t="shared" ref="H75:L75" si="19">H81+H74</f>
        <v>8937</v>
      </c>
      <c r="I75" s="61">
        <f>I81+I74</f>
        <v>9361</v>
      </c>
      <c r="J75" s="61">
        <f t="shared" si="19"/>
        <v>9760</v>
      </c>
      <c r="K75" s="61">
        <f t="shared" si="19"/>
        <v>10159</v>
      </c>
      <c r="L75" s="450">
        <f t="shared" si="19"/>
        <v>10515</v>
      </c>
    </row>
    <row r="76" spans="1:14" ht="15" thickTop="1" x14ac:dyDescent="0.3">
      <c r="A76" s="183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176"/>
    </row>
    <row r="77" spans="1:14" x14ac:dyDescent="0.3">
      <c r="A77" s="453" t="s">
        <v>204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176"/>
    </row>
    <row r="78" spans="1:14" x14ac:dyDescent="0.3">
      <c r="A78" s="183" t="s">
        <v>205</v>
      </c>
      <c r="B78" s="41">
        <v>11672</v>
      </c>
      <c r="C78" s="41">
        <f>B73</f>
        <v>7324</v>
      </c>
      <c r="D78" s="41">
        <f>C73</f>
        <v>7324</v>
      </c>
      <c r="E78" s="41">
        <f>D73</f>
        <v>7324</v>
      </c>
      <c r="F78" s="41">
        <f>E73</f>
        <v>7326</v>
      </c>
      <c r="G78" s="41">
        <f>F73</f>
        <v>8074</v>
      </c>
      <c r="H78" s="41">
        <f>G81</f>
        <v>8543</v>
      </c>
      <c r="I78" s="41">
        <f>H81</f>
        <v>8986</v>
      </c>
      <c r="J78" s="41">
        <f>I81</f>
        <v>9404</v>
      </c>
      <c r="K78" s="41">
        <f>J81</f>
        <v>9797</v>
      </c>
      <c r="L78" s="446">
        <f>K81</f>
        <v>10190</v>
      </c>
    </row>
    <row r="79" spans="1:14" x14ac:dyDescent="0.3">
      <c r="A79" s="189" t="s">
        <v>206</v>
      </c>
      <c r="B79" s="41">
        <v>1497</v>
      </c>
      <c r="C79" s="41">
        <v>0</v>
      </c>
      <c r="D79" s="41">
        <v>0</v>
      </c>
      <c r="E79" s="41">
        <v>0</v>
      </c>
      <c r="F79" s="41">
        <v>750</v>
      </c>
      <c r="G79" s="41">
        <v>1475</v>
      </c>
      <c r="H79" s="41">
        <v>1700</v>
      </c>
      <c r="I79" s="41">
        <v>1425</v>
      </c>
      <c r="J79" s="41">
        <v>400</v>
      </c>
      <c r="K79" s="41">
        <v>1400</v>
      </c>
      <c r="L79" s="446">
        <v>850</v>
      </c>
      <c r="N79" t="s">
        <v>450</v>
      </c>
    </row>
    <row r="80" spans="1:14" x14ac:dyDescent="0.3">
      <c r="A80" s="183" t="s">
        <v>207</v>
      </c>
      <c r="B80" s="41">
        <f>B73-B78-B79</f>
        <v>-5845</v>
      </c>
      <c r="C80" s="41">
        <f>C73-C78-C79</f>
        <v>0</v>
      </c>
      <c r="D80" s="41">
        <f>D73-D78-D79</f>
        <v>0</v>
      </c>
      <c r="E80" s="41">
        <f>E73-E78-E79</f>
        <v>2</v>
      </c>
      <c r="F80" s="41">
        <f>F73-F78-F79</f>
        <v>-2</v>
      </c>
      <c r="G80" s="41">
        <f t="shared" ref="G80:L80" si="20">G81-G78-G79</f>
        <v>-1006</v>
      </c>
      <c r="H80" s="41">
        <f>H81-H78-H79</f>
        <v>-1257</v>
      </c>
      <c r="I80" s="41">
        <f t="shared" si="20"/>
        <v>-1007</v>
      </c>
      <c r="J80" s="41">
        <f t="shared" si="20"/>
        <v>-7</v>
      </c>
      <c r="K80" s="41">
        <f t="shared" si="20"/>
        <v>-1007</v>
      </c>
      <c r="L80" s="446">
        <f t="shared" si="20"/>
        <v>-500</v>
      </c>
      <c r="N80" t="s">
        <v>451</v>
      </c>
    </row>
    <row r="81" spans="1:14" x14ac:dyDescent="0.3">
      <c r="A81" s="447" t="s">
        <v>208</v>
      </c>
      <c r="B81" s="42">
        <f>B78+B79+B80</f>
        <v>7324</v>
      </c>
      <c r="C81" s="42">
        <f>C78+C79+C80</f>
        <v>7324</v>
      </c>
      <c r="D81" s="42">
        <f>D78+D79+D80</f>
        <v>7324</v>
      </c>
      <c r="E81" s="42">
        <f>E78+E79+E80</f>
        <v>7326</v>
      </c>
      <c r="F81" s="42">
        <f>F78+F79+F80</f>
        <v>8074</v>
      </c>
      <c r="G81" s="42">
        <f>G73+G79</f>
        <v>8543</v>
      </c>
      <c r="H81" s="42">
        <f>H73+SUM(G79:H79)</f>
        <v>8986</v>
      </c>
      <c r="I81" s="42">
        <f>I73+SUM(G79:I79)</f>
        <v>9404</v>
      </c>
      <c r="J81" s="42">
        <f>J73+SUM(G79:J79)</f>
        <v>9797</v>
      </c>
      <c r="K81" s="42">
        <f>K73+SUM(G79:K79)</f>
        <v>10190</v>
      </c>
      <c r="L81" s="448">
        <f>L73+SUM(G79:L79)</f>
        <v>10540</v>
      </c>
    </row>
    <row r="82" spans="1:14" hidden="1" outlineLevel="1" x14ac:dyDescent="0.3">
      <c r="A82" s="183" t="s">
        <v>209</v>
      </c>
      <c r="B82" s="41">
        <f>B81-B73</f>
        <v>0</v>
      </c>
      <c r="C82" s="41">
        <f>C81-C73</f>
        <v>0</v>
      </c>
      <c r="D82" s="41">
        <f>D81-D73</f>
        <v>0</v>
      </c>
      <c r="E82" s="41">
        <f>E81-E73</f>
        <v>0</v>
      </c>
      <c r="F82" s="41">
        <f>F81-F73</f>
        <v>0</v>
      </c>
      <c r="G82" s="41">
        <f>G81-G73-G79</f>
        <v>0</v>
      </c>
      <c r="H82" s="41">
        <f>H81-H73-SUM(G79:H79)</f>
        <v>0</v>
      </c>
      <c r="I82" s="41">
        <f>I81-I73-SUM(G79:I79)</f>
        <v>0</v>
      </c>
      <c r="J82" s="41">
        <f>J81-J73-SUM(G79:J79)</f>
        <v>0</v>
      </c>
      <c r="K82" s="41">
        <f>K81-K73-SUM(G79:K79)</f>
        <v>0</v>
      </c>
      <c r="L82" s="446">
        <f>L81-L73-SUM(G79:L79)</f>
        <v>0</v>
      </c>
    </row>
    <row r="83" spans="1:14" collapsed="1" x14ac:dyDescent="0.3">
      <c r="A83" s="183"/>
      <c r="B83" s="477"/>
      <c r="C83" s="477"/>
      <c r="D83" s="477"/>
      <c r="E83" s="477"/>
      <c r="F83" s="477"/>
      <c r="G83" s="477"/>
      <c r="H83" s="477"/>
      <c r="I83" s="477"/>
      <c r="J83" s="477"/>
      <c r="K83" s="477"/>
      <c r="L83" s="478"/>
    </row>
    <row r="84" spans="1:14" x14ac:dyDescent="0.3">
      <c r="A84" s="453" t="s">
        <v>226</v>
      </c>
      <c r="B84" s="477"/>
      <c r="C84" s="477"/>
      <c r="D84" s="477"/>
      <c r="E84" s="477"/>
      <c r="F84" s="477"/>
      <c r="G84" s="477"/>
      <c r="H84" s="477"/>
      <c r="I84" s="477"/>
      <c r="J84" s="477"/>
      <c r="K84" s="477"/>
      <c r="L84" s="478"/>
    </row>
    <row r="85" spans="1:14" x14ac:dyDescent="0.3">
      <c r="A85" s="183" t="s">
        <v>493</v>
      </c>
      <c r="B85" s="8"/>
      <c r="C85" s="8">
        <f>C75/'Balance sheet'!C45</f>
        <v>0.39115682895303749</v>
      </c>
      <c r="D85" s="8">
        <f>D75/'Balance sheet'!D45</f>
        <v>0.34100192497300341</v>
      </c>
      <c r="E85" s="8">
        <f>E75/'Balance sheet'!E45</f>
        <v>0.32914834791279518</v>
      </c>
      <c r="F85" s="8">
        <f>F75/'Balance sheet'!F45</f>
        <v>0.31273905237686361</v>
      </c>
      <c r="G85" s="8">
        <f>G90/'Balance sheet'!G45</f>
        <v>0.31289156798937201</v>
      </c>
      <c r="H85" s="8">
        <f>H90/'Balance sheet'!H45</f>
        <v>0.31307762997821337</v>
      </c>
      <c r="I85" s="8">
        <f>I90/'Balance sheet'!I45</f>
        <v>0.31299163893164605</v>
      </c>
      <c r="J85" s="8">
        <f>J90/'Balance sheet'!J45</f>
        <v>0.31278614504032481</v>
      </c>
      <c r="K85" s="8">
        <f>K90/'Balance sheet'!K45</f>
        <v>0.31291875309226685</v>
      </c>
      <c r="L85" s="8">
        <f>L90/'Balance sheet'!L45</f>
        <v>0.31207980480840031</v>
      </c>
      <c r="N85" t="s">
        <v>494</v>
      </c>
    </row>
    <row r="87" spans="1:14" x14ac:dyDescent="0.3">
      <c r="A87" s="453" t="s">
        <v>210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176"/>
    </row>
    <row r="88" spans="1:14" x14ac:dyDescent="0.3">
      <c r="A88" s="183" t="s">
        <v>211</v>
      </c>
      <c r="B88" s="41">
        <f>'Balance sheet'!B26</f>
        <v>1005</v>
      </c>
      <c r="C88" s="41">
        <f>'Balance sheet'!C26</f>
        <v>1253</v>
      </c>
      <c r="D88" s="41">
        <f>'Balance sheet'!D26</f>
        <v>507</v>
      </c>
      <c r="E88" s="41">
        <f>'Balance sheet'!E26</f>
        <v>1502</v>
      </c>
      <c r="F88" s="41">
        <f>'Balance sheet'!F26</f>
        <v>1006</v>
      </c>
      <c r="G88" s="41">
        <f>G73-H73</f>
        <v>1257</v>
      </c>
      <c r="H88" s="41">
        <f>H73-I73</f>
        <v>1007</v>
      </c>
      <c r="I88" s="41">
        <f>I73-J73</f>
        <v>7</v>
      </c>
      <c r="J88" s="41">
        <f>J73-K73</f>
        <v>1007</v>
      </c>
      <c r="K88" s="41">
        <f>K73-L73</f>
        <v>500</v>
      </c>
      <c r="L88" s="446">
        <v>0</v>
      </c>
      <c r="N88" t="s">
        <v>452</v>
      </c>
    </row>
    <row r="89" spans="1:14" x14ac:dyDescent="0.3">
      <c r="A89" s="183" t="s">
        <v>212</v>
      </c>
      <c r="B89" s="41">
        <f>'Balance sheet'!B33</f>
        <v>10490</v>
      </c>
      <c r="C89" s="41">
        <f>'Balance sheet'!C33</f>
        <v>9243</v>
      </c>
      <c r="D89" s="41">
        <f>'Balance sheet'!D33</f>
        <v>8754</v>
      </c>
      <c r="E89" s="41">
        <f>'Balance sheet'!E33</f>
        <v>7260</v>
      </c>
      <c r="F89" s="41">
        <f>'Balance sheet'!F33</f>
        <v>7007</v>
      </c>
      <c r="G89" s="41">
        <f t="shared" ref="G89:L89" si="21">G75-G88</f>
        <v>7231</v>
      </c>
      <c r="H89" s="41">
        <f t="shared" si="21"/>
        <v>7930</v>
      </c>
      <c r="I89" s="41">
        <f>I75-I88</f>
        <v>9354</v>
      </c>
      <c r="J89" s="41">
        <f>J75-J88</f>
        <v>8753</v>
      </c>
      <c r="K89" s="41">
        <f t="shared" si="21"/>
        <v>9659</v>
      </c>
      <c r="L89" s="446">
        <f t="shared" si="21"/>
        <v>10515</v>
      </c>
      <c r="N89" t="s">
        <v>453</v>
      </c>
    </row>
    <row r="90" spans="1:14" x14ac:dyDescent="0.3">
      <c r="A90" s="447" t="s">
        <v>213</v>
      </c>
      <c r="B90" s="42">
        <f t="shared" ref="B90:L90" si="22">B88+B89</f>
        <v>11495</v>
      </c>
      <c r="C90" s="42">
        <f t="shared" si="22"/>
        <v>10496</v>
      </c>
      <c r="D90" s="42">
        <f t="shared" si="22"/>
        <v>9261</v>
      </c>
      <c r="E90" s="42">
        <f t="shared" si="22"/>
        <v>8762</v>
      </c>
      <c r="F90" s="42">
        <f t="shared" si="22"/>
        <v>8013</v>
      </c>
      <c r="G90" s="42">
        <f t="shared" si="22"/>
        <v>8488</v>
      </c>
      <c r="H90" s="42">
        <f t="shared" si="22"/>
        <v>8937</v>
      </c>
      <c r="I90" s="42">
        <f t="shared" si="22"/>
        <v>9361</v>
      </c>
      <c r="J90" s="42">
        <f>J88+J89</f>
        <v>9760</v>
      </c>
      <c r="K90" s="42">
        <f t="shared" si="22"/>
        <v>10159</v>
      </c>
      <c r="L90" s="448">
        <f t="shared" si="22"/>
        <v>10515</v>
      </c>
    </row>
    <row r="91" spans="1:14" x14ac:dyDescent="0.3">
      <c r="A91" s="183"/>
    </row>
    <row r="92" spans="1:14" x14ac:dyDescent="0.3">
      <c r="A92" s="453" t="s">
        <v>214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176"/>
    </row>
    <row r="93" spans="1:14" x14ac:dyDescent="0.3">
      <c r="A93" s="183" t="s">
        <v>215</v>
      </c>
      <c r="B93" s="479"/>
      <c r="C93" s="479">
        <f>ABS('Income statement'!C20)/((B75+C75)/2)</f>
        <v>5.0117031529670932E-2</v>
      </c>
      <c r="D93" s="479">
        <f>ABS('Income statement'!D20)/((C75+D75)/2)</f>
        <v>4.7225664326036074E-2</v>
      </c>
      <c r="E93" s="479">
        <f>ABS('Income statement'!E20)/((D75+E75)/2)</f>
        <v>4.4612736660929429E-2</v>
      </c>
      <c r="F93" s="479">
        <f>ABS('Income statement'!F20)/((E75+F75)/2)</f>
        <v>4.1112929623567919E-2</v>
      </c>
      <c r="G93" s="479">
        <f>F93</f>
        <v>4.1112929623567919E-2</v>
      </c>
      <c r="H93" s="479">
        <v>4.2500000000000003E-2</v>
      </c>
      <c r="I93" s="479">
        <v>4.4999999999999998E-2</v>
      </c>
      <c r="J93" s="479">
        <v>4.7500000000000001E-2</v>
      </c>
      <c r="K93" s="479">
        <v>0.05</v>
      </c>
      <c r="L93" s="480">
        <v>0.05</v>
      </c>
      <c r="N93" t="s">
        <v>454</v>
      </c>
    </row>
    <row r="94" spans="1:14" x14ac:dyDescent="0.3">
      <c r="A94" s="189" t="s">
        <v>216</v>
      </c>
      <c r="B94" s="41"/>
      <c r="C94" s="41">
        <f t="shared" ref="C94:L94" si="23">(B75+C75)/2</f>
        <v>7263</v>
      </c>
      <c r="D94" s="41">
        <f t="shared" si="23"/>
        <v>7263</v>
      </c>
      <c r="E94" s="41">
        <f t="shared" si="23"/>
        <v>7262.5</v>
      </c>
      <c r="F94" s="41">
        <f t="shared" si="23"/>
        <v>7637.5</v>
      </c>
      <c r="G94" s="41">
        <f t="shared" si="23"/>
        <v>8250.5</v>
      </c>
      <c r="H94" s="41">
        <f>(G75+H75)/2</f>
        <v>8712.5</v>
      </c>
      <c r="I94" s="41">
        <f t="shared" si="23"/>
        <v>9149</v>
      </c>
      <c r="J94" s="41">
        <f t="shared" si="23"/>
        <v>9560.5</v>
      </c>
      <c r="K94" s="41">
        <f t="shared" si="23"/>
        <v>9959.5</v>
      </c>
      <c r="L94" s="446">
        <f t="shared" si="23"/>
        <v>10337</v>
      </c>
      <c r="N94" t="s">
        <v>455</v>
      </c>
    </row>
    <row r="95" spans="1:14" ht="15" thickBot="1" x14ac:dyDescent="0.35">
      <c r="A95" s="481" t="s">
        <v>217</v>
      </c>
      <c r="B95" s="482"/>
      <c r="C95" s="482">
        <f>ABS('Income statement'!C20)</f>
        <v>364</v>
      </c>
      <c r="D95" s="482">
        <f>ABS('Income statement'!D20)</f>
        <v>343</v>
      </c>
      <c r="E95" s="482">
        <f>ABS('Income statement'!E20)</f>
        <v>324</v>
      </c>
      <c r="F95" s="482">
        <f>ABS('Income statement'!F20)</f>
        <v>314</v>
      </c>
      <c r="G95" s="482">
        <f>G93*G94</f>
        <v>339.20222585924711</v>
      </c>
      <c r="H95" s="482">
        <f>H93*H94</f>
        <v>370.28125</v>
      </c>
      <c r="I95" s="482">
        <f t="shared" ref="I95:L95" si="24">I93*I94</f>
        <v>411.70499999999998</v>
      </c>
      <c r="J95" s="482">
        <f t="shared" si="24"/>
        <v>454.12375000000003</v>
      </c>
      <c r="K95" s="482">
        <f t="shared" si="24"/>
        <v>497.97500000000002</v>
      </c>
      <c r="L95" s="483">
        <f t="shared" si="24"/>
        <v>516.85</v>
      </c>
      <c r="N95" t="s">
        <v>456</v>
      </c>
    </row>
    <row r="96" spans="1:14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</row>
    <row r="97" spans="1:14" ht="18" x14ac:dyDescent="0.35">
      <c r="A97" s="33" t="s">
        <v>0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</row>
    <row r="98" spans="1:14" x14ac:dyDescent="0.3">
      <c r="A98" s="34" t="s">
        <v>171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</row>
    <row r="99" spans="1:14" x14ac:dyDescent="0.3">
      <c r="A99" s="25" t="s">
        <v>22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</row>
    <row r="100" spans="1:14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</row>
    <row r="101" spans="1:14" x14ac:dyDescent="0.3">
      <c r="A101" s="59" t="s">
        <v>3</v>
      </c>
      <c r="B101" s="37">
        <v>2021</v>
      </c>
      <c r="C101" s="37">
        <v>2022</v>
      </c>
      <c r="D101" s="37">
        <v>2023</v>
      </c>
      <c r="E101" s="37">
        <v>2024</v>
      </c>
      <c r="F101" s="37">
        <v>2025</v>
      </c>
      <c r="G101" s="37">
        <v>2026</v>
      </c>
      <c r="H101" s="37">
        <v>2027</v>
      </c>
      <c r="I101" s="37">
        <v>2028</v>
      </c>
      <c r="J101" s="37">
        <v>2029</v>
      </c>
      <c r="K101" s="37">
        <v>2030</v>
      </c>
      <c r="L101" s="37">
        <v>2031</v>
      </c>
    </row>
    <row r="102" spans="1:14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</row>
    <row r="103" spans="1:14" x14ac:dyDescent="0.3">
      <c r="A103" s="84" t="s">
        <v>172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</row>
    <row r="104" spans="1:14" x14ac:dyDescent="0.3">
      <c r="A104" s="27" t="s">
        <v>173</v>
      </c>
      <c r="B104" s="41">
        <f>'Income statement'!B9</f>
        <v>38469</v>
      </c>
      <c r="C104" s="41">
        <f>'Income statement'!C9</f>
        <v>39407</v>
      </c>
      <c r="D104" s="41">
        <f>'Income statement'!D9</f>
        <v>42272</v>
      </c>
      <c r="E104" s="41">
        <f>'Income statement'!E9</f>
        <v>47716</v>
      </c>
      <c r="F104" s="41">
        <f>'Income statement'!F9</f>
        <v>52550</v>
      </c>
      <c r="G104" s="41">
        <f>'Income statement'!G9</f>
        <v>54822.282936708856</v>
      </c>
      <c r="H104" s="41">
        <f>'Income statement'!H9</f>
        <v>57293.925862886084</v>
      </c>
      <c r="I104" s="41">
        <f>'Income statement'!I9</f>
        <v>60015.519640846993</v>
      </c>
      <c r="J104" s="41">
        <f>'Income statement'!J9</f>
        <v>62936.708732623236</v>
      </c>
      <c r="K104" s="41">
        <f>'Income statement'!K9</f>
        <v>66040.862977605328</v>
      </c>
      <c r="L104" s="41">
        <f>'Income statement'!L9</f>
        <v>69342.566574017517</v>
      </c>
    </row>
    <row r="105" spans="1:14" x14ac:dyDescent="0.3">
      <c r="A105" s="27" t="s">
        <v>174</v>
      </c>
      <c r="B105" s="41">
        <f>ABS('Income statement'!B12)</f>
        <v>18524</v>
      </c>
      <c r="C105" s="41">
        <f>ABS('Income statement'!C12)</f>
        <v>18981</v>
      </c>
      <c r="D105" s="41">
        <f>ABS('Income statement'!D12)</f>
        <v>20591</v>
      </c>
      <c r="E105" s="41">
        <f>ABS('Income statement'!E12)</f>
        <v>24332</v>
      </c>
      <c r="F105" s="41">
        <f>ABS('Income statement'!F12)</f>
        <v>27965</v>
      </c>
      <c r="G105" s="41">
        <f>ABS('Income statement'!G12)</f>
        <v>29241.031692106939</v>
      </c>
      <c r="H105" s="41">
        <f>ABS('Income statement'!H12)</f>
        <v>30666.326072024745</v>
      </c>
      <c r="I105" s="41">
        <f>ABS('Income statement'!I12)</f>
        <v>32258.774678584497</v>
      </c>
      <c r="J105" s="41">
        <f>ABS('Income statement'!J12)</f>
        <v>33971.044710272996</v>
      </c>
      <c r="K105" s="41">
        <f>ABS('Income statement'!K12)</f>
        <v>35783.740621568075</v>
      </c>
      <c r="L105" s="41">
        <f>ABS('Income statement'!L12)</f>
        <v>37703.187248240851</v>
      </c>
    </row>
    <row r="106" spans="1:14" x14ac:dyDescent="0.3">
      <c r="A106" s="27" t="s">
        <v>175</v>
      </c>
      <c r="B106" s="41">
        <f>ABS('Income statement'!B13)</f>
        <v>13537</v>
      </c>
      <c r="C106" s="41">
        <f>ABS('Income statement'!C13)</f>
        <v>13804</v>
      </c>
      <c r="D106" s="41">
        <f>ABS('Income statement'!D13)</f>
        <v>15009</v>
      </c>
      <c r="E106" s="41">
        <f>ABS('Income statement'!E13)</f>
        <v>16020</v>
      </c>
      <c r="F106" s="41">
        <f>ABS('Income statement'!F13)</f>
        <v>16634</v>
      </c>
      <c r="G106" s="41">
        <f>ABS('Income statement'!G13)</f>
        <v>17286.062339699933</v>
      </c>
      <c r="H106" s="41">
        <f>ABS('Income statement'!H13)</f>
        <v>17957.809673046657</v>
      </c>
      <c r="I106" s="41">
        <f>ABS('Income statement'!I13)</f>
        <v>18674.33871838425</v>
      </c>
      <c r="J106" s="41">
        <f>ABS('Income statement'!J13)</f>
        <v>19440.363886559211</v>
      </c>
      <c r="K106" s="41">
        <f>ABS('Income statement'!K13)</f>
        <v>20261.227451786981</v>
      </c>
      <c r="L106" s="41">
        <f>ABS('Income statement'!L13)</f>
        <v>21142.990401459803</v>
      </c>
    </row>
    <row r="107" spans="1:14" x14ac:dyDescent="0.3">
      <c r="A107" s="26" t="s">
        <v>176</v>
      </c>
      <c r="B107" s="41">
        <f t="shared" ref="B107:L107" si="25">B105+B106</f>
        <v>32061</v>
      </c>
      <c r="C107" s="41">
        <f t="shared" si="25"/>
        <v>32785</v>
      </c>
      <c r="D107" s="41">
        <f t="shared" si="25"/>
        <v>35600</v>
      </c>
      <c r="E107" s="41">
        <f t="shared" si="25"/>
        <v>40352</v>
      </c>
      <c r="F107" s="41">
        <f t="shared" si="25"/>
        <v>44599</v>
      </c>
      <c r="G107" s="41">
        <f t="shared" si="25"/>
        <v>46527.094031806875</v>
      </c>
      <c r="H107" s="41">
        <f t="shared" si="25"/>
        <v>48624.135745071399</v>
      </c>
      <c r="I107" s="41">
        <f t="shared" si="25"/>
        <v>50933.113396968751</v>
      </c>
      <c r="J107" s="41">
        <f t="shared" si="25"/>
        <v>53411.408596832203</v>
      </c>
      <c r="K107" s="41">
        <f t="shared" si="25"/>
        <v>56044.968073355056</v>
      </c>
      <c r="L107" s="41">
        <f t="shared" si="25"/>
        <v>58846.17764970065</v>
      </c>
    </row>
    <row r="108" spans="1:14" x14ac:dyDescent="0.3">
      <c r="A108" s="84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1:14" x14ac:dyDescent="0.3">
      <c r="A109" s="26" t="s">
        <v>177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  <row r="110" spans="1:14" x14ac:dyDescent="0.3">
      <c r="A110" s="27" t="s">
        <v>178</v>
      </c>
      <c r="B110" s="88">
        <f>'Balance sheet'!B9/B104*365</f>
        <v>28.85349242247004</v>
      </c>
      <c r="C110" s="88">
        <f>'Balance sheet'!C9/C104*365</f>
        <v>27.861039916766057</v>
      </c>
      <c r="D110" s="88">
        <f>'Balance sheet'!D9/D104*365</f>
        <v>25.938209689629065</v>
      </c>
      <c r="E110" s="88">
        <f>'Balance sheet'!E9/E104*365</f>
        <v>22.772340514712045</v>
      </c>
      <c r="F110" s="88">
        <f>'Balance sheet'!F9/F104*365</f>
        <v>16.71151284490961</v>
      </c>
      <c r="G110" s="88">
        <v>17</v>
      </c>
      <c r="H110" s="88">
        <v>17</v>
      </c>
      <c r="I110" s="88">
        <v>17</v>
      </c>
      <c r="J110" s="88">
        <v>17</v>
      </c>
      <c r="K110" s="88">
        <v>17</v>
      </c>
      <c r="L110" s="88">
        <v>17</v>
      </c>
      <c r="N110" t="s">
        <v>457</v>
      </c>
    </row>
    <row r="111" spans="1:14" x14ac:dyDescent="0.3">
      <c r="A111" s="26" t="s">
        <v>179</v>
      </c>
      <c r="B111" s="88">
        <f>'Balance sheet'!B11/B107*365</f>
        <v>60.793487414615889</v>
      </c>
      <c r="C111" s="88">
        <f>'Balance sheet'!C11/C107*365</f>
        <v>70.383712063443653</v>
      </c>
      <c r="D111" s="88">
        <f>'Balance sheet'!D11/D107*365</f>
        <v>87.948595505617973</v>
      </c>
      <c r="E111" s="88">
        <f>'Balance sheet'!E11/E107*365</f>
        <v>87.957474226804123</v>
      </c>
      <c r="F111" s="88">
        <f>'Balance sheet'!F11/F107*365</f>
        <v>75.555057288280011</v>
      </c>
      <c r="G111" s="88">
        <v>75</v>
      </c>
      <c r="H111" s="88">
        <v>75</v>
      </c>
      <c r="I111" s="88">
        <v>75</v>
      </c>
      <c r="J111" s="88">
        <v>75</v>
      </c>
      <c r="K111" s="88">
        <v>75</v>
      </c>
      <c r="L111" s="88">
        <v>75</v>
      </c>
      <c r="N111" t="s">
        <v>458</v>
      </c>
    </row>
    <row r="112" spans="1:14" x14ac:dyDescent="0.3">
      <c r="A112" s="27" t="s">
        <v>180</v>
      </c>
      <c r="B112" s="88">
        <f>'Balance sheet'!B27/B107*365</f>
        <v>36.054864165185116</v>
      </c>
      <c r="C112" s="88">
        <f>'Balance sheet'!C27/C107*365</f>
        <v>37.830410248589295</v>
      </c>
      <c r="D112" s="88">
        <f>'Balance sheet'!D27/D107*365</f>
        <v>31.73244382022472</v>
      </c>
      <c r="E112" s="88">
        <f>'Balance sheet'!E27/E107*365</f>
        <v>30.247819191118158</v>
      </c>
      <c r="F112" s="88">
        <f>'Balance sheet'!F27/F107*365</f>
        <v>21.916859122401849</v>
      </c>
      <c r="G112" s="88">
        <v>22</v>
      </c>
      <c r="H112" s="88">
        <v>22</v>
      </c>
      <c r="I112" s="88">
        <v>22</v>
      </c>
      <c r="J112" s="88">
        <v>22</v>
      </c>
      <c r="K112" s="88">
        <v>22</v>
      </c>
      <c r="L112" s="88">
        <v>22</v>
      </c>
      <c r="N112" t="s">
        <v>459</v>
      </c>
    </row>
    <row r="113" spans="1:14" x14ac:dyDescent="0.3">
      <c r="A113" s="26" t="s">
        <v>181</v>
      </c>
      <c r="B113" s="88">
        <f t="shared" ref="B113:L113" si="26">B110+B111-B112</f>
        <v>53.592115671900807</v>
      </c>
      <c r="C113" s="88">
        <f t="shared" si="26"/>
        <v>60.414341731620418</v>
      </c>
      <c r="D113" s="88">
        <f t="shared" si="26"/>
        <v>82.154361375022319</v>
      </c>
      <c r="E113" s="88">
        <f t="shared" si="26"/>
        <v>80.481995550398011</v>
      </c>
      <c r="F113" s="88">
        <f t="shared" si="26"/>
        <v>70.349711010787772</v>
      </c>
      <c r="G113" s="88">
        <f t="shared" si="26"/>
        <v>70</v>
      </c>
      <c r="H113" s="88">
        <f t="shared" si="26"/>
        <v>70</v>
      </c>
      <c r="I113" s="88">
        <f t="shared" si="26"/>
        <v>70</v>
      </c>
      <c r="J113" s="88">
        <f t="shared" si="26"/>
        <v>70</v>
      </c>
      <c r="K113" s="88">
        <f t="shared" si="26"/>
        <v>70</v>
      </c>
      <c r="L113" s="88">
        <f t="shared" si="26"/>
        <v>70</v>
      </c>
      <c r="N113" t="s">
        <v>460</v>
      </c>
    </row>
    <row r="114" spans="1:14" x14ac:dyDescent="0.3">
      <c r="A114" s="84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</row>
    <row r="115" spans="1:14" x14ac:dyDescent="0.3">
      <c r="A115" s="26" t="s">
        <v>182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</row>
    <row r="116" spans="1:14" x14ac:dyDescent="0.3">
      <c r="A116" s="27" t="s">
        <v>183</v>
      </c>
      <c r="B116" s="41">
        <f>'Balance sheet'!B9</f>
        <v>3041</v>
      </c>
      <c r="C116" s="41">
        <f>'Balance sheet'!C9</f>
        <v>3008</v>
      </c>
      <c r="D116" s="41">
        <f>'Balance sheet'!D9</f>
        <v>3004</v>
      </c>
      <c r="E116" s="41">
        <f>'Balance sheet'!E9</f>
        <v>2977</v>
      </c>
      <c r="F116" s="41">
        <f>'Balance sheet'!F9</f>
        <v>2406</v>
      </c>
      <c r="G116" s="41">
        <f t="shared" ref="G116:L116" si="27">G110/365*G104</f>
        <v>2553.3666025316456</v>
      </c>
      <c r="H116" s="41">
        <f t="shared" si="27"/>
        <v>2668.4842182714069</v>
      </c>
      <c r="I116" s="41">
        <f t="shared" si="27"/>
        <v>2795.2433805326</v>
      </c>
      <c r="J116" s="41">
        <f t="shared" si="27"/>
        <v>2931.2987628893015</v>
      </c>
      <c r="K116" s="41">
        <f t="shared" si="27"/>
        <v>3075.8758099158649</v>
      </c>
      <c r="L116" s="41">
        <f t="shared" si="27"/>
        <v>3229.6537856391724</v>
      </c>
      <c r="N116" t="s">
        <v>461</v>
      </c>
    </row>
    <row r="117" spans="1:14" x14ac:dyDescent="0.3">
      <c r="A117" s="26" t="s">
        <v>28</v>
      </c>
      <c r="B117" s="41">
        <f>'Balance sheet'!B11</f>
        <v>5340</v>
      </c>
      <c r="C117" s="41">
        <f>'Balance sheet'!C11</f>
        <v>6322</v>
      </c>
      <c r="D117" s="41">
        <f>'Balance sheet'!D11</f>
        <v>8578</v>
      </c>
      <c r="E117" s="41">
        <f>'Balance sheet'!E11</f>
        <v>9724</v>
      </c>
      <c r="F117" s="41">
        <f>'Balance sheet'!F11</f>
        <v>9232</v>
      </c>
      <c r="G117" s="41">
        <f t="shared" ref="G117:L117" si="28">G111/365*G107</f>
        <v>9560.3617873575768</v>
      </c>
      <c r="H117" s="41">
        <f t="shared" si="28"/>
        <v>9991.2607695352181</v>
      </c>
      <c r="I117" s="41">
        <f t="shared" si="28"/>
        <v>10465.708232253852</v>
      </c>
      <c r="J117" s="41">
        <f t="shared" si="28"/>
        <v>10974.946971951822</v>
      </c>
      <c r="K117" s="41">
        <f t="shared" si="28"/>
        <v>11516.089330141449</v>
      </c>
      <c r="L117" s="41">
        <f t="shared" si="28"/>
        <v>12091.680338979584</v>
      </c>
      <c r="N117" t="s">
        <v>462</v>
      </c>
    </row>
    <row r="118" spans="1:14" x14ac:dyDescent="0.3">
      <c r="A118" s="27" t="s">
        <v>184</v>
      </c>
      <c r="B118" s="41">
        <f>'Balance sheet'!B27</f>
        <v>3167</v>
      </c>
      <c r="C118" s="41">
        <f>'Balance sheet'!C27</f>
        <v>3398</v>
      </c>
      <c r="D118" s="41">
        <f>'Balance sheet'!D27</f>
        <v>3095</v>
      </c>
      <c r="E118" s="41">
        <f>'Balance sheet'!E27</f>
        <v>3344</v>
      </c>
      <c r="F118" s="41">
        <f>'Balance sheet'!F27</f>
        <v>2678</v>
      </c>
      <c r="G118" s="41">
        <f t="shared" ref="G118:L118" si="29">G112/365*G107</f>
        <v>2804.3727909582226</v>
      </c>
      <c r="H118" s="41">
        <f t="shared" si="29"/>
        <v>2930.7698257303309</v>
      </c>
      <c r="I118" s="41">
        <f t="shared" si="29"/>
        <v>3069.9410814611301</v>
      </c>
      <c r="J118" s="41">
        <f t="shared" si="29"/>
        <v>3219.3177784392014</v>
      </c>
      <c r="K118" s="41">
        <f t="shared" si="29"/>
        <v>3378.0528701748253</v>
      </c>
      <c r="L118" s="41">
        <f t="shared" si="29"/>
        <v>3546.8928994340117</v>
      </c>
      <c r="N118" t="s">
        <v>463</v>
      </c>
    </row>
    <row r="119" spans="1:14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</row>
    <row r="120" spans="1:14" ht="15" thickBot="1" x14ac:dyDescent="0.35">
      <c r="A120" s="93" t="s">
        <v>185</v>
      </c>
      <c r="B120" s="61">
        <f t="shared" ref="B120:L120" si="30">B116+B117-B118</f>
        <v>5214</v>
      </c>
      <c r="C120" s="61">
        <f t="shared" si="30"/>
        <v>5932</v>
      </c>
      <c r="D120" s="61">
        <f t="shared" si="30"/>
        <v>8487</v>
      </c>
      <c r="E120" s="61">
        <f t="shared" si="30"/>
        <v>9357</v>
      </c>
      <c r="F120" s="61">
        <f t="shared" si="30"/>
        <v>8960</v>
      </c>
      <c r="G120" s="61">
        <f t="shared" si="30"/>
        <v>9309.3555989309989</v>
      </c>
      <c r="H120" s="61">
        <f t="shared" si="30"/>
        <v>9728.9751620762945</v>
      </c>
      <c r="I120" s="61">
        <f t="shared" si="30"/>
        <v>10191.010531325323</v>
      </c>
      <c r="J120" s="61">
        <f t="shared" si="30"/>
        <v>10686.927956401922</v>
      </c>
      <c r="K120" s="61">
        <f t="shared" si="30"/>
        <v>11213.912269882487</v>
      </c>
      <c r="L120" s="61">
        <f t="shared" si="30"/>
        <v>11774.441225184744</v>
      </c>
    </row>
    <row r="121" spans="1:14" ht="15" thickTop="1" x14ac:dyDescent="0.3">
      <c r="A121" s="27" t="s">
        <v>186</v>
      </c>
      <c r="B121" s="41"/>
      <c r="C121" s="41">
        <f t="shared" ref="C121:L121" si="31">C120-B120</f>
        <v>718</v>
      </c>
      <c r="D121" s="41">
        <f t="shared" si="31"/>
        <v>2555</v>
      </c>
      <c r="E121" s="41">
        <f t="shared" si="31"/>
        <v>870</v>
      </c>
      <c r="F121" s="41">
        <f t="shared" si="31"/>
        <v>-397</v>
      </c>
      <c r="G121" s="41">
        <f t="shared" si="31"/>
        <v>349.35559893099889</v>
      </c>
      <c r="H121" s="41">
        <f t="shared" si="31"/>
        <v>419.61956314529561</v>
      </c>
      <c r="I121" s="41">
        <f t="shared" si="31"/>
        <v>462.03536924902801</v>
      </c>
      <c r="J121" s="41">
        <f t="shared" si="31"/>
        <v>495.9174250765991</v>
      </c>
      <c r="K121" s="41">
        <f t="shared" si="31"/>
        <v>526.98431348056511</v>
      </c>
      <c r="L121" s="41">
        <f t="shared" si="31"/>
        <v>560.5289553022576</v>
      </c>
    </row>
    <row r="122" spans="1:14" x14ac:dyDescent="0.3">
      <c r="A122" s="27" t="s">
        <v>187</v>
      </c>
      <c r="B122" s="8">
        <f t="shared" ref="B122:L122" si="32">B120/B104</f>
        <v>0.1355377056850971</v>
      </c>
      <c r="C122" s="8">
        <f t="shared" si="32"/>
        <v>0.15053163143603929</v>
      </c>
      <c r="D122" s="8">
        <f t="shared" si="32"/>
        <v>0.2007711960635882</v>
      </c>
      <c r="E122" s="8">
        <f t="shared" si="32"/>
        <v>0.19609774499119792</v>
      </c>
      <c r="F122" s="8">
        <f t="shared" si="32"/>
        <v>0.17050428163653664</v>
      </c>
      <c r="G122" s="8">
        <f t="shared" si="32"/>
        <v>0.16980970328576883</v>
      </c>
      <c r="H122" s="8">
        <f t="shared" si="32"/>
        <v>0.16980814310681649</v>
      </c>
      <c r="I122" s="8">
        <f t="shared" si="32"/>
        <v>0.16980625332100346</v>
      </c>
      <c r="J122" s="8">
        <f t="shared" si="32"/>
        <v>0.16980436650736955</v>
      </c>
      <c r="K122" s="8">
        <f t="shared" si="32"/>
        <v>0.16980263073917071</v>
      </c>
      <c r="L122" s="8">
        <f t="shared" si="32"/>
        <v>0.16980105881452329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D225-BD54-444A-9C3B-2A580AF553EC}">
  <dimension ref="A1:R44"/>
  <sheetViews>
    <sheetView topLeftCell="A13" zoomScale="76" workbookViewId="0">
      <selection activeCell="M6" sqref="M6"/>
    </sheetView>
  </sheetViews>
  <sheetFormatPr defaultColWidth="8.77734375" defaultRowHeight="14.4" x14ac:dyDescent="0.3"/>
  <cols>
    <col min="1" max="1" width="29.109375" bestFit="1" customWidth="1"/>
    <col min="11" max="11" width="9.21875" customWidth="1"/>
    <col min="12" max="12" width="11.33203125" customWidth="1"/>
    <col min="13" max="13" width="12.5546875" customWidth="1"/>
  </cols>
  <sheetData>
    <row r="1" spans="1:18" x14ac:dyDescent="0.3">
      <c r="A1" s="116"/>
      <c r="B1" s="222"/>
      <c r="C1" s="116" t="s">
        <v>289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343" t="s">
        <v>290</v>
      </c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116"/>
    </row>
    <row r="3" spans="1:18" x14ac:dyDescent="0.3">
      <c r="A3" s="345" t="s">
        <v>291</v>
      </c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116"/>
    </row>
    <row r="4" spans="1:18" x14ac:dyDescent="0.3">
      <c r="A4" s="226" t="s">
        <v>292</v>
      </c>
      <c r="B4" s="227"/>
      <c r="C4" s="228" t="s">
        <v>293</v>
      </c>
      <c r="D4" s="229" t="s">
        <v>294</v>
      </c>
      <c r="E4" s="229" t="s">
        <v>295</v>
      </c>
      <c r="F4" s="229" t="s">
        <v>296</v>
      </c>
      <c r="G4" s="229" t="s">
        <v>297</v>
      </c>
      <c r="H4" s="229"/>
      <c r="I4" s="229" t="s">
        <v>298</v>
      </c>
      <c r="J4" s="230" t="s">
        <v>268</v>
      </c>
      <c r="K4" s="230"/>
      <c r="L4" s="231" t="s">
        <v>299</v>
      </c>
      <c r="M4" s="116"/>
      <c r="N4" s="116"/>
      <c r="O4" s="116"/>
      <c r="P4" s="116"/>
      <c r="Q4" s="116"/>
      <c r="R4" s="116"/>
    </row>
    <row r="5" spans="1:18" x14ac:dyDescent="0.3">
      <c r="A5" s="232" t="s">
        <v>300</v>
      </c>
      <c r="B5" s="232" t="s">
        <v>301</v>
      </c>
      <c r="C5" s="233" t="s">
        <v>302</v>
      </c>
      <c r="D5" s="234" t="s">
        <v>303</v>
      </c>
      <c r="E5" s="234" t="s">
        <v>304</v>
      </c>
      <c r="F5" s="234" t="s">
        <v>305</v>
      </c>
      <c r="G5" s="234" t="s">
        <v>306</v>
      </c>
      <c r="H5" s="234" t="s">
        <v>307</v>
      </c>
      <c r="I5" s="234" t="s">
        <v>308</v>
      </c>
      <c r="J5" s="235" t="s">
        <v>308</v>
      </c>
      <c r="K5" s="235" t="s">
        <v>265</v>
      </c>
      <c r="L5" s="232" t="s">
        <v>309</v>
      </c>
      <c r="M5" s="116"/>
      <c r="N5" s="116"/>
      <c r="O5" s="116"/>
      <c r="P5" s="116"/>
      <c r="Q5" s="116"/>
      <c r="R5" s="116"/>
    </row>
    <row r="6" spans="1:18" x14ac:dyDescent="0.3">
      <c r="A6" s="236" t="str" cm="1">
        <f t="array" ref="A6">IF($B6="","",_xll.RDP.Data($B6,"TR.CompanyName"))</f>
        <v>Please sign in</v>
      </c>
      <c r="B6" s="237" t="s">
        <v>358</v>
      </c>
      <c r="C6" s="238" t="str">
        <f>IF(B6="","",_xll.RDP.Data($B6,"TR.PriceClose","Curn=#1",,$C$1))</f>
        <v>Please sign in</v>
      </c>
      <c r="D6" s="239" t="str">
        <f>IF($B6="","",_xll.RDP.Data($B6,"MAX(TR.PriceHigh(SDate=0D,EDate=0D-364C))/*52 Week High*/","Curn=#1",,$C$1))</f>
        <v>Please sign in</v>
      </c>
      <c r="E6" s="240" t="e">
        <f>IF(B6="","",_xll.RDP.Data($B6,"TR.CompanySharesOutstanding(SDate=0)/*# Shares Outstanding*/")/1000000)</f>
        <v>#VALUE!</v>
      </c>
      <c r="F6" s="241" t="e">
        <f>IF(B6="","",C6*E6)</f>
        <v>#VALUE!</v>
      </c>
      <c r="G6" s="241" t="e" cm="1">
        <f t="array" ref="G6">IF($B6="","",_xll.RDP.Data($B6,"TR.TotalDebtOutstanding","Curn=#1",,$C$1)/1000000)</f>
        <v>#VALUE!</v>
      </c>
      <c r="H6" s="241" t="e">
        <f>IF($B6="","",_xll.RDP.Data($B6,"TR.CashandEquivalents","Curn=#1",,$C$1)/1000000)</f>
        <v>#VALUE!</v>
      </c>
      <c r="I6" s="242" t="e">
        <f>IF(B6="","",F6+G6-H6)</f>
        <v>#VALUE!</v>
      </c>
      <c r="J6" s="241" t="e" cm="1">
        <f t="array" ref="J6">IF($B6="","",_xll.RDP.Data($B6,"TR.TotalEquity","Curn=#1",,$C$1)/1000000)</f>
        <v>#VALUE!</v>
      </c>
      <c r="K6" s="243" t="str">
        <f>IF($B6="","",_xll.RDP.Data($B6,"TR.BetaFiveYear/*Beta 5 Year Monthly*//*Beta 5 Year Monthly*/"))</f>
        <v>Please sign in</v>
      </c>
      <c r="L6" s="244" t="str">
        <f>IF(B6="","",_xll.RDP.Data($B6,"TR.PriceTargetMean","Curn=#1",,$C$1))</f>
        <v>Please sign in</v>
      </c>
      <c r="M6" s="245"/>
      <c r="N6" s="116"/>
      <c r="O6" s="116"/>
      <c r="P6" s="116"/>
      <c r="Q6" s="116"/>
      <c r="R6" s="116"/>
    </row>
    <row r="7" spans="1:18" x14ac:dyDescent="0.3">
      <c r="A7" s="236" t="str" cm="1">
        <f t="array" ref="A7">IF($B7="","",_xll.RDP.Data($B7,"TR.CompanyName"))</f>
        <v>Please sign in</v>
      </c>
      <c r="B7" s="237" t="s">
        <v>359</v>
      </c>
      <c r="C7" s="246" t="str">
        <f>IF(B7="","",_xll.RDP.Data($B7,"TR.PriceClose","Curn=#1",,$C$1))</f>
        <v>Please sign in</v>
      </c>
      <c r="D7" s="162" t="str">
        <f>IF($B7="","",_xll.RDP.Data($B7,"MAX(TR.PriceHigh(SDate=0D,EDate=0D-364C))/*52 Week High*/","Curn=#1",,$C$1))</f>
        <v>Please sign in</v>
      </c>
      <c r="E7" s="240" t="e">
        <f>IF(B7="","",_xll.RDP.Data($B7,"TR.CompanySharesOutstanding(SDate=0)/*# Shares Outstanding*/")/1000000)</f>
        <v>#VALUE!</v>
      </c>
      <c r="F7" s="242" t="e">
        <f>IF(B7="","",C7*E7)</f>
        <v>#VALUE!</v>
      </c>
      <c r="G7" s="242" t="e" cm="1">
        <f t="array" ref="G7">IF($B7="","",_xll.RDP.Data($B7,"TR.TotalDebtOutstanding","Curn=#1",,$C$1)/1000000)</f>
        <v>#VALUE!</v>
      </c>
      <c r="H7" s="242" t="e">
        <f>IF($B7="","",_xll.RDP.Data($B7,"TR.CashandEquivalents","Curn=#1",,$C$1)/1000000)</f>
        <v>#VALUE!</v>
      </c>
      <c r="I7" s="242" t="e">
        <f>IF(B7="","",F7+G7-H7)</f>
        <v>#VALUE!</v>
      </c>
      <c r="J7" s="242" t="e" cm="1">
        <f t="array" ref="J7">IF($B7="","",_xll.RDP.Data($B7,"TR.TotalEquity","Curn=#1",,$C$1)/1000000)</f>
        <v>#VALUE!</v>
      </c>
      <c r="K7" s="247" t="str">
        <f>IF($B7="","",_xll.RDP.Data($B7,"TR.BetaFiveYear/*Beta 5 Year Monthly*//*Beta 5 Year Monthly*/"))</f>
        <v>Please sign in</v>
      </c>
      <c r="L7" s="248" t="str">
        <f>IF(B7="","",_xll.RDP.Data($B7,"TR.PriceTargetMean","Curn=#1",,$C$1))</f>
        <v>Please sign in</v>
      </c>
      <c r="M7" s="245"/>
      <c r="N7" s="116"/>
      <c r="O7" s="116"/>
      <c r="P7" s="116"/>
      <c r="Q7" s="116"/>
      <c r="R7" s="116"/>
    </row>
    <row r="8" spans="1:18" x14ac:dyDescent="0.3">
      <c r="A8" s="236" t="str" cm="1">
        <f t="array" ref="A8">IF($B8="","",_xll.RDP.Data($B8,"TR.CompanyName"))</f>
        <v>Please sign in</v>
      </c>
      <c r="B8" s="237" t="s">
        <v>360</v>
      </c>
      <c r="C8" s="246" t="str">
        <f>IF(B8="","",_xll.RDP.Data($B8,"TR.PriceClose","Curn=#1",,$C$1))</f>
        <v>Please sign in</v>
      </c>
      <c r="D8" s="162" t="str">
        <f>IF($B8="","",_xll.RDP.Data($B8,"MAX(TR.PriceHigh(SDate=0D,EDate=0D-364C))/*52 Week High*/","Curn=#1",,$C$1))</f>
        <v>Please sign in</v>
      </c>
      <c r="E8" s="240" t="e">
        <f>IF(B8="","",_xll.RDP.Data($B8,"TR.CompanySharesOutstanding(SDate=0)/*# Shares Outstanding*/")/1000000)</f>
        <v>#VALUE!</v>
      </c>
      <c r="F8" s="242" t="e">
        <f>IF(B8="","",C8*E8)</f>
        <v>#VALUE!</v>
      </c>
      <c r="G8" s="242" t="e" cm="1">
        <f t="array" ref="G8">IF($B8="","",_xll.RDP.Data($B8,"TR.TotalDebtOutstanding","Curn=#1",,$C$1)/1000000)</f>
        <v>#VALUE!</v>
      </c>
      <c r="H8" s="242" t="e">
        <f>IF($B8="","",_xll.RDP.Data($B8,"TR.CashandEquivalents","Curn=#1",,$C$1)/1000000)</f>
        <v>#VALUE!</v>
      </c>
      <c r="I8" s="242" t="e">
        <f>IF(B8="","",F8+G8-H8)</f>
        <v>#VALUE!</v>
      </c>
      <c r="J8" s="242" t="e" cm="1">
        <f t="array" ref="J8">IF($B8="","",_xll.RDP.Data($B8,"TR.TotalEquity","Curn=#1",,$C$1)/1000000)</f>
        <v>#VALUE!</v>
      </c>
      <c r="K8" s="247" t="str">
        <f>IF($B8="","",_xll.RDP.Data($B8,"TR.BetaFiveYear/*Beta 5 Year Monthly*//*Beta 5 Year Monthly*/"))</f>
        <v>Please sign in</v>
      </c>
      <c r="L8" s="248" t="str">
        <f>IF(B8="","",_xll.RDP.Data($B8,"TR.PriceTargetMean","Curn=#1",,$C$1))</f>
        <v>Please sign in</v>
      </c>
      <c r="M8" s="245"/>
      <c r="N8" s="116"/>
      <c r="O8" s="116"/>
      <c r="P8" s="116"/>
      <c r="Q8" s="116"/>
      <c r="R8" s="116"/>
    </row>
    <row r="9" spans="1:18" x14ac:dyDescent="0.3">
      <c r="A9" s="236" t="str" cm="1">
        <f t="array" ref="A9">IF($B9="","",_xll.RDP.Data($B9,"TR.CompanyName"))</f>
        <v>Please sign in</v>
      </c>
      <c r="B9" s="249" t="s">
        <v>361</v>
      </c>
      <c r="C9" s="246" t="str">
        <f>IF(B9="","",_xll.RDP.Data($B9,"TR.PriceClose","Curn=#1",,$C$1))</f>
        <v>Please sign in</v>
      </c>
      <c r="D9" s="162" t="str">
        <f>IF($B9="","",_xll.RDP.Data($B9,"MAX(TR.PriceHigh(SDate=0D,EDate=0D-364C))/*52 Week High*/","Curn=#1",,$C$1))</f>
        <v>Please sign in</v>
      </c>
      <c r="E9" s="240" t="e">
        <f>IF(B9="","",_xll.RDP.Data($B9,"TR.CompanySharesOutstanding(SDate=0)/*# Shares Outstanding*/")/1000000)</f>
        <v>#VALUE!</v>
      </c>
      <c r="F9" s="242" t="e">
        <f>IF(B9="","",C9*E9)</f>
        <v>#VALUE!</v>
      </c>
      <c r="G9" s="242" t="e" cm="1">
        <f t="array" ref="G9">IF($B9="","",_xll.RDP.Data($B9,"TR.TotalDebtOutstanding","Curn=#1",,$C$1)/1000000)</f>
        <v>#VALUE!</v>
      </c>
      <c r="H9" s="242">
        <v>0</v>
      </c>
      <c r="I9" s="242" t="e">
        <f>IF(B9="","",F9+G9-H9)</f>
        <v>#VALUE!</v>
      </c>
      <c r="J9" s="242" t="e" cm="1">
        <f t="array" ref="J9">IF($B9="","",_xll.RDP.Data($B9,"TR.TotalEquity","Curn=#1",,$C$1)/1000000)</f>
        <v>#VALUE!</v>
      </c>
      <c r="K9" s="247" t="str">
        <f>IF($B9="","",_xll.RDP.Data($B9,"TR.BetaFiveYear/*Beta 5 Year Monthly*//*Beta 5 Year Monthly*/"))</f>
        <v>Please sign in</v>
      </c>
      <c r="L9" s="248" t="str">
        <f>IF(B9="","",_xll.RDP.Data($B9,"TR.PriceTargetMean","Curn=#1",,$C$1))</f>
        <v>Please sign in</v>
      </c>
      <c r="M9" s="245"/>
      <c r="N9" s="116"/>
      <c r="O9" s="116"/>
      <c r="P9" s="116"/>
      <c r="Q9" s="116"/>
      <c r="R9" s="116"/>
    </row>
    <row r="10" spans="1:18" x14ac:dyDescent="0.3">
      <c r="A10" s="236" t="str" cm="1">
        <f t="array" ref="A10">IF($B10="","",_xll.RDP.Data($B10,"TR.CompanyName"))</f>
        <v>Please sign in</v>
      </c>
      <c r="B10" s="250" t="s">
        <v>357</v>
      </c>
      <c r="C10" s="251" t="str">
        <f>IF(B10="","",_xll.RDP.Data($B10,"TR.PriceClose","Curn=#1",,$C$1))</f>
        <v>Please sign in</v>
      </c>
      <c r="D10" s="252" t="str">
        <f>IF($B10="","",_xll.RDP.Data($B10,"MAX(TR.PriceHigh(SDate=0D,EDate=0D-364C))/*52 Week High*/","Curn=#1",,$C$1))</f>
        <v>Please sign in</v>
      </c>
      <c r="E10" s="253" t="e">
        <f>IF(B10="","",_xll.RDP.Data($B10,"TR.CompanySharesOutstanding(SDate=0)/*# Shares Outstanding*/")/1000000)</f>
        <v>#VALUE!</v>
      </c>
      <c r="F10" s="254" t="e">
        <f>IF(B10="","",C10*E10)</f>
        <v>#VALUE!</v>
      </c>
      <c r="G10" s="254" t="e" cm="1">
        <f t="array" ref="G10">IF($B10="","",_xll.RDP.Data($B10,"TR.TotalDebtOutstanding","Curn=#1",,$C$1)/1000000)</f>
        <v>#VALUE!</v>
      </c>
      <c r="H10" s="254" t="e">
        <f>IF($B10="","",_xll.RDP.Data($B10,"TR.CashandEquivalents","Curn=#1",,$C$1)/1000000)</f>
        <v>#VALUE!</v>
      </c>
      <c r="I10" s="254" t="e">
        <f>IF(B10="","",F10+G10-H10)</f>
        <v>#VALUE!</v>
      </c>
      <c r="J10" s="254" t="e" cm="1">
        <f t="array" ref="J10">IF($B10="","",_xll.RDP.Data($B10,"TR.TotalEquity","Curn=#1",,$C$1)/1000000)</f>
        <v>#VALUE!</v>
      </c>
      <c r="K10" s="180" t="str">
        <f>IF($B10="","",_xll.RDP.Data($B10,"TR.BetaFiveYear/*Beta 5 Year Monthly*//*Beta 5 Year Monthly*/"))</f>
        <v>Please sign in</v>
      </c>
      <c r="L10" s="255" t="str">
        <f>IF(B10="","",_xll.RDP.Data($B10,"TR.PriceTargetMean","Curn=#1",,$C$1))</f>
        <v>Please sign in</v>
      </c>
      <c r="M10" s="245"/>
      <c r="N10" s="116"/>
      <c r="O10" s="116"/>
      <c r="P10" s="116"/>
      <c r="Q10" s="116"/>
      <c r="R10" s="116"/>
    </row>
    <row r="11" spans="1:18" x14ac:dyDescent="0.3">
      <c r="A11" s="116"/>
      <c r="B11" s="222"/>
      <c r="C11" s="116" t="s">
        <v>310</v>
      </c>
      <c r="D11" s="116" t="s">
        <v>310</v>
      </c>
      <c r="E11" s="116" t="s">
        <v>310</v>
      </c>
      <c r="F11" s="116" t="s">
        <v>310</v>
      </c>
      <c r="G11" s="116" t="s">
        <v>310</v>
      </c>
      <c r="H11" s="116" t="s">
        <v>310</v>
      </c>
      <c r="I11" s="116" t="s">
        <v>310</v>
      </c>
      <c r="J11" s="116" t="s">
        <v>310</v>
      </c>
      <c r="K11" s="116" t="s">
        <v>310</v>
      </c>
      <c r="L11" s="116" t="s">
        <v>310</v>
      </c>
      <c r="M11" s="116"/>
      <c r="N11" s="116"/>
      <c r="O11" s="116"/>
      <c r="P11" s="116"/>
      <c r="Q11" s="116"/>
      <c r="R11" s="116"/>
    </row>
    <row r="12" spans="1:18" x14ac:dyDescent="0.3">
      <c r="A12" s="224" t="s">
        <v>311</v>
      </c>
      <c r="B12" s="256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5"/>
      <c r="Q12" s="225"/>
      <c r="R12" s="116"/>
    </row>
    <row r="13" spans="1:18" x14ac:dyDescent="0.3">
      <c r="A13" s="226"/>
      <c r="B13" s="227"/>
      <c r="C13" s="257" t="s">
        <v>312</v>
      </c>
      <c r="D13" s="258"/>
      <c r="E13" s="258"/>
      <c r="F13" s="259"/>
      <c r="G13" s="257" t="s">
        <v>313</v>
      </c>
      <c r="H13" s="258"/>
      <c r="I13" s="258"/>
      <c r="J13" s="259"/>
      <c r="K13" s="258" t="s">
        <v>314</v>
      </c>
      <c r="L13" s="258"/>
      <c r="M13" s="259"/>
      <c r="N13" s="257" t="s">
        <v>315</v>
      </c>
      <c r="O13" s="258"/>
      <c r="P13" s="259"/>
      <c r="Q13" s="231" t="s">
        <v>316</v>
      </c>
      <c r="R13" s="116"/>
    </row>
    <row r="14" spans="1:18" x14ac:dyDescent="0.3">
      <c r="A14" s="232" t="s">
        <v>300</v>
      </c>
      <c r="B14" s="232" t="s">
        <v>301</v>
      </c>
      <c r="C14" s="260" t="s">
        <v>317</v>
      </c>
      <c r="D14" s="261" t="s">
        <v>318</v>
      </c>
      <c r="E14" s="261" t="s">
        <v>319</v>
      </c>
      <c r="F14" s="262" t="s">
        <v>320</v>
      </c>
      <c r="G14" s="260" t="s">
        <v>317</v>
      </c>
      <c r="H14" s="261" t="s">
        <v>318</v>
      </c>
      <c r="I14" s="261" t="s">
        <v>319</v>
      </c>
      <c r="J14" s="262" t="s">
        <v>320</v>
      </c>
      <c r="K14" s="260" t="s">
        <v>317</v>
      </c>
      <c r="L14" s="261" t="s">
        <v>318</v>
      </c>
      <c r="M14" s="262" t="s">
        <v>319</v>
      </c>
      <c r="N14" s="260" t="s">
        <v>317</v>
      </c>
      <c r="O14" s="261" t="s">
        <v>318</v>
      </c>
      <c r="P14" s="262" t="s">
        <v>319</v>
      </c>
      <c r="Q14" s="263" t="s">
        <v>321</v>
      </c>
      <c r="R14" s="116"/>
    </row>
    <row r="15" spans="1:18" x14ac:dyDescent="0.3">
      <c r="A15" s="236" t="str">
        <f>A6</f>
        <v>Please sign in</v>
      </c>
      <c r="B15" s="264" t="str">
        <f>IF(B6="","",B6)</f>
        <v>LMT</v>
      </c>
      <c r="C15" s="265" t="e" cm="1">
        <f t="array" ref="C15">IF($B15="","",_xll.RDP.Data($B15,"TR.Revenue","Curn=#1",,$C$1)/1000000)</f>
        <v>#VALUE!</v>
      </c>
      <c r="D15" s="265" t="e" cm="1">
        <f t="array" ref="D15">IF($B15="","",_xll.RDP.Data($B15,"TR.RevenueMean","Period=FY1 Frq=D SDate=1D Curn=#1",,$C$1)/1000000)</f>
        <v>#VALUE!</v>
      </c>
      <c r="E15" s="265" t="e" cm="1">
        <f t="array" ref="E15">IF($B15="","",_xll.RDP.Data($B15,"TR.RevenueMean","Period=FY2 Frq=D SDate=1D Curn=#1",,$C$1)/1000000)</f>
        <v>#VALUE!</v>
      </c>
      <c r="F15" s="266" t="e" cm="1">
        <f t="array" ref="F15">IF($B15="","",_xll.RDP.Data($B15,"TR.RevenueMean","Period=FY3 Frq=D SDate=1D Curn=#1",,$C$1)/1000000)</f>
        <v>#VALUE!</v>
      </c>
      <c r="G15" s="267" t="str">
        <f>IF($B15="","",_xll.RDP.Data($B15,"TR.EPSMean","Period=FY0 Frq=D SDate=1D Curn=#1",,$C$1))</f>
        <v>Please sign in</v>
      </c>
      <c r="H15" s="267" t="str">
        <f>IF($B15="","",_xll.RDP.Data($B15,"TR.EPSMean","Period=FY1 Frq=D SDate=1D Curn=#1",,$C$1))</f>
        <v>Please sign in</v>
      </c>
      <c r="I15" s="267" t="str">
        <f>IF($B15="","",_xll.RDP.Data($B15,"TR.EPSMean","Period=FY2 Frq=D SDate=1D Curn=#1",,$C$1))</f>
        <v>Please sign in</v>
      </c>
      <c r="J15" s="268" t="str">
        <f>IF($B15="","",_xll.RDP.Data($B15,"TR.EPSMean","Period=FY3 Frq=D SDate=1D Curn=#1",,$C$1))</f>
        <v>Please sign in</v>
      </c>
      <c r="K15" s="267" t="e" cm="1">
        <f t="array" ref="K15">IF($B15="","",_xll.RDP.Data($B15,"TR.EBITMean","Period=FY0 Frq=D SDate=1D Curn=#1",,$C$1)/1000000)</f>
        <v>#VALUE!</v>
      </c>
      <c r="L15" s="267" t="e" cm="1">
        <f t="array" ref="L15">IF($B15="","",_xll.RDP.Data($B15,"TR.EBITMean","Period=FY1 Frq=D SDate=1D Curn=#1",,$C$1)/1000000)</f>
        <v>#VALUE!</v>
      </c>
      <c r="M15" s="268" t="e" cm="1">
        <f t="array" ref="M15">IF($B15="","",_xll.RDP.Data($B15,"TR.EBITMean","Period=FY2 Frq=D SDate=1D Curn=#1",,$C$1)/1000000)</f>
        <v>#VALUE!</v>
      </c>
      <c r="N15" s="269" t="e" cm="1">
        <f t="array" ref="N15">IF($B15="","",_xll.RDP.Data($B15,"TR.EBITDAMean","Period=FY0 Frq=D SDate=1D Curn=#1",,$C$1)/1000000)</f>
        <v>#VALUE!</v>
      </c>
      <c r="O15" s="267" t="e" cm="1">
        <f t="array" ref="O15">IF($B15="","",_xll.RDP.Data($B15,"TR.EBITDAMean","Period=FY1 Frq=D SDate=1D Curn=#1",,$C$1)/1000000)</f>
        <v>#VALUE!</v>
      </c>
      <c r="P15" s="267" t="e" cm="1">
        <f t="array" ref="P15">IF($B15="","",_xll.RDP.Data($B15,"TR.EBITDAMean","Period=FY2 Frq=D SDate=1D Curn=#1",,$C$1)/1000000)</f>
        <v>#VALUE!</v>
      </c>
      <c r="Q15" s="270" t="e" cm="1">
        <f t="array" ref="Q15">IF($B15="","",_xll.RDP.Data($B15,"TR.LTGMean",,)/100)</f>
        <v>#VALUE!</v>
      </c>
      <c r="R15" s="116"/>
    </row>
    <row r="16" spans="1:18" x14ac:dyDescent="0.3">
      <c r="A16" s="236" t="str">
        <f>A7</f>
        <v>Please sign in</v>
      </c>
      <c r="B16" s="264" t="str">
        <f>IF(B7="","",B7)</f>
        <v>RTX</v>
      </c>
      <c r="C16" s="265" t="e" cm="1">
        <f t="array" ref="C16">IF($B16="","",_xll.RDP.Data($B16,"TR.Revenue","Curn=#1",,$C$1)/1000000)</f>
        <v>#VALUE!</v>
      </c>
      <c r="D16" s="265" t="e" cm="1">
        <f t="array" ref="D16">IF($B16="","",_xll.RDP.Data($B16,"TR.RevenueMean","Period=FY1 Frq=D SDate=1D Curn=#1",,$C$1)/1000000)</f>
        <v>#VALUE!</v>
      </c>
      <c r="E16" s="265" t="e" cm="1">
        <f t="array" ref="E16">IF($B16="","",_xll.RDP.Data($B16,"TR.RevenueMean","Period=FY2 Frq=D SDate=1D Curn=#1",,$C$1)/1000000)</f>
        <v>#VALUE!</v>
      </c>
      <c r="F16" s="271" t="e" cm="1">
        <f t="array" ref="F16">IF($B16="","",_xll.RDP.Data($B16,"TR.RevenueMean","Period=FY3 Frq=D SDate=1D Curn=#1",,$C$1)/1000000)</f>
        <v>#VALUE!</v>
      </c>
      <c r="G16" s="267" t="str">
        <f>IF($B16="","",_xll.RDP.Data($B16,"TR.EPSMean","Period=FY0 Frq=D SDate=1D Curn=#1",,$C$1))</f>
        <v>Please sign in</v>
      </c>
      <c r="H16" s="267" t="str">
        <f>IF($B16="","",_xll.RDP.Data($B16,"TR.EPSMean","Period=FY1 Frq=D SDate=1D Curn=#1",,$C$1))</f>
        <v>Please sign in</v>
      </c>
      <c r="I16" s="267" t="str">
        <f>IF($B16="","",_xll.RDP.Data($B16,"TR.EPSMean","Period=FY2 Frq=D SDate=1D Curn=#1",,$C$1))</f>
        <v>Please sign in</v>
      </c>
      <c r="J16" s="268" t="str">
        <f>IF($B16="","",_xll.RDP.Data($B16,"TR.EPSMean","Period=FY3 Frq=D SDate=1D Curn=#1",,$C$1))</f>
        <v>Please sign in</v>
      </c>
      <c r="K16" s="267" t="e" cm="1">
        <f t="array" ref="K16">IF($B16="","",_xll.RDP.Data($B16,"TR.EBITMean","Period=FY0 Frq=D SDate=1D Curn=#1",,$C$1)/1000000)</f>
        <v>#VALUE!</v>
      </c>
      <c r="L16" s="267" t="e" cm="1">
        <f t="array" ref="L16">IF($B16="","",_xll.RDP.Data($B16,"TR.EBITMean","Period=FY1 Frq=D SDate=1D Curn=#1",,$C$1)/1000000)</f>
        <v>#VALUE!</v>
      </c>
      <c r="M16" s="268" t="e" cm="1">
        <f t="array" ref="M16">IF($B16="","",_xll.RDP.Data($B16,"TR.EBITMean","Period=FY2 Frq=D SDate=1D Curn=#1",,$C$1)/1000000)</f>
        <v>#VALUE!</v>
      </c>
      <c r="N16" s="269" t="e" cm="1">
        <f t="array" ref="N16">IF($B16="","",_xll.RDP.Data($B16,"TR.EBITDAMean","Period=FY0 Frq=D SDate=1D Curn=#1",,$C$1)/1000000)</f>
        <v>#VALUE!</v>
      </c>
      <c r="O16" s="267" t="e" cm="1">
        <f t="array" ref="O16">IF($B16="","",_xll.RDP.Data($B16,"TR.EBITDAMean","Period=FY1 Frq=D SDate=1D Curn=#1",,$C$1)/1000000)</f>
        <v>#VALUE!</v>
      </c>
      <c r="P16" s="267" t="e" cm="1">
        <f t="array" ref="P16">IF($B16="","",_xll.RDP.Data($B16,"TR.EBITDAMean","Period=FY2 Frq=D SDate=1D Curn=#1",,$C$1)/1000000)</f>
        <v>#VALUE!</v>
      </c>
      <c r="Q16" s="270" t="e" cm="1">
        <f t="array" ref="Q16">IF($B16="","",_xll.RDP.Data($B16,"TR.LTGMean",,)/100)</f>
        <v>#VALUE!</v>
      </c>
      <c r="R16" s="116"/>
    </row>
    <row r="17" spans="1:18" x14ac:dyDescent="0.3">
      <c r="A17" s="236" t="str">
        <f>A8</f>
        <v>Please sign in</v>
      </c>
      <c r="B17" s="264" t="str">
        <f>IF(B8="","",B8)</f>
        <v>NOC</v>
      </c>
      <c r="C17" s="265" t="e" cm="1">
        <f t="array" ref="C17">IF($B17="","",_xll.RDP.Data($B17,"TR.Revenue","Curn=#1",,$C$1)/1000000)</f>
        <v>#VALUE!</v>
      </c>
      <c r="D17" s="265" t="e" cm="1">
        <f t="array" ref="D17">IF($B17="","",_xll.RDP.Data($B17,"TR.RevenueMean","Period=FY1 Frq=D SDate=1D Curn=#1",,$C$1)/1000000)</f>
        <v>#VALUE!</v>
      </c>
      <c r="E17" s="265" t="e" cm="1">
        <f t="array" ref="E17">IF($B17="","",_xll.RDP.Data($B17,"TR.RevenueMean","Period=FY2 Frq=D SDate=1D Curn=#1",,$C$1)/1000000)</f>
        <v>#VALUE!</v>
      </c>
      <c r="F17" s="271" t="e" cm="1">
        <f t="array" ref="F17">IF($B17="","",_xll.RDP.Data($B17,"TR.RevenueMean","Period=FY3 Frq=D SDate=1D Curn=#1",,$C$1)/1000000)</f>
        <v>#VALUE!</v>
      </c>
      <c r="G17" s="267" t="str">
        <f>IF($B17="","",_xll.RDP.Data($B17,"TR.EPSMean","Period=FY0 Frq=D SDate=1D Curn=#1",,$C$1))</f>
        <v>Please sign in</v>
      </c>
      <c r="H17" s="267" t="str">
        <f>IF($B17="","",_xll.RDP.Data($B17,"TR.EPSMean","Period=FY1 Frq=D SDate=1D Curn=#1",,$C$1))</f>
        <v>Please sign in</v>
      </c>
      <c r="I17" s="267" t="str">
        <f>IF($B17="","",_xll.RDP.Data($B17,"TR.EPSMean","Period=FY2 Frq=D SDate=1D Curn=#1",,$C$1))</f>
        <v>Please sign in</v>
      </c>
      <c r="J17" s="268" t="str">
        <f>IF($B17="","",_xll.RDP.Data($B17,"TR.EPSMean","Period=FY3 Frq=D SDate=1D Curn=#1",,$C$1))</f>
        <v>Please sign in</v>
      </c>
      <c r="K17" s="267" t="e" cm="1">
        <f t="array" ref="K17">IF($B17="","",_xll.RDP.Data($B17,"TR.EBITMean","Period=FY0 Frq=D SDate=1D Curn=#1",,$C$1)/1000000)</f>
        <v>#VALUE!</v>
      </c>
      <c r="L17" s="267" t="e" cm="1">
        <f t="array" ref="L17">IF($B17="","",_xll.RDP.Data($B17,"TR.EBITMean","Period=FY1 Frq=D SDate=1D Curn=#1",,$C$1)/1000000)</f>
        <v>#VALUE!</v>
      </c>
      <c r="M17" s="268" t="e" cm="1">
        <f t="array" ref="M17">IF($B17="","",_xll.RDP.Data($B17,"TR.EBITMean","Period=FY2 Frq=D SDate=1D Curn=#1",,$C$1)/1000000)</f>
        <v>#VALUE!</v>
      </c>
      <c r="N17" s="269" t="e" cm="1">
        <f t="array" ref="N17">IF($B17="","",_xll.RDP.Data($B17,"TR.EBITDAMean","Period=FY0 Frq=D SDate=1D Curn=#1",,$C$1)/1000000)</f>
        <v>#VALUE!</v>
      </c>
      <c r="O17" s="267" t="e" cm="1">
        <f t="array" ref="O17">IF($B17="","",_xll.RDP.Data($B17,"TR.EBITDAMean","Period=FY1 Frq=D SDate=1D Curn=#1",,$C$1)/1000000)</f>
        <v>#VALUE!</v>
      </c>
      <c r="P17" s="267" t="e" cm="1">
        <f t="array" ref="P17">IF($B17="","",_xll.RDP.Data($B17,"TR.EBITDAMean","Period=FY2 Frq=D SDate=1D Curn=#1",,$C$1)/1000000)</f>
        <v>#VALUE!</v>
      </c>
      <c r="Q17" s="270" t="e" cm="1">
        <f t="array" ref="Q17">IF($B17="","",_xll.RDP.Data($B17,"TR.LTGMean",,)/100)</f>
        <v>#VALUE!</v>
      </c>
      <c r="R17" s="272" t="s">
        <v>322</v>
      </c>
    </row>
    <row r="18" spans="1:18" x14ac:dyDescent="0.3">
      <c r="A18" s="236" t="str">
        <f>A9</f>
        <v>Please sign in</v>
      </c>
      <c r="B18" s="264" t="str">
        <f>IF(B9="","",B9)</f>
        <v>LHX</v>
      </c>
      <c r="C18" s="273" t="e" cm="1">
        <f t="array" ref="C18">IF($B18="","",_xll.RDP.Data($B18,"TR.Revenue","Curn=#1",,$C$1)/1000000)</f>
        <v>#VALUE!</v>
      </c>
      <c r="D18" s="265" t="e" cm="1">
        <f t="array" ref="D18">IF($B18="","",_xll.RDP.Data($B18,"TR.RevenueMean","Period=FY1 Frq=D SDate=1D Curn=#1",,$C$1)/1000000)</f>
        <v>#VALUE!</v>
      </c>
      <c r="E18" s="265" t="e" cm="1">
        <f t="array" ref="E18">IF($B18="","",_xll.RDP.Data($B18,"TR.RevenueMean","Period=FY2 Frq=D SDate=1D Curn=#1",,$C$1)/1000000)</f>
        <v>#VALUE!</v>
      </c>
      <c r="F18" s="271" t="e" cm="1">
        <f t="array" ref="F18">IF($B18="","",_xll.RDP.Data($B18,"TR.RevenueMean","Period=FY3 Frq=D SDate=1D Curn=#1",,$C$1)/1000000)</f>
        <v>#VALUE!</v>
      </c>
      <c r="G18" s="269" t="str">
        <f>IF($B18="","",_xll.RDP.Data($B18,"TR.EPSMean","Period=FY0 Frq=D SDate=1D Curn=#1",,$C$1))</f>
        <v>Please sign in</v>
      </c>
      <c r="H18" s="267" t="str">
        <f>IF($B18="","",_xll.RDP.Data($B18,"TR.EPSMean","Period=FY1 Frq=D SDate=1D Curn=#1",,$C$1))</f>
        <v>Please sign in</v>
      </c>
      <c r="I18" s="267" t="str">
        <f>IF($B18="","",_xll.RDP.Data($B18,"TR.EPSMean","Period=FY2 Frq=D SDate=1D Curn=#1",,$C$1))</f>
        <v>Please sign in</v>
      </c>
      <c r="J18" s="268" t="str">
        <f>IF($B18="","",_xll.RDP.Data($B18,"TR.EPSMean","Period=FY3 Frq=D SDate=1D Curn=#1",,$C$1))</f>
        <v>Please sign in</v>
      </c>
      <c r="K18" s="267" t="e" cm="1">
        <f t="array" ref="K18">IF($B18="","",_xll.RDP.Data($B18,"TR.EBITMean","Period=FY0 Frq=D SDate=1D Curn=#1",,$C$1)/1000000)</f>
        <v>#VALUE!</v>
      </c>
      <c r="L18" s="267" t="e" cm="1">
        <f t="array" ref="L18">IF($B18="","",_xll.RDP.Data($B18,"TR.EBITMean","Period=FY1 Frq=D SDate=1D Curn=#1",,$C$1)/1000000)</f>
        <v>#VALUE!</v>
      </c>
      <c r="M18" s="268" t="e" cm="1">
        <f t="array" ref="M18">IF($B18="","",_xll.RDP.Data($B18,"TR.EBITMean","Period=FY2 Frq=D SDate=1D Curn=#1",,$C$1)/1000000)</f>
        <v>#VALUE!</v>
      </c>
      <c r="N18" s="269" t="e" cm="1">
        <f t="array" ref="N18">IF($B18="","",_xll.RDP.Data($B18,"TR.EBITDAMean","Period=FY0 Frq=D SDate=1D Curn=#1",,$C$1)/1000000)</f>
        <v>#VALUE!</v>
      </c>
      <c r="O18" s="267" t="e" cm="1">
        <f t="array" ref="O18">IF($B18="","",_xll.RDP.Data($B18,"TR.EBITDAMean","Period=FY1 Frq=D SDate=1D Curn=#1",,$C$1)/1000000)</f>
        <v>#VALUE!</v>
      </c>
      <c r="P18" s="267" t="e" cm="1">
        <f t="array" ref="P18">IF($B18="","",_xll.RDP.Data($B18,"TR.EBITDAMean","Period=FY2 Frq=D SDate=1D Curn=#1",,$C$1)/1000000)</f>
        <v>#VALUE!</v>
      </c>
      <c r="Q18" s="270" t="e" cm="1">
        <f t="array" ref="Q18">IF($B18="","",_xll.RDP.Data($B18,"TR.LTGMean",,)/100)</f>
        <v>#VALUE!</v>
      </c>
      <c r="R18" s="272" t="s">
        <v>322</v>
      </c>
    </row>
    <row r="19" spans="1:18" x14ac:dyDescent="0.3">
      <c r="A19" s="182" t="str">
        <f>A10</f>
        <v>Please sign in</v>
      </c>
      <c r="B19" s="274" t="str">
        <f>IF(B10="","",B10)</f>
        <v>GD</v>
      </c>
      <c r="C19" s="274" t="e" cm="1">
        <f t="array" ref="C19">IF($B19="","",_xll.RDP.Data($B19,"TR.Revenue","Curn=#1",,$C$1)/1000000)</f>
        <v>#VALUE!</v>
      </c>
      <c r="D19" s="275" t="e" cm="1">
        <f t="array" ref="D19">IF($B19="","",_xll.RDP.Data($B19,"TR.RevenueMean","Period=FY1 Frq=D SDate=1D Curn=#1",,$C$1)/1000000)</f>
        <v>#VALUE!</v>
      </c>
      <c r="E19" s="275" t="e" cm="1">
        <f t="array" ref="E19">IF($B19="","",_xll.RDP.Data($B19,"TR.RevenueMean","Period=FY2 Frq=D SDate=1D Curn=#1",,$C$1)/1000000)</f>
        <v>#VALUE!</v>
      </c>
      <c r="F19" s="276" t="e" cm="1">
        <f t="array" ref="F19">IF($B19="","",_xll.RDP.Data($B19,"TR.RevenueMean","Period=FY3 Frq=D SDate=1D Curn=#1",,$C$1)/1000000)</f>
        <v>#VALUE!</v>
      </c>
      <c r="G19" s="277" t="str">
        <f>IF($B19="","",_xll.RDP.Data($B19,"TR.EPSMean","Period=FY0 Frq=D SDate=1D Curn=#1",,$C$1))</f>
        <v>Please sign in</v>
      </c>
      <c r="H19" s="278" t="str">
        <f>IF($B19="","",_xll.RDP.Data($B19,"TR.EPSMean","Period=FY1 Frq=D SDate=1D Curn=#1",,$C$1))</f>
        <v>Please sign in</v>
      </c>
      <c r="I19" s="278" t="str">
        <f>IF($B19="","",_xll.RDP.Data($B19,"TR.EPSMean","Period=FY2 Frq=D SDate=1D Curn=#1",,$C$1))</f>
        <v>Please sign in</v>
      </c>
      <c r="J19" s="279" t="str">
        <f>IF($B19="","",_xll.RDP.Data($B19,"TR.EPSMean","Period=FY3 Frq=D SDate=1D Curn=#1",,$C$1))</f>
        <v>Please sign in</v>
      </c>
      <c r="K19" s="278" t="e" cm="1">
        <f t="array" ref="K19">IF($B19="","",_xll.RDP.Data($B19,"TR.EBITMean","Period=FY0 Frq=D SDate=1D Curn=#1",,$C$1)/1000000)</f>
        <v>#VALUE!</v>
      </c>
      <c r="L19" s="278" t="e" cm="1">
        <f t="array" ref="L19">IF($B19="","",_xll.RDP.Data($B19,"TR.EBITMean","Period=FY1 Frq=D SDate=1D Curn=#1",,$C$1)/1000000)</f>
        <v>#VALUE!</v>
      </c>
      <c r="M19" s="279" t="e" cm="1">
        <f t="array" ref="M19">IF($B19="","",_xll.RDP.Data($B19,"TR.EBITMean","Period=FY2 Frq=D SDate=1D Curn=#1",,$C$1)/1000000)</f>
        <v>#VALUE!</v>
      </c>
      <c r="N19" s="277" t="e" cm="1">
        <f t="array" ref="N19">IF($B19="","",_xll.RDP.Data($B19,"TR.EBITDAMean","Period=FY0 Frq=D SDate=1D Curn=#1",,$C$1)/1000000)</f>
        <v>#VALUE!</v>
      </c>
      <c r="O19" s="278" t="e" cm="1">
        <f t="array" ref="O19">IF($B19="","",_xll.RDP.Data($B19,"TR.EBITDAMean","Period=FY1 Frq=D SDate=1D Curn=#1",,$C$1)/1000000)</f>
        <v>#VALUE!</v>
      </c>
      <c r="P19" s="279" t="e" cm="1">
        <f t="array" ref="P19">IF($B19="","",_xll.RDP.Data($B19,"TR.EBITDAMean","Period=FY2 Frq=D SDate=1D Curn=#1",,$C$1)/1000000)</f>
        <v>#VALUE!</v>
      </c>
      <c r="Q19" s="280" t="e" cm="1">
        <f t="array" ref="Q19">IF($B19="","",_xll.RDP.Data($B19,"TR.LTGMean",,)/100)</f>
        <v>#VALUE!</v>
      </c>
      <c r="R19" s="116"/>
    </row>
    <row r="20" spans="1:18" x14ac:dyDescent="0.3">
      <c r="A20" s="116"/>
      <c r="B20" s="222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</row>
    <row r="21" spans="1:18" x14ac:dyDescent="0.3">
      <c r="A21" s="224" t="s">
        <v>323</v>
      </c>
      <c r="B21" s="256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5"/>
      <c r="Q21" s="225"/>
      <c r="R21" s="116"/>
    </row>
    <row r="22" spans="1:18" x14ac:dyDescent="0.3">
      <c r="A22" s="226"/>
      <c r="B22" s="231"/>
      <c r="C22" s="231" t="s">
        <v>293</v>
      </c>
      <c r="D22" s="231" t="s">
        <v>324</v>
      </c>
      <c r="E22" s="257" t="s">
        <v>325</v>
      </c>
      <c r="F22" s="281"/>
      <c r="G22" s="282"/>
      <c r="H22" s="257" t="s">
        <v>326</v>
      </c>
      <c r="I22" s="281"/>
      <c r="J22" s="282"/>
      <c r="K22" s="257" t="s">
        <v>327</v>
      </c>
      <c r="L22" s="281"/>
      <c r="M22" s="282"/>
      <c r="N22" s="257" t="s">
        <v>328</v>
      </c>
      <c r="O22" s="281"/>
      <c r="P22" s="282"/>
      <c r="Q22" s="116"/>
      <c r="R22" s="116"/>
    </row>
    <row r="23" spans="1:18" x14ac:dyDescent="0.3">
      <c r="A23" s="232" t="s">
        <v>300</v>
      </c>
      <c r="B23" s="232" t="s">
        <v>301</v>
      </c>
      <c r="C23" s="232" t="s">
        <v>302</v>
      </c>
      <c r="D23" s="232" t="s">
        <v>268</v>
      </c>
      <c r="E23" s="260" t="s">
        <v>318</v>
      </c>
      <c r="F23" s="261" t="s">
        <v>319</v>
      </c>
      <c r="G23" s="262" t="s">
        <v>320</v>
      </c>
      <c r="H23" s="260" t="s">
        <v>318</v>
      </c>
      <c r="I23" s="261" t="s">
        <v>319</v>
      </c>
      <c r="J23" s="262" t="s">
        <v>320</v>
      </c>
      <c r="K23" s="260" t="s">
        <v>318</v>
      </c>
      <c r="L23" s="261" t="s">
        <v>319</v>
      </c>
      <c r="M23" s="262" t="s">
        <v>320</v>
      </c>
      <c r="N23" s="260" t="s">
        <v>317</v>
      </c>
      <c r="O23" s="261" t="s">
        <v>318</v>
      </c>
      <c r="P23" s="262" t="s">
        <v>319</v>
      </c>
      <c r="Q23" s="116"/>
      <c r="R23" s="116"/>
    </row>
    <row r="24" spans="1:18" x14ac:dyDescent="0.3">
      <c r="A24" s="236" t="str">
        <f>A6</f>
        <v>Please sign in</v>
      </c>
      <c r="B24" s="283" t="str">
        <f t="shared" ref="B24:C28" si="0">IF(B6="","",B6)</f>
        <v>LMT</v>
      </c>
      <c r="C24" s="284" t="str">
        <f t="shared" si="0"/>
        <v>Please sign in</v>
      </c>
      <c r="D24" s="285" t="str">
        <f>IF(OR(B24="",ISNUMBER(F6)=FALSE,ISNUMBER(J6)=FALSE),"",F6/J6)</f>
        <v/>
      </c>
      <c r="E24" s="285" t="str">
        <f t="shared" ref="E24:G28" si="1">IF(OR($B24="",ISNUMBER($F6)=FALSE,ISNUMBER(D15)=FALSE),"",$F6/D15)</f>
        <v/>
      </c>
      <c r="F24" s="286" t="str">
        <f t="shared" si="1"/>
        <v/>
      </c>
      <c r="G24" s="287" t="str">
        <f t="shared" si="1"/>
        <v/>
      </c>
      <c r="H24" s="288" t="e">
        <f t="shared" ref="H24:J28" si="2">IF(OR($B24="",ISNA(H15)=TRUE),"",$C6/H15)</f>
        <v>#VALUE!</v>
      </c>
      <c r="I24" s="289" t="e">
        <f t="shared" si="2"/>
        <v>#VALUE!</v>
      </c>
      <c r="J24" s="290" t="e">
        <f t="shared" si="2"/>
        <v>#VALUE!</v>
      </c>
      <c r="K24" s="288" t="e">
        <f t="shared" ref="K24:M28" si="3">IF(OR($B24="",H24="",ISNA($Q15)=TRUE),"",H24/$Q15/100)</f>
        <v>#VALUE!</v>
      </c>
      <c r="L24" s="289" t="e">
        <f t="shared" si="3"/>
        <v>#VALUE!</v>
      </c>
      <c r="M24" s="290" t="e">
        <f t="shared" si="3"/>
        <v>#VALUE!</v>
      </c>
      <c r="N24" s="289" t="e">
        <f t="shared" ref="N24:P28" si="4">IF(OR($B24="",ISNA($I6)=TRUE,ISNA(N15)=TRUE),"",$I6/N15)</f>
        <v>#VALUE!</v>
      </c>
      <c r="O24" s="289" t="e">
        <f t="shared" si="4"/>
        <v>#VALUE!</v>
      </c>
      <c r="P24" s="290" t="e">
        <f t="shared" si="4"/>
        <v>#VALUE!</v>
      </c>
      <c r="Q24" s="116"/>
      <c r="R24" s="116"/>
    </row>
    <row r="25" spans="1:18" x14ac:dyDescent="0.3">
      <c r="A25" s="236" t="str">
        <f>A7</f>
        <v>Please sign in</v>
      </c>
      <c r="B25" s="283" t="str">
        <f t="shared" si="0"/>
        <v>RTX</v>
      </c>
      <c r="C25" s="284" t="str">
        <f t="shared" si="0"/>
        <v>Please sign in</v>
      </c>
      <c r="D25" s="285" t="str">
        <f>IF(OR(B25="",ISNUMBER(F7)=FALSE,ISNUMBER(J7)=FALSE),"",F7/J7)</f>
        <v/>
      </c>
      <c r="E25" s="285" t="str">
        <f t="shared" si="1"/>
        <v/>
      </c>
      <c r="F25" s="286" t="str">
        <f t="shared" si="1"/>
        <v/>
      </c>
      <c r="G25" s="287" t="str">
        <f t="shared" si="1"/>
        <v/>
      </c>
      <c r="H25" s="288" t="e">
        <f t="shared" si="2"/>
        <v>#VALUE!</v>
      </c>
      <c r="I25" s="289" t="e">
        <f t="shared" si="2"/>
        <v>#VALUE!</v>
      </c>
      <c r="J25" s="290" t="e">
        <f t="shared" si="2"/>
        <v>#VALUE!</v>
      </c>
      <c r="K25" s="288" t="e">
        <f t="shared" si="3"/>
        <v>#VALUE!</v>
      </c>
      <c r="L25" s="288" t="e">
        <f t="shared" si="3"/>
        <v>#VALUE!</v>
      </c>
      <c r="M25" s="288" t="e">
        <f t="shared" si="3"/>
        <v>#VALUE!</v>
      </c>
      <c r="N25" s="289" t="e">
        <f t="shared" si="4"/>
        <v>#VALUE!</v>
      </c>
      <c r="O25" s="289" t="e">
        <f t="shared" si="4"/>
        <v>#VALUE!</v>
      </c>
      <c r="P25" s="290" t="e">
        <f t="shared" si="4"/>
        <v>#VALUE!</v>
      </c>
      <c r="Q25" s="116"/>
      <c r="R25" s="116"/>
    </row>
    <row r="26" spans="1:18" x14ac:dyDescent="0.3">
      <c r="A26" s="236" t="str">
        <f>A8</f>
        <v>Please sign in</v>
      </c>
      <c r="B26" s="283" t="str">
        <f t="shared" si="0"/>
        <v>NOC</v>
      </c>
      <c r="C26" s="284" t="str">
        <f t="shared" si="0"/>
        <v>Please sign in</v>
      </c>
      <c r="D26" s="285" t="str">
        <f>IF(OR(B26="",ISNUMBER(F8)=FALSE,ISNUMBER(J8)=FALSE),"",F8/J8)</f>
        <v/>
      </c>
      <c r="E26" s="285" t="str">
        <f t="shared" si="1"/>
        <v/>
      </c>
      <c r="F26" s="286" t="str">
        <f t="shared" si="1"/>
        <v/>
      </c>
      <c r="G26" s="287" t="str">
        <f t="shared" si="1"/>
        <v/>
      </c>
      <c r="H26" s="288" t="e">
        <f t="shared" si="2"/>
        <v>#VALUE!</v>
      </c>
      <c r="I26" s="289" t="e">
        <f t="shared" si="2"/>
        <v>#VALUE!</v>
      </c>
      <c r="J26" s="290" t="e">
        <f t="shared" si="2"/>
        <v>#VALUE!</v>
      </c>
      <c r="K26" s="288" t="e">
        <f t="shared" si="3"/>
        <v>#VALUE!</v>
      </c>
      <c r="L26" s="288" t="e">
        <f t="shared" si="3"/>
        <v>#VALUE!</v>
      </c>
      <c r="M26" s="288" t="e">
        <f t="shared" si="3"/>
        <v>#VALUE!</v>
      </c>
      <c r="N26" s="289" t="e">
        <f t="shared" si="4"/>
        <v>#VALUE!</v>
      </c>
      <c r="O26" s="289" t="e">
        <f t="shared" si="4"/>
        <v>#VALUE!</v>
      </c>
      <c r="P26" s="290" t="e">
        <f t="shared" si="4"/>
        <v>#VALUE!</v>
      </c>
      <c r="Q26" s="116"/>
      <c r="R26" s="116"/>
    </row>
    <row r="27" spans="1:18" x14ac:dyDescent="0.3">
      <c r="A27" s="236" t="str">
        <f>A9</f>
        <v>Please sign in</v>
      </c>
      <c r="B27" s="283" t="str">
        <f t="shared" si="0"/>
        <v>LHX</v>
      </c>
      <c r="C27" s="284" t="str">
        <f t="shared" si="0"/>
        <v>Please sign in</v>
      </c>
      <c r="D27" s="285" t="str">
        <f>IF(OR(B27="",ISNUMBER(F9)=FALSE,ISNUMBER(J9)=FALSE),"",F9/J9)</f>
        <v/>
      </c>
      <c r="E27" s="285" t="str">
        <f t="shared" si="1"/>
        <v/>
      </c>
      <c r="F27" s="286" t="str">
        <f t="shared" si="1"/>
        <v/>
      </c>
      <c r="G27" s="287" t="str">
        <f t="shared" si="1"/>
        <v/>
      </c>
      <c r="H27" s="288" t="e">
        <f t="shared" si="2"/>
        <v>#VALUE!</v>
      </c>
      <c r="I27" s="289" t="e">
        <f t="shared" si="2"/>
        <v>#VALUE!</v>
      </c>
      <c r="J27" s="290" t="e">
        <f t="shared" si="2"/>
        <v>#VALUE!</v>
      </c>
      <c r="K27" s="288" t="e">
        <f t="shared" si="3"/>
        <v>#VALUE!</v>
      </c>
      <c r="L27" s="288" t="e">
        <f t="shared" si="3"/>
        <v>#VALUE!</v>
      </c>
      <c r="M27" s="288" t="e">
        <f t="shared" si="3"/>
        <v>#VALUE!</v>
      </c>
      <c r="N27" s="289" t="e">
        <f t="shared" si="4"/>
        <v>#VALUE!</v>
      </c>
      <c r="O27" s="289" t="e">
        <f t="shared" si="4"/>
        <v>#VALUE!</v>
      </c>
      <c r="P27" s="290" t="e">
        <f t="shared" si="4"/>
        <v>#VALUE!</v>
      </c>
      <c r="Q27" s="116"/>
      <c r="R27" s="116"/>
    </row>
    <row r="28" spans="1:18" x14ac:dyDescent="0.3">
      <c r="A28" s="182" t="str">
        <f>A10</f>
        <v>Please sign in</v>
      </c>
      <c r="B28" s="291" t="str">
        <f t="shared" si="0"/>
        <v>GD</v>
      </c>
      <c r="C28" s="291" t="str">
        <f t="shared" si="0"/>
        <v>Please sign in</v>
      </c>
      <c r="D28" s="292" t="str">
        <f>IF(OR(B28="",ISNUMBER(F10)=FALSE,ISNUMBER(J10)=FALSE),"",F10/J10)</f>
        <v/>
      </c>
      <c r="E28" s="292" t="str">
        <f t="shared" si="1"/>
        <v/>
      </c>
      <c r="F28" s="293" t="str">
        <f t="shared" si="1"/>
        <v/>
      </c>
      <c r="G28" s="294" t="str">
        <f t="shared" si="1"/>
        <v/>
      </c>
      <c r="H28" s="295" t="e">
        <f t="shared" si="2"/>
        <v>#VALUE!</v>
      </c>
      <c r="I28" s="296" t="e">
        <f t="shared" si="2"/>
        <v>#VALUE!</v>
      </c>
      <c r="J28" s="297" t="e">
        <f t="shared" si="2"/>
        <v>#VALUE!</v>
      </c>
      <c r="K28" s="295" t="e">
        <f t="shared" si="3"/>
        <v>#VALUE!</v>
      </c>
      <c r="L28" s="296" t="e">
        <f t="shared" si="3"/>
        <v>#VALUE!</v>
      </c>
      <c r="M28" s="297" t="e">
        <f t="shared" si="3"/>
        <v>#VALUE!</v>
      </c>
      <c r="N28" s="295" t="e">
        <f t="shared" si="4"/>
        <v>#VALUE!</v>
      </c>
      <c r="O28" s="296" t="e">
        <f t="shared" si="4"/>
        <v>#VALUE!</v>
      </c>
      <c r="P28" s="297" t="e">
        <f t="shared" si="4"/>
        <v>#VALUE!</v>
      </c>
      <c r="Q28" s="116"/>
      <c r="R28" s="116"/>
    </row>
    <row r="29" spans="1:18" x14ac:dyDescent="0.3">
      <c r="A29" s="116"/>
      <c r="B29" s="222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</row>
    <row r="30" spans="1:18" x14ac:dyDescent="0.3">
      <c r="A30" s="116"/>
      <c r="B30" s="222"/>
      <c r="C30" s="223" t="s">
        <v>329</v>
      </c>
      <c r="D30" s="298" t="e">
        <f t="shared" ref="D30:J30" si="5">AVERAGE(D24:D27)</f>
        <v>#DIV/0!</v>
      </c>
      <c r="E30" s="298" t="e">
        <f t="shared" si="5"/>
        <v>#DIV/0!</v>
      </c>
      <c r="F30" s="299" t="e">
        <f t="shared" si="5"/>
        <v>#DIV/0!</v>
      </c>
      <c r="G30" s="300" t="e">
        <f t="shared" si="5"/>
        <v>#DIV/0!</v>
      </c>
      <c r="H30" s="301" t="e">
        <f t="shared" si="5"/>
        <v>#VALUE!</v>
      </c>
      <c r="I30" s="302" t="e">
        <f t="shared" si="5"/>
        <v>#VALUE!</v>
      </c>
      <c r="J30" s="303" t="e">
        <f t="shared" si="5"/>
        <v>#VALUE!</v>
      </c>
      <c r="K30" s="301" t="e">
        <f>AVERAGE(K24,K26:K26)</f>
        <v>#VALUE!</v>
      </c>
      <c r="L30" s="301" t="e">
        <f>AVERAGE(L24,L26:L26)</f>
        <v>#VALUE!</v>
      </c>
      <c r="M30" s="301" t="e">
        <f>AVERAGE(M24,M26:M26)</f>
        <v>#VALUE!</v>
      </c>
      <c r="N30" s="301" t="e">
        <f>AVERAGE(N24:N27)</f>
        <v>#VALUE!</v>
      </c>
      <c r="O30" s="302" t="e">
        <f>AVERAGE(O24:O27)</f>
        <v>#VALUE!</v>
      </c>
      <c r="P30" s="303" t="e">
        <f>AVERAGE(P24:P27)</f>
        <v>#VALUE!</v>
      </c>
      <c r="Q30" s="116"/>
      <c r="R30" s="116"/>
    </row>
    <row r="31" spans="1:18" x14ac:dyDescent="0.3">
      <c r="A31" s="116"/>
      <c r="B31" s="222"/>
      <c r="C31" s="223" t="s">
        <v>330</v>
      </c>
      <c r="D31" s="304" t="e">
        <f t="shared" ref="D31:J31" si="6">MEDIAN(D24:D27)</f>
        <v>#NUM!</v>
      </c>
      <c r="E31" s="304" t="e">
        <f t="shared" si="6"/>
        <v>#NUM!</v>
      </c>
      <c r="F31" s="305" t="e">
        <f t="shared" si="6"/>
        <v>#NUM!</v>
      </c>
      <c r="G31" s="306" t="e">
        <f t="shared" si="6"/>
        <v>#NUM!</v>
      </c>
      <c r="H31" s="307" t="e">
        <f t="shared" si="6"/>
        <v>#VALUE!</v>
      </c>
      <c r="I31" s="308" t="e">
        <f t="shared" si="6"/>
        <v>#VALUE!</v>
      </c>
      <c r="J31" s="309" t="e">
        <f t="shared" si="6"/>
        <v>#VALUE!</v>
      </c>
      <c r="K31" s="307" t="e">
        <f>MEDIAN(K24,K26:K26)</f>
        <v>#VALUE!</v>
      </c>
      <c r="L31" s="307" t="e">
        <f>MEDIAN(L24,L26:L26)</f>
        <v>#VALUE!</v>
      </c>
      <c r="M31" s="307" t="e">
        <f>MEDIAN(M24,M26:M26)</f>
        <v>#VALUE!</v>
      </c>
      <c r="N31" s="307" t="e">
        <f>MEDIAN(N24:N27)</f>
        <v>#VALUE!</v>
      </c>
      <c r="O31" s="308" t="e">
        <f>MEDIAN(O24:O27)</f>
        <v>#VALUE!</v>
      </c>
      <c r="P31" s="309" t="e">
        <f>MEDIAN(P24:P27)</f>
        <v>#VALUE!</v>
      </c>
      <c r="Q31" s="116"/>
      <c r="R31" s="116"/>
    </row>
    <row r="32" spans="1:18" x14ac:dyDescent="0.3">
      <c r="A32" s="116"/>
      <c r="B32" s="222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</row>
    <row r="33" spans="1:18" x14ac:dyDescent="0.3">
      <c r="A33" s="116"/>
      <c r="B33" s="222"/>
      <c r="C33" s="223" t="s">
        <v>329</v>
      </c>
      <c r="D33" s="310" t="e">
        <f>D30*$J$10/$E$10</f>
        <v>#DIV/0!</v>
      </c>
      <c r="E33" s="310" t="e">
        <f t="shared" ref="E33:G34" si="7">(E30*D$19)/$E$10</f>
        <v>#DIV/0!</v>
      </c>
      <c r="F33" s="311" t="e">
        <f t="shared" si="7"/>
        <v>#DIV/0!</v>
      </c>
      <c r="G33" s="312" t="e">
        <f t="shared" si="7"/>
        <v>#DIV/0!</v>
      </c>
      <c r="H33" s="310" t="e">
        <f t="shared" ref="H33:J34" si="8">H30*H$19</f>
        <v>#VALUE!</v>
      </c>
      <c r="I33" s="311" t="e">
        <f t="shared" si="8"/>
        <v>#VALUE!</v>
      </c>
      <c r="J33" s="312" t="e">
        <f t="shared" si="8"/>
        <v>#VALUE!</v>
      </c>
      <c r="K33" s="310" t="e">
        <f t="shared" ref="K33:M34" si="9">K30*H$19*$Q$19*100</f>
        <v>#VALUE!</v>
      </c>
      <c r="L33" s="311" t="e">
        <f t="shared" si="9"/>
        <v>#VALUE!</v>
      </c>
      <c r="M33" s="312" t="e">
        <f t="shared" si="9"/>
        <v>#VALUE!</v>
      </c>
      <c r="N33" s="310" t="e">
        <f t="shared" ref="N33:P34" si="10">(N30*N$19-($G$10-$H$10))/$E$10</f>
        <v>#VALUE!</v>
      </c>
      <c r="O33" s="311" t="e">
        <f t="shared" si="10"/>
        <v>#VALUE!</v>
      </c>
      <c r="P33" s="312" t="e">
        <f t="shared" si="10"/>
        <v>#VALUE!</v>
      </c>
      <c r="Q33" s="116"/>
      <c r="R33" s="116"/>
    </row>
    <row r="34" spans="1:18" x14ac:dyDescent="0.3">
      <c r="A34" s="116"/>
      <c r="B34" s="222"/>
      <c r="C34" s="223" t="s">
        <v>330</v>
      </c>
      <c r="D34" s="313" t="e">
        <f>D31*$J$10/$E$10</f>
        <v>#NUM!</v>
      </c>
      <c r="E34" s="313" t="e">
        <f t="shared" si="7"/>
        <v>#NUM!</v>
      </c>
      <c r="F34" s="314" t="e">
        <f t="shared" si="7"/>
        <v>#NUM!</v>
      </c>
      <c r="G34" s="315" t="e">
        <f t="shared" si="7"/>
        <v>#NUM!</v>
      </c>
      <c r="H34" s="313" t="e">
        <f t="shared" si="8"/>
        <v>#VALUE!</v>
      </c>
      <c r="I34" s="314" t="e">
        <f t="shared" si="8"/>
        <v>#VALUE!</v>
      </c>
      <c r="J34" s="315" t="e">
        <f t="shared" si="8"/>
        <v>#VALUE!</v>
      </c>
      <c r="K34" s="313" t="e">
        <f t="shared" si="9"/>
        <v>#VALUE!</v>
      </c>
      <c r="L34" s="314" t="e">
        <f t="shared" si="9"/>
        <v>#VALUE!</v>
      </c>
      <c r="M34" s="315" t="e">
        <f t="shared" si="9"/>
        <v>#VALUE!</v>
      </c>
      <c r="N34" s="313" t="e">
        <f t="shared" si="10"/>
        <v>#VALUE!</v>
      </c>
      <c r="O34" s="314" t="e">
        <f t="shared" si="10"/>
        <v>#VALUE!</v>
      </c>
      <c r="P34" s="315" t="e">
        <f t="shared" si="10"/>
        <v>#VALUE!</v>
      </c>
      <c r="Q34" s="116"/>
      <c r="R34" s="116"/>
    </row>
    <row r="35" spans="1:18" x14ac:dyDescent="0.3">
      <c r="A35" s="116"/>
      <c r="B35" s="222"/>
      <c r="C35" s="116"/>
      <c r="D35" s="316" t="s">
        <v>331</v>
      </c>
      <c r="E35" s="317"/>
      <c r="F35" s="317"/>
      <c r="G35" s="317"/>
      <c r="H35" s="316" t="s">
        <v>332</v>
      </c>
      <c r="I35" s="316" t="s">
        <v>333</v>
      </c>
      <c r="J35" s="316" t="s">
        <v>334</v>
      </c>
      <c r="K35" s="316" t="s">
        <v>335</v>
      </c>
      <c r="L35" s="316" t="s">
        <v>336</v>
      </c>
      <c r="M35" s="316" t="s">
        <v>337</v>
      </c>
      <c r="N35" s="316" t="s">
        <v>338</v>
      </c>
      <c r="O35" s="316" t="s">
        <v>339</v>
      </c>
      <c r="P35" s="116"/>
      <c r="Q35" s="116"/>
      <c r="R35" s="116"/>
    </row>
    <row r="36" spans="1:18" x14ac:dyDescent="0.3">
      <c r="A36" s="224" t="s">
        <v>340</v>
      </c>
      <c r="B36" s="256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5"/>
      <c r="Q36" s="225"/>
      <c r="R36" s="116"/>
    </row>
    <row r="37" spans="1:18" x14ac:dyDescent="0.3">
      <c r="A37" s="226"/>
      <c r="B37" s="231"/>
      <c r="C37" s="228" t="s">
        <v>341</v>
      </c>
      <c r="D37" s="229" t="s">
        <v>342</v>
      </c>
      <c r="E37" s="229" t="s">
        <v>219</v>
      </c>
      <c r="F37" s="229"/>
      <c r="G37" s="230"/>
      <c r="H37" s="228" t="s">
        <v>343</v>
      </c>
      <c r="I37" s="229" t="s">
        <v>344</v>
      </c>
      <c r="J37" s="229" t="s">
        <v>345</v>
      </c>
      <c r="K37" s="228"/>
      <c r="L37" s="230"/>
      <c r="M37" s="228" t="s">
        <v>346</v>
      </c>
      <c r="N37" s="230" t="s">
        <v>347</v>
      </c>
      <c r="O37" s="230" t="s">
        <v>348</v>
      </c>
      <c r="P37" s="116"/>
      <c r="Q37" s="116"/>
      <c r="R37" s="116"/>
    </row>
    <row r="38" spans="1:18" x14ac:dyDescent="0.3">
      <c r="A38" s="232" t="s">
        <v>300</v>
      </c>
      <c r="B38" s="232" t="s">
        <v>301</v>
      </c>
      <c r="C38" s="233" t="s">
        <v>349</v>
      </c>
      <c r="D38" s="234" t="s">
        <v>349</v>
      </c>
      <c r="E38" s="234" t="s">
        <v>349</v>
      </c>
      <c r="F38" s="234" t="s">
        <v>350</v>
      </c>
      <c r="G38" s="235" t="s">
        <v>351</v>
      </c>
      <c r="H38" s="233" t="s">
        <v>352</v>
      </c>
      <c r="I38" s="234" t="s">
        <v>352</v>
      </c>
      <c r="J38" s="234" t="s">
        <v>352</v>
      </c>
      <c r="K38" s="233" t="s">
        <v>353</v>
      </c>
      <c r="L38" s="235" t="s">
        <v>354</v>
      </c>
      <c r="M38" s="233" t="s">
        <v>355</v>
      </c>
      <c r="N38" s="235" t="s">
        <v>355</v>
      </c>
      <c r="O38" s="235" t="s">
        <v>356</v>
      </c>
      <c r="P38" s="162"/>
      <c r="Q38" s="116"/>
      <c r="R38" s="116"/>
    </row>
    <row r="39" spans="1:18" x14ac:dyDescent="0.3">
      <c r="A39" s="236" t="str">
        <f>A6</f>
        <v>Please sign in</v>
      </c>
      <c r="B39" s="283" t="str">
        <f>IF(B15="","",B24)</f>
        <v>LMT</v>
      </c>
      <c r="C39" s="318" t="e" cm="1">
        <f t="array" ref="C39">IF($B39="","",_xll.RDP.Data($B39,"TR.GrossMargin")/100)</f>
        <v>#VALUE!</v>
      </c>
      <c r="D39" s="319" t="e" cm="1">
        <f t="array" ref="D39">IF($B39="","",_xll.RDP.Data($B39,"TR.OperatingMarginPercent")/100)</f>
        <v>#VALUE!</v>
      </c>
      <c r="E39" s="319" t="e" cm="1">
        <f t="array" ref="E39">IF($B39="","",_xll.RDP.Data($B39,"TR.NetProfitMargin")/100)</f>
        <v>#VALUE!</v>
      </c>
      <c r="F39" s="319" t="e" cm="1">
        <f t="array" ref="F39">IF($B39="","",_xll.RDP.Data($B39,"TR.ROAActValue")/100)</f>
        <v>#VALUE!</v>
      </c>
      <c r="G39" s="319" t="e" cm="1">
        <f t="array" ref="G39">IF($B39="","",_xll.RDP.Data($B39,"TR.ROEActValue")/100)</f>
        <v>#VALUE!</v>
      </c>
      <c r="H39" s="320" t="str">
        <f>IF($B39="","",_xll.RDP.Data($B39,"TR.AssetTurnover"))</f>
        <v>Please sign in</v>
      </c>
      <c r="I39" s="321" t="str">
        <f>IF($B39="","",_xll.RDP.Data($B39,"TR.InventoryTurnover"))</f>
        <v>Please sign in</v>
      </c>
      <c r="J39" s="322" t="e" cm="1">
        <f t="array" ref="J39">IF($B39="","",_xll.RDP.Data($B39,"TR.Revenue")/_xll.RDP.Data($B39,"TR.TotalReceivablesNet"))</f>
        <v>#VALUE!</v>
      </c>
      <c r="K39" s="323" t="str">
        <f>IF($B39="","",_xll.RDP.Data($B39,"TR.TtlDebtToTtlEquityPct"))</f>
        <v>Please sign in</v>
      </c>
      <c r="L39" s="324" t="str">
        <f>IF($B39="","",_xll.RDP.Data($B39,"TR.LTDebtToTtlCapitalPct"))</f>
        <v>Please sign in</v>
      </c>
      <c r="M39" s="325" t="str">
        <f>IF($B39="","",_xll.RDP.Data($B39,"TR.QuickRatio"))</f>
        <v>Please sign in</v>
      </c>
      <c r="N39" s="326" t="str">
        <f>IF($B39="","",_xll.RDP.Data($B39,"TR.CurrentRatio"))</f>
        <v>Please sign in</v>
      </c>
      <c r="O39" s="327" t="e" cm="1">
        <f t="array" ref="O39">IF($B39="","",_xll.RDP.Data($B39,"TR.EBITDA")/_xll.RDP.Data($B39,"TR.InterestExpense"))</f>
        <v>#VALUE!</v>
      </c>
      <c r="P39" s="162"/>
      <c r="Q39" s="116"/>
      <c r="R39" s="116"/>
    </row>
    <row r="40" spans="1:18" x14ac:dyDescent="0.3">
      <c r="A40" s="236" t="str">
        <f>A7</f>
        <v>Please sign in</v>
      </c>
      <c r="B40" s="283" t="str">
        <f>IF(B16="","",B25)</f>
        <v>RTX</v>
      </c>
      <c r="C40" s="328" t="e" cm="1">
        <f t="array" ref="C40">IF($B40="","",_xll.RDP.Data($B40,"TR.GrossMargin")/100)</f>
        <v>#VALUE!</v>
      </c>
      <c r="D40" s="329" t="e" cm="1">
        <f t="array" ref="D40">IF($B40="","",_xll.RDP.Data($B40,"TR.OperatingMarginPercent")/100)</f>
        <v>#VALUE!</v>
      </c>
      <c r="E40" s="329" t="e" cm="1">
        <f t="array" ref="E40">IF($B40="","",_xll.RDP.Data($B40,"TR.NetProfitMargin")/100)</f>
        <v>#VALUE!</v>
      </c>
      <c r="F40" s="329" t="e" cm="1">
        <f t="array" ref="F40">IF($B40="","",_xll.RDP.Data($B40,"TR.ROAActValue")/100)</f>
        <v>#VALUE!</v>
      </c>
      <c r="G40" s="330" t="e" cm="1">
        <f t="array" ref="G40">IF($B40="","",_xll.RDP.Data($B40,"TR.ROEActValue")/100)</f>
        <v>#VALUE!</v>
      </c>
      <c r="H40" s="323" t="str">
        <f>IF($B40="","",_xll.RDP.Data($B40,"TR.AssetTurnover"))</f>
        <v>Please sign in</v>
      </c>
      <c r="I40" s="331" t="str">
        <f>IF($B40="","",_xll.RDP.Data($B40,"TR.InventoryTurnover"))</f>
        <v>Please sign in</v>
      </c>
      <c r="J40" s="332" t="e" cm="1">
        <f t="array" ref="J40">IF($B40="","",_xll.RDP.Data($B40,"TR.Revenue")/_xll.RDP.Data($B40,"TR.TotalReceivablesNet"))</f>
        <v>#VALUE!</v>
      </c>
      <c r="K40" s="323" t="str">
        <f>IF($B40="","",_xll.RDP.Data($B40,"TR.TtlDebtToTtlEquityPct"))</f>
        <v>Please sign in</v>
      </c>
      <c r="L40" s="324" t="str">
        <f>IF($B40="","",_xll.RDP.Data($B40,"TR.LTDebtToTtlCapitalPct"))</f>
        <v>Please sign in</v>
      </c>
      <c r="M40" s="325" t="str">
        <f>IF($B40="","",_xll.RDP.Data($B40,"TR.QuickRatio"))</f>
        <v>Please sign in</v>
      </c>
      <c r="N40" s="326" t="str">
        <f>IF($B40="","",_xll.RDP.Data($B40,"TR.CurrentRatio"))</f>
        <v>Please sign in</v>
      </c>
      <c r="O40" s="327" t="e" cm="1">
        <f t="array" ref="O40">IF($B40="","",_xll.RDP.Data($B40,"TR.EBITDA")/_xll.RDP.Data($B40,"TR.InterestExpense"))</f>
        <v>#VALUE!</v>
      </c>
      <c r="P40" s="116"/>
      <c r="Q40" s="116"/>
      <c r="R40" s="116"/>
    </row>
    <row r="41" spans="1:18" x14ac:dyDescent="0.3">
      <c r="A41" s="236" t="str">
        <f>A8</f>
        <v>Please sign in</v>
      </c>
      <c r="B41" s="283" t="str">
        <f>IF(B17="","",B26)</f>
        <v>NOC</v>
      </c>
      <c r="C41" s="328" t="e" cm="1">
        <f t="array" ref="C41">IF($B41="","",_xll.RDP.Data($B41,"TR.GrossMargin")/100)</f>
        <v>#VALUE!</v>
      </c>
      <c r="D41" s="329" t="e" cm="1">
        <f t="array" ref="D41">IF($B41="","",_xll.RDP.Data($B41,"TR.OperatingMarginPercent")/100)</f>
        <v>#VALUE!</v>
      </c>
      <c r="E41" s="329" t="e" cm="1">
        <f t="array" ref="E41">IF($B41="","",_xll.RDP.Data($B41,"TR.NetProfitMargin")/100)</f>
        <v>#VALUE!</v>
      </c>
      <c r="F41" s="329" t="e" cm="1">
        <f t="array" ref="F41">IF($B41="","",_xll.RDP.Data($B41,"TR.ROAActValue")/100)</f>
        <v>#VALUE!</v>
      </c>
      <c r="G41" s="330" t="e" cm="1">
        <f t="array" ref="G41">IF($B41="","",_xll.RDP.Data($B41,"TR.ROEActValue")/100)</f>
        <v>#VALUE!</v>
      </c>
      <c r="H41" s="323" t="str">
        <f>IF($B41="","",_xll.RDP.Data($B41,"TR.AssetTurnover"))</f>
        <v>Please sign in</v>
      </c>
      <c r="I41" s="331" t="str">
        <f>IF($B41="","",_xll.RDP.Data($B41,"TR.InventoryTurnover"))</f>
        <v>Please sign in</v>
      </c>
      <c r="J41" s="332" t="e" cm="1">
        <f t="array" ref="J41">IF($B41="","",_xll.RDP.Data($B41,"TR.Revenue")/_xll.RDP.Data($B41,"TR.TotalReceivablesNet"))</f>
        <v>#VALUE!</v>
      </c>
      <c r="K41" s="323" t="str">
        <f>IF($B41="","",_xll.RDP.Data($B41,"TR.TtlDebtToTtlEquityPct"))</f>
        <v>Please sign in</v>
      </c>
      <c r="L41" s="324" t="str">
        <f>IF($B41="","",_xll.RDP.Data($B41,"TR.LTDebtToTtlCapitalPct"))</f>
        <v>Please sign in</v>
      </c>
      <c r="M41" s="325" t="str">
        <f>IF($B41="","",_xll.RDP.Data($B41,"TR.QuickRatio"))</f>
        <v>Please sign in</v>
      </c>
      <c r="N41" s="326" t="str">
        <f>IF($B41="","",_xll.RDP.Data($B41,"TR.CurrentRatio"))</f>
        <v>Please sign in</v>
      </c>
      <c r="O41" s="327" t="e" cm="1">
        <f t="array" ref="O41">IF($B41="","",_xll.RDP.Data($B41,"TR.EBITDA")/_xll.RDP.Data($B41,"TR.InterestExpense"))</f>
        <v>#VALUE!</v>
      </c>
      <c r="P41" s="116"/>
      <c r="Q41" s="116"/>
      <c r="R41" s="116"/>
    </row>
    <row r="42" spans="1:18" x14ac:dyDescent="0.3">
      <c r="A42" s="236" t="str">
        <f>A9</f>
        <v>Please sign in</v>
      </c>
      <c r="B42" s="283" t="str">
        <f>IF(B18="","",B27)</f>
        <v>LHX</v>
      </c>
      <c r="C42" s="328" t="e" cm="1">
        <f t="array" ref="C42">IF($B42="","",_xll.RDP.Data($B42,"TR.GrossMargin")/100)</f>
        <v>#VALUE!</v>
      </c>
      <c r="D42" s="329" t="e" cm="1">
        <f t="array" ref="D42">IF($B42="","",_xll.RDP.Data($B42,"TR.OperatingMarginPercent")/100)</f>
        <v>#VALUE!</v>
      </c>
      <c r="E42" s="329" t="e" cm="1">
        <f t="array" ref="E42">IF($B42="","",_xll.RDP.Data($B42,"TR.NetProfitMargin")/100)</f>
        <v>#VALUE!</v>
      </c>
      <c r="F42" s="329" t="e" cm="1">
        <f t="array" ref="F42">IF($B42="","",_xll.RDP.Data($B42,"TR.ROAActValue")/100)</f>
        <v>#VALUE!</v>
      </c>
      <c r="G42" s="330" t="e" cm="1">
        <f t="array" ref="G42">IF($B42="","",_xll.RDP.Data($B42,"TR.ROEActValue")/100)</f>
        <v>#VALUE!</v>
      </c>
      <c r="H42" s="323" t="str">
        <f>IF($B42="","",_xll.RDP.Data($B42,"TR.AssetTurnover"))</f>
        <v>Please sign in</v>
      </c>
      <c r="I42" s="331" t="str">
        <f>IF($B42="","",_xll.RDP.Data($B42,"TR.InventoryTurnover"))</f>
        <v>Please sign in</v>
      </c>
      <c r="J42" s="332" t="e" cm="1">
        <f t="array" ref="J42">IF($B42="","",_xll.RDP.Data($B42,"TR.Revenue")/_xll.RDP.Data($B42,"TR.TotalReceivablesNet"))</f>
        <v>#VALUE!</v>
      </c>
      <c r="K42" s="323" t="str">
        <f>IF($B42="","",_xll.RDP.Data($B42,"TR.TtlDebtToTtlEquityPct"))</f>
        <v>Please sign in</v>
      </c>
      <c r="L42" s="324" t="str">
        <f>IF($B42="","",_xll.RDP.Data($B42,"TR.LTDebtToTtlCapitalPct"))</f>
        <v>Please sign in</v>
      </c>
      <c r="M42" s="325" t="str">
        <f>IF($B42="","",_xll.RDP.Data($B42,"TR.QuickRatio"))</f>
        <v>Please sign in</v>
      </c>
      <c r="N42" s="326" t="str">
        <f>IF($B42="","",_xll.RDP.Data($B42,"TR.CurrentRatio"))</f>
        <v>Please sign in</v>
      </c>
      <c r="O42" s="327" t="e" cm="1">
        <f t="array" ref="O42">IF($B42="","",_xll.RDP.Data($B42,"TR.EBITDA")/_xll.RDP.Data($B42,"TR.InterestExpense"))</f>
        <v>#VALUE!</v>
      </c>
      <c r="P42" s="116"/>
      <c r="Q42" s="116"/>
      <c r="R42" s="116"/>
    </row>
    <row r="43" spans="1:18" x14ac:dyDescent="0.3">
      <c r="A43" s="182" t="str">
        <f>A10</f>
        <v>Please sign in</v>
      </c>
      <c r="B43" s="192" t="str">
        <f>IF(B19="","",B28)</f>
        <v>GD</v>
      </c>
      <c r="C43" s="333" t="e" cm="1">
        <f t="array" ref="C43">IF($B43="","",_xll.RDP.Data($B43,"TR.GrossMargin")/100)</f>
        <v>#VALUE!</v>
      </c>
      <c r="D43" s="334" t="e" cm="1">
        <f t="array" ref="D43">IF($B43="","",_xll.RDP.Data($B43,"TR.OperatingMarginPercent")/100)</f>
        <v>#VALUE!</v>
      </c>
      <c r="E43" s="334" t="e" cm="1">
        <f t="array" ref="E43">IF($B43="","",_xll.RDP.Data($B43,"TR.NetProfitMargin")/100)</f>
        <v>#VALUE!</v>
      </c>
      <c r="F43" s="334" t="e" cm="1">
        <f t="array" ref="F43">IF($B43="","",_xll.RDP.Data($B43,"TR.ROAActValue")/100)</f>
        <v>#VALUE!</v>
      </c>
      <c r="G43" s="335" t="e" cm="1">
        <f t="array" ref="G43">IF($B43="","",_xll.RDP.Data($B43,"TR.ROEActValue")/100)</f>
        <v>#VALUE!</v>
      </c>
      <c r="H43" s="336" t="str">
        <f>IF($B43="","",_xll.RDP.Data($B43,"TR.AssetTurnover"))</f>
        <v>Please sign in</v>
      </c>
      <c r="I43" s="337" t="str">
        <f>IF($B43="","",_xll.RDP.Data($B43,"TR.InventoryTurnover"))</f>
        <v>Please sign in</v>
      </c>
      <c r="J43" s="338" t="e" cm="1">
        <f t="array" ref="J43">IF($B43="","",_xll.RDP.Data($B43,"TR.Revenue")/_xll.RDP.Data($B43,"TR.TotalReceivablesNet"))</f>
        <v>#VALUE!</v>
      </c>
      <c r="K43" s="336" t="str">
        <f>IF($B43="","",_xll.RDP.Data($B43,"TR.TtlDebtToTtlEquityPct"))</f>
        <v>Please sign in</v>
      </c>
      <c r="L43" s="339" t="str">
        <f>IF($B43="","",_xll.RDP.Data($B43,"TR.LTDebtToTtlCapitalPct"))</f>
        <v>Please sign in</v>
      </c>
      <c r="M43" s="340" t="str">
        <f>IF($B43="","",_xll.RDP.Data($B43,"TR.QuickRatio"))</f>
        <v>Please sign in</v>
      </c>
      <c r="N43" s="341" t="str">
        <f>IF($B43="","",_xll.RDP.Data($B43,"TR.CurrentRatio"))</f>
        <v>Please sign in</v>
      </c>
      <c r="O43" s="342" t="e" cm="1">
        <f t="array" ref="O43">IF($B43="","",_xll.RDP.Data($B43,"TR.EBITDA")/_xll.RDP.Data($B43,"TR.InterestExpense"))</f>
        <v>#VALUE!</v>
      </c>
      <c r="P43" s="116"/>
      <c r="Q43" s="116"/>
      <c r="R43" s="116"/>
    </row>
    <row r="44" spans="1:18" ht="15.6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</sheetData>
  <conditionalFormatting sqref="D33:P34">
    <cfRule type="cellIs" dxfId="3" priority="1" operator="lessThan">
      <formula>$C$28</formula>
    </cfRule>
    <cfRule type="cellIs" dxfId="2" priority="2" operator="greaterThan">
      <formula>$C$28</formula>
    </cfRule>
  </conditionalFormatting>
  <hyperlinks>
    <hyperlink ref="G10" tooltip="Thomson Reuters Click-Thru" xr:uid="{7F1DC40D-6F52-485D-87E4-515451AB9F01}"/>
    <hyperlink ref="H10" tooltip="Thomson Reuters Click-Thru" xr:uid="{5E63FBE4-A0F0-4C3D-9642-3380F38BDD76}"/>
    <hyperlink ref="J40" tooltip="Thomson Reuters Click-Thru" xr:uid="{D8BA744C-C031-45A5-A885-927BD7718C08}"/>
    <hyperlink ref="G7" tooltip="Thomson Reuters Click-Thru" xr:uid="{3AC7C20D-707E-4786-8C84-E4A9234BA47D}"/>
    <hyperlink ref="G8" tooltip="Thomson Reuters Click-Thru" xr:uid="{24440521-5D5D-4C0E-A100-54944F65D09C}"/>
    <hyperlink ref="G9" tooltip="Thomson Reuters Click-Thru" xr:uid="{ED7F37AF-B0AF-440B-9615-8C856AFA6F5E}"/>
    <hyperlink ref="H7:H8" tooltip="Thomson Reuters Click-Thru" xr:uid="{D862BFCB-B90A-4081-A909-1A9727ED488D}"/>
    <hyperlink ref="H6" tooltip="Thomson Reuters Click-Thru" xr:uid="{9217A671-7709-4D5E-8F65-2A294AD6D5D8}"/>
    <hyperlink ref="G6" tooltip="Thomson Reuters Click-Thru" xr:uid="{9C131F52-CC59-42CF-902C-179C2A86DBC4}"/>
    <hyperlink ref="J39" tooltip="Thomson Reuters Click-Thru" xr:uid="{4AD2B942-086A-4BEA-976E-D0C6997E837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4AF0-8672-405B-9606-DE7E686C08F5}">
  <dimension ref="A1:R44"/>
  <sheetViews>
    <sheetView tabSelected="1" zoomScale="90" workbookViewId="0">
      <selection activeCell="M7" sqref="M7"/>
    </sheetView>
  </sheetViews>
  <sheetFormatPr defaultRowHeight="14.4" x14ac:dyDescent="0.3"/>
  <cols>
    <col min="1" max="1" width="20.5546875" customWidth="1"/>
    <col min="3" max="10" width="9" bestFit="1" customWidth="1"/>
    <col min="11" max="16" width="9.88671875" bestFit="1" customWidth="1"/>
    <col min="17" max="17" width="9" bestFit="1" customWidth="1"/>
  </cols>
  <sheetData>
    <row r="1" spans="1:18" x14ac:dyDescent="0.3">
      <c r="A1" s="116"/>
      <c r="B1" s="222"/>
      <c r="C1" s="116" t="s">
        <v>289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343" t="s">
        <v>290</v>
      </c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116"/>
    </row>
    <row r="3" spans="1:18" x14ac:dyDescent="0.3">
      <c r="A3" s="345" t="s">
        <v>291</v>
      </c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116"/>
    </row>
    <row r="4" spans="1:18" x14ac:dyDescent="0.3">
      <c r="A4" s="226" t="s">
        <v>292</v>
      </c>
      <c r="B4" s="227"/>
      <c r="C4" s="228" t="s">
        <v>293</v>
      </c>
      <c r="D4" s="229" t="s">
        <v>294</v>
      </c>
      <c r="E4" s="229" t="s">
        <v>295</v>
      </c>
      <c r="F4" s="229" t="s">
        <v>296</v>
      </c>
      <c r="G4" s="229" t="s">
        <v>297</v>
      </c>
      <c r="H4" s="229"/>
      <c r="I4" s="229" t="s">
        <v>298</v>
      </c>
      <c r="J4" s="230" t="s">
        <v>268</v>
      </c>
      <c r="K4" s="230"/>
      <c r="L4" s="231" t="s">
        <v>299</v>
      </c>
      <c r="M4" s="116"/>
      <c r="N4" s="116"/>
      <c r="O4" s="116"/>
      <c r="P4" s="116"/>
      <c r="Q4" s="116"/>
      <c r="R4" s="116"/>
    </row>
    <row r="5" spans="1:18" x14ac:dyDescent="0.3">
      <c r="A5" s="232" t="s">
        <v>300</v>
      </c>
      <c r="B5" s="232" t="s">
        <v>301</v>
      </c>
      <c r="C5" s="233" t="s">
        <v>302</v>
      </c>
      <c r="D5" s="234" t="s">
        <v>303</v>
      </c>
      <c r="E5" s="234" t="s">
        <v>304</v>
      </c>
      <c r="F5" s="234" t="s">
        <v>305</v>
      </c>
      <c r="G5" s="234" t="s">
        <v>306</v>
      </c>
      <c r="H5" s="234" t="s">
        <v>307</v>
      </c>
      <c r="I5" s="234" t="s">
        <v>308</v>
      </c>
      <c r="J5" s="235" t="s">
        <v>308</v>
      </c>
      <c r="K5" s="235" t="s">
        <v>265</v>
      </c>
      <c r="L5" s="232" t="s">
        <v>309</v>
      </c>
      <c r="M5" s="116"/>
      <c r="N5" s="116"/>
      <c r="O5" s="116"/>
      <c r="P5" s="116"/>
      <c r="Q5" s="116"/>
      <c r="R5" s="116"/>
    </row>
    <row r="6" spans="1:18" x14ac:dyDescent="0.3">
      <c r="A6" s="236" t="s">
        <v>362</v>
      </c>
      <c r="B6" s="237" t="s">
        <v>358</v>
      </c>
      <c r="C6" s="238">
        <v>637.51</v>
      </c>
      <c r="D6" s="239">
        <v>692</v>
      </c>
      <c r="E6" s="240">
        <v>230.08024</v>
      </c>
      <c r="F6" s="241">
        <v>146678.45380240001</v>
      </c>
      <c r="G6" s="241">
        <v>21700</v>
      </c>
      <c r="H6" s="241">
        <v>4121</v>
      </c>
      <c r="I6" s="242">
        <v>164257.45380240001</v>
      </c>
      <c r="J6" s="241">
        <v>6721</v>
      </c>
      <c r="K6" s="243">
        <v>0.21173257687737901</v>
      </c>
      <c r="L6" s="244">
        <v>663.69110999999998</v>
      </c>
      <c r="M6" s="245"/>
      <c r="N6" s="116"/>
      <c r="O6" s="116"/>
      <c r="P6" s="116"/>
      <c r="Q6" s="116"/>
      <c r="R6" s="116"/>
    </row>
    <row r="7" spans="1:18" x14ac:dyDescent="0.3">
      <c r="A7" s="236" t="s">
        <v>363</v>
      </c>
      <c r="B7" s="237" t="s">
        <v>359</v>
      </c>
      <c r="C7" s="246">
        <v>200.73</v>
      </c>
      <c r="D7" s="162">
        <v>214.5</v>
      </c>
      <c r="E7" s="240">
        <v>1345.9742200000001</v>
      </c>
      <c r="F7" s="242">
        <v>270177.40518060001</v>
      </c>
      <c r="G7" s="242">
        <v>37904</v>
      </c>
      <c r="H7" s="242">
        <v>7435</v>
      </c>
      <c r="I7" s="242">
        <v>300646.40518060001</v>
      </c>
      <c r="J7" s="242">
        <v>65245</v>
      </c>
      <c r="K7" s="247">
        <v>0.40948775669446902</v>
      </c>
      <c r="L7" s="248">
        <v>208.60238000000001</v>
      </c>
      <c r="M7" s="245"/>
      <c r="N7" s="116"/>
      <c r="O7" s="116"/>
      <c r="P7" s="116"/>
      <c r="Q7" s="116"/>
      <c r="R7" s="116"/>
    </row>
    <row r="8" spans="1:18" x14ac:dyDescent="0.3">
      <c r="A8" s="236" t="s">
        <v>364</v>
      </c>
      <c r="B8" s="237" t="s">
        <v>360</v>
      </c>
      <c r="C8" s="246">
        <v>714.15</v>
      </c>
      <c r="D8" s="162">
        <v>774</v>
      </c>
      <c r="E8" s="240">
        <v>141.92162099999999</v>
      </c>
      <c r="F8" s="242">
        <v>101353.32563714999</v>
      </c>
      <c r="G8" s="242">
        <v>15696</v>
      </c>
      <c r="H8" s="242">
        <v>4403</v>
      </c>
      <c r="I8" s="242">
        <v>112646.32563714999</v>
      </c>
      <c r="J8" s="242">
        <v>16674</v>
      </c>
      <c r="K8" s="247">
        <v>2.0490809964698001E-2</v>
      </c>
      <c r="L8" s="248">
        <v>729.99420999999995</v>
      </c>
      <c r="M8" s="245"/>
      <c r="N8" s="116"/>
      <c r="O8" s="116"/>
      <c r="P8" s="116"/>
      <c r="Q8" s="116"/>
      <c r="R8" s="116"/>
    </row>
    <row r="9" spans="1:18" x14ac:dyDescent="0.3">
      <c r="A9" s="236" t="s">
        <v>365</v>
      </c>
      <c r="B9" s="249" t="s">
        <v>361</v>
      </c>
      <c r="C9" s="246">
        <v>363.7</v>
      </c>
      <c r="D9" s="162">
        <v>379.23</v>
      </c>
      <c r="E9" s="240">
        <v>186.776263</v>
      </c>
      <c r="F9" s="242">
        <v>67930.526853100004</v>
      </c>
      <c r="G9" s="242">
        <v>11116</v>
      </c>
      <c r="H9" s="242">
        <v>0</v>
      </c>
      <c r="I9" s="242">
        <v>79046.526853100004</v>
      </c>
      <c r="J9" s="242">
        <v>19635</v>
      </c>
      <c r="K9" s="247">
        <v>0.59925532984236596</v>
      </c>
      <c r="L9" s="248">
        <v>386.20875000000001</v>
      </c>
      <c r="M9" s="245"/>
      <c r="N9" s="116"/>
      <c r="O9" s="116"/>
      <c r="P9" s="116"/>
      <c r="Q9" s="116"/>
      <c r="R9" s="116"/>
    </row>
    <row r="10" spans="1:18" x14ac:dyDescent="0.3">
      <c r="A10" s="236" t="s">
        <v>366</v>
      </c>
      <c r="B10" s="250" t="s">
        <v>357</v>
      </c>
      <c r="C10" s="251">
        <v>349.63</v>
      </c>
      <c r="D10" s="252">
        <v>369.7</v>
      </c>
      <c r="E10" s="253">
        <v>270.38975900000003</v>
      </c>
      <c r="F10" s="254">
        <v>94536.371439170005</v>
      </c>
      <c r="G10" s="254">
        <v>8405</v>
      </c>
      <c r="H10" s="254">
        <v>2333</v>
      </c>
      <c r="I10" s="254">
        <v>100608.37143917001</v>
      </c>
      <c r="J10" s="254">
        <v>25622</v>
      </c>
      <c r="K10" s="180">
        <v>0.37863834870052099</v>
      </c>
      <c r="L10" s="255">
        <v>392.40947</v>
      </c>
      <c r="M10" s="245"/>
      <c r="N10" s="116"/>
      <c r="O10" s="116"/>
      <c r="P10" s="116"/>
      <c r="Q10" s="116"/>
      <c r="R10" s="116"/>
    </row>
    <row r="11" spans="1:18" x14ac:dyDescent="0.3">
      <c r="A11" s="116"/>
      <c r="B11" s="222"/>
      <c r="C11" s="116" t="s">
        <v>310</v>
      </c>
      <c r="D11" s="116" t="s">
        <v>310</v>
      </c>
      <c r="E11" s="116" t="s">
        <v>310</v>
      </c>
      <c r="F11" s="116" t="s">
        <v>310</v>
      </c>
      <c r="G11" s="116" t="s">
        <v>310</v>
      </c>
      <c r="H11" s="116" t="s">
        <v>310</v>
      </c>
      <c r="I11" s="116" t="s">
        <v>310</v>
      </c>
      <c r="J11" s="116" t="s">
        <v>310</v>
      </c>
      <c r="K11" s="116" t="s">
        <v>310</v>
      </c>
      <c r="L11" s="116" t="s">
        <v>310</v>
      </c>
      <c r="M11" s="116"/>
      <c r="N11" s="116"/>
      <c r="O11" s="116"/>
      <c r="P11" s="116"/>
      <c r="Q11" s="116"/>
      <c r="R11" s="116"/>
    </row>
    <row r="12" spans="1:18" x14ac:dyDescent="0.3">
      <c r="A12" s="224" t="s">
        <v>311</v>
      </c>
      <c r="B12" s="256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5"/>
      <c r="Q12" s="225"/>
      <c r="R12" s="116"/>
    </row>
    <row r="13" spans="1:18" x14ac:dyDescent="0.3">
      <c r="A13" s="226"/>
      <c r="B13" s="227"/>
      <c r="C13" s="257" t="s">
        <v>312</v>
      </c>
      <c r="D13" s="258"/>
      <c r="E13" s="258"/>
      <c r="F13" s="259"/>
      <c r="G13" s="257" t="s">
        <v>313</v>
      </c>
      <c r="H13" s="258"/>
      <c r="I13" s="258"/>
      <c r="J13" s="259"/>
      <c r="K13" s="258" t="s">
        <v>314</v>
      </c>
      <c r="L13" s="258"/>
      <c r="M13" s="259"/>
      <c r="N13" s="257" t="s">
        <v>315</v>
      </c>
      <c r="O13" s="258"/>
      <c r="P13" s="259"/>
      <c r="Q13" s="231" t="s">
        <v>316</v>
      </c>
      <c r="R13" s="116"/>
    </row>
    <row r="14" spans="1:18" x14ac:dyDescent="0.3">
      <c r="A14" s="232" t="s">
        <v>300</v>
      </c>
      <c r="B14" s="232" t="s">
        <v>301</v>
      </c>
      <c r="C14" s="260" t="s">
        <v>317</v>
      </c>
      <c r="D14" s="261" t="s">
        <v>318</v>
      </c>
      <c r="E14" s="261" t="s">
        <v>319</v>
      </c>
      <c r="F14" s="262" t="s">
        <v>320</v>
      </c>
      <c r="G14" s="260" t="s">
        <v>317</v>
      </c>
      <c r="H14" s="261" t="s">
        <v>318</v>
      </c>
      <c r="I14" s="261" t="s">
        <v>319</v>
      </c>
      <c r="J14" s="262" t="s">
        <v>320</v>
      </c>
      <c r="K14" s="260" t="s">
        <v>317</v>
      </c>
      <c r="L14" s="261" t="s">
        <v>318</v>
      </c>
      <c r="M14" s="262" t="s">
        <v>319</v>
      </c>
      <c r="N14" s="260" t="s">
        <v>317</v>
      </c>
      <c r="O14" s="261" t="s">
        <v>318</v>
      </c>
      <c r="P14" s="262" t="s">
        <v>319</v>
      </c>
      <c r="Q14" s="263" t="s">
        <v>321</v>
      </c>
      <c r="R14" s="116"/>
    </row>
    <row r="15" spans="1:18" x14ac:dyDescent="0.3">
      <c r="A15" s="236" t="s">
        <v>362</v>
      </c>
      <c r="B15" s="264" t="s">
        <v>358</v>
      </c>
      <c r="C15" s="265">
        <v>75048</v>
      </c>
      <c r="D15" s="265">
        <v>79124.195319999999</v>
      </c>
      <c r="E15" s="265">
        <v>82983.752479999996</v>
      </c>
      <c r="F15" s="266">
        <v>86526.352859999999</v>
      </c>
      <c r="G15" s="267">
        <v>21.57996</v>
      </c>
      <c r="H15" s="267">
        <v>29.912479999999999</v>
      </c>
      <c r="I15" s="267">
        <v>31.950769999999999</v>
      </c>
      <c r="J15" s="268">
        <v>33.897860000000001</v>
      </c>
      <c r="K15" s="267">
        <v>7634.8429999999998</v>
      </c>
      <c r="L15" s="267">
        <v>9595.1871800000008</v>
      </c>
      <c r="M15" s="268">
        <v>10021.279699999999</v>
      </c>
      <c r="N15" s="269">
        <v>9249.1690600000002</v>
      </c>
      <c r="O15" s="267">
        <v>11291.974260000001</v>
      </c>
      <c r="P15" s="267">
        <v>11741.16447</v>
      </c>
      <c r="Q15" s="270">
        <v>0.16260000000000002</v>
      </c>
      <c r="R15" s="116"/>
    </row>
    <row r="16" spans="1:18" x14ac:dyDescent="0.3">
      <c r="A16" s="236" t="s">
        <v>363</v>
      </c>
      <c r="B16" s="264" t="s">
        <v>359</v>
      </c>
      <c r="C16" s="265">
        <v>88603</v>
      </c>
      <c r="D16" s="265">
        <v>93351.339000000007</v>
      </c>
      <c r="E16" s="265">
        <v>99562.491850000006</v>
      </c>
      <c r="F16" s="271">
        <v>105811.32150000001</v>
      </c>
      <c r="G16" s="267">
        <v>6.20296</v>
      </c>
      <c r="H16" s="267">
        <v>6.8308099999999996</v>
      </c>
      <c r="I16" s="267">
        <v>7.5103</v>
      </c>
      <c r="J16" s="268">
        <v>8.2123600000000003</v>
      </c>
      <c r="K16" s="267">
        <v>11066.93447</v>
      </c>
      <c r="L16" s="267">
        <v>12062.317880000001</v>
      </c>
      <c r="M16" s="268">
        <v>13313.650250000001</v>
      </c>
      <c r="N16" s="269">
        <v>14385.987580000001</v>
      </c>
      <c r="O16" s="267">
        <v>15787.90992</v>
      </c>
      <c r="P16" s="267">
        <v>17174.389360000001</v>
      </c>
      <c r="Q16" s="270">
        <v>0.1013</v>
      </c>
      <c r="R16" s="116"/>
    </row>
    <row r="17" spans="1:18" x14ac:dyDescent="0.3">
      <c r="A17" s="236" t="s">
        <v>364</v>
      </c>
      <c r="B17" s="264" t="s">
        <v>360</v>
      </c>
      <c r="C17" s="265">
        <v>41954</v>
      </c>
      <c r="D17" s="265">
        <v>43865.941959999996</v>
      </c>
      <c r="E17" s="265">
        <v>46517.820520000001</v>
      </c>
      <c r="F17" s="271">
        <v>48975.006000000001</v>
      </c>
      <c r="G17" s="267">
        <v>26.064779999999999</v>
      </c>
      <c r="H17" s="267">
        <v>27.985679999999999</v>
      </c>
      <c r="I17" s="267">
        <v>29.938669999999998</v>
      </c>
      <c r="J17" s="268">
        <v>32.342140000000001</v>
      </c>
      <c r="K17" s="267">
        <v>4483.0079100000003</v>
      </c>
      <c r="L17" s="267">
        <v>4650.6919500000004</v>
      </c>
      <c r="M17" s="268">
        <v>5025.0594499999997</v>
      </c>
      <c r="N17" s="269">
        <v>5942.67</v>
      </c>
      <c r="O17" s="267">
        <v>6229.2800500000003</v>
      </c>
      <c r="P17" s="267">
        <v>6654.5710499999996</v>
      </c>
      <c r="Q17" s="270">
        <v>7.2000000000000008E-2</v>
      </c>
      <c r="R17" s="272" t="s">
        <v>322</v>
      </c>
    </row>
    <row r="18" spans="1:18" x14ac:dyDescent="0.3">
      <c r="A18" s="236" t="s">
        <v>365</v>
      </c>
      <c r="B18" s="264" t="s">
        <v>361</v>
      </c>
      <c r="C18" s="273">
        <v>21865</v>
      </c>
      <c r="D18" s="265">
        <v>23415.826209999999</v>
      </c>
      <c r="E18" s="265">
        <v>25159.732260000001</v>
      </c>
      <c r="F18" s="271">
        <v>27018.978930000001</v>
      </c>
      <c r="G18" s="269">
        <v>10.649889999999999</v>
      </c>
      <c r="H18" s="267">
        <v>11.596719999999999</v>
      </c>
      <c r="I18" s="267">
        <v>13.452389999999999</v>
      </c>
      <c r="J18" s="268">
        <v>15.48385</v>
      </c>
      <c r="K18" s="267">
        <v>3446.7564400000001</v>
      </c>
      <c r="L18" s="267">
        <v>3687.5607100000002</v>
      </c>
      <c r="M18" s="268">
        <v>4002.9720699999998</v>
      </c>
      <c r="N18" s="269">
        <v>3880.1632500000001</v>
      </c>
      <c r="O18" s="267">
        <v>4375.2343099999998</v>
      </c>
      <c r="P18" s="267">
        <v>4705.4173099999998</v>
      </c>
      <c r="Q18" s="270">
        <v>0.14300000000000002</v>
      </c>
      <c r="R18" s="272" t="s">
        <v>322</v>
      </c>
    </row>
    <row r="19" spans="1:18" x14ac:dyDescent="0.3">
      <c r="A19" s="182" t="s">
        <v>366</v>
      </c>
      <c r="B19" s="274" t="s">
        <v>357</v>
      </c>
      <c r="C19" s="274">
        <v>52550</v>
      </c>
      <c r="D19" s="275">
        <v>54686.560239999999</v>
      </c>
      <c r="E19" s="275">
        <v>57124.893799999998</v>
      </c>
      <c r="F19" s="276">
        <v>59502.513939999997</v>
      </c>
      <c r="G19" s="277">
        <v>15.391819999999999</v>
      </c>
      <c r="H19" s="278">
        <v>16.309809999999999</v>
      </c>
      <c r="I19" s="278">
        <v>18.015350000000002</v>
      </c>
      <c r="J19" s="279">
        <v>19.519500000000001</v>
      </c>
      <c r="K19" s="278">
        <v>5339.4160000000002</v>
      </c>
      <c r="L19" s="278">
        <v>5674.4094800000003</v>
      </c>
      <c r="M19" s="279">
        <v>6190.1249500000004</v>
      </c>
      <c r="N19" s="277">
        <v>6267.7471599999999</v>
      </c>
      <c r="O19" s="278">
        <v>6656.0716700000003</v>
      </c>
      <c r="P19" s="279">
        <v>7224.9027800000003</v>
      </c>
      <c r="Q19" s="280">
        <v>0.105</v>
      </c>
      <c r="R19" s="116"/>
    </row>
    <row r="20" spans="1:18" x14ac:dyDescent="0.3">
      <c r="A20" s="116"/>
      <c r="B20" s="222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</row>
    <row r="21" spans="1:18" x14ac:dyDescent="0.3">
      <c r="A21" s="224" t="s">
        <v>323</v>
      </c>
      <c r="B21" s="256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5"/>
      <c r="Q21" s="225"/>
      <c r="R21" s="116"/>
    </row>
    <row r="22" spans="1:18" x14ac:dyDescent="0.3">
      <c r="A22" s="226"/>
      <c r="B22" s="231"/>
      <c r="C22" s="231" t="s">
        <v>293</v>
      </c>
      <c r="D22" s="231" t="s">
        <v>324</v>
      </c>
      <c r="E22" s="257" t="s">
        <v>325</v>
      </c>
      <c r="F22" s="281"/>
      <c r="G22" s="282"/>
      <c r="H22" s="257" t="s">
        <v>326</v>
      </c>
      <c r="I22" s="281"/>
      <c r="J22" s="282"/>
      <c r="K22" s="257" t="s">
        <v>327</v>
      </c>
      <c r="L22" s="281"/>
      <c r="M22" s="282"/>
      <c r="N22" s="257" t="s">
        <v>328</v>
      </c>
      <c r="O22" s="281"/>
      <c r="P22" s="282"/>
      <c r="Q22" s="116"/>
      <c r="R22" s="116"/>
    </row>
    <row r="23" spans="1:18" x14ac:dyDescent="0.3">
      <c r="A23" s="232" t="s">
        <v>300</v>
      </c>
      <c r="B23" s="232" t="s">
        <v>301</v>
      </c>
      <c r="C23" s="232" t="s">
        <v>302</v>
      </c>
      <c r="D23" s="232" t="s">
        <v>268</v>
      </c>
      <c r="E23" s="260" t="s">
        <v>318</v>
      </c>
      <c r="F23" s="261" t="s">
        <v>319</v>
      </c>
      <c r="G23" s="262" t="s">
        <v>320</v>
      </c>
      <c r="H23" s="260" t="s">
        <v>318</v>
      </c>
      <c r="I23" s="261" t="s">
        <v>319</v>
      </c>
      <c r="J23" s="262" t="s">
        <v>320</v>
      </c>
      <c r="K23" s="260" t="s">
        <v>318</v>
      </c>
      <c r="L23" s="261" t="s">
        <v>319</v>
      </c>
      <c r="M23" s="262" t="s">
        <v>320</v>
      </c>
      <c r="N23" s="260" t="s">
        <v>317</v>
      </c>
      <c r="O23" s="261" t="s">
        <v>318</v>
      </c>
      <c r="P23" s="262" t="s">
        <v>319</v>
      </c>
      <c r="Q23" s="116"/>
      <c r="R23" s="116"/>
    </row>
    <row r="24" spans="1:18" x14ac:dyDescent="0.3">
      <c r="A24" s="236" t="s">
        <v>362</v>
      </c>
      <c r="B24" s="283" t="s">
        <v>358</v>
      </c>
      <c r="C24" s="284">
        <v>637.51</v>
      </c>
      <c r="D24" s="285">
        <v>21.823903258800776</v>
      </c>
      <c r="E24" s="285">
        <v>1.8537749825978262</v>
      </c>
      <c r="F24" s="286">
        <v>1.7675562916698802</v>
      </c>
      <c r="G24" s="287">
        <v>1.6951882167011749</v>
      </c>
      <c r="H24" s="288">
        <v>21.312509026332823</v>
      </c>
      <c r="I24" s="289">
        <v>19.952883764616629</v>
      </c>
      <c r="J24" s="290">
        <v>18.806791933178083</v>
      </c>
      <c r="K24" s="288">
        <v>1.3107324124435928</v>
      </c>
      <c r="L24" s="289">
        <v>1.2271146226701493</v>
      </c>
      <c r="M24" s="290">
        <v>1.1566292701831538</v>
      </c>
      <c r="N24" s="289">
        <v>17.759157902385667</v>
      </c>
      <c r="O24" s="289">
        <v>14.54638932221583</v>
      </c>
      <c r="P24" s="290">
        <v>13.989877598776198</v>
      </c>
      <c r="Q24" s="116"/>
      <c r="R24" s="116"/>
    </row>
    <row r="25" spans="1:18" x14ac:dyDescent="0.3">
      <c r="A25" s="236" t="s">
        <v>363</v>
      </c>
      <c r="B25" s="283" t="s">
        <v>359</v>
      </c>
      <c r="C25" s="284">
        <v>200.73</v>
      </c>
      <c r="D25" s="285">
        <v>4.1409672033197946</v>
      </c>
      <c r="E25" s="285">
        <v>2.8941995698701226</v>
      </c>
      <c r="F25" s="286">
        <v>2.7136464763020092</v>
      </c>
      <c r="G25" s="287">
        <v>2.5533884403910405</v>
      </c>
      <c r="H25" s="288">
        <v>29.385973259393836</v>
      </c>
      <c r="I25" s="289">
        <v>26.727294515532002</v>
      </c>
      <c r="J25" s="290">
        <v>24.442425806954393</v>
      </c>
      <c r="K25" s="288">
        <v>2.9008858104041297</v>
      </c>
      <c r="L25" s="288">
        <v>2.6384298633299115</v>
      </c>
      <c r="M25" s="288">
        <v>2.412875203055715</v>
      </c>
      <c r="N25" s="289">
        <v>20.898558650125011</v>
      </c>
      <c r="O25" s="289">
        <v>19.042824965687416</v>
      </c>
      <c r="P25" s="290">
        <v>17.505507699785838</v>
      </c>
      <c r="Q25" s="116"/>
      <c r="R25" s="116"/>
    </row>
    <row r="26" spans="1:18" x14ac:dyDescent="0.3">
      <c r="A26" s="236" t="s">
        <v>364</v>
      </c>
      <c r="B26" s="283" t="s">
        <v>360</v>
      </c>
      <c r="C26" s="284">
        <v>714.15</v>
      </c>
      <c r="D26" s="285">
        <v>6.0785249872346157</v>
      </c>
      <c r="E26" s="285">
        <v>2.3105243181503083</v>
      </c>
      <c r="F26" s="286">
        <v>2.1788064123419941</v>
      </c>
      <c r="G26" s="287">
        <v>2.0694908263441558</v>
      </c>
      <c r="H26" s="288">
        <v>25.518407985798451</v>
      </c>
      <c r="I26" s="289">
        <v>23.853765047011105</v>
      </c>
      <c r="J26" s="290">
        <v>22.08109914804648</v>
      </c>
      <c r="K26" s="288">
        <v>3.5442233313608953</v>
      </c>
      <c r="L26" s="288">
        <v>3.313022923195986</v>
      </c>
      <c r="M26" s="288">
        <v>3.066819326117566</v>
      </c>
      <c r="N26" s="289">
        <v>18.955507480164638</v>
      </c>
      <c r="O26" s="289">
        <v>18.083361918710008</v>
      </c>
      <c r="P26" s="290">
        <v>16.927661421114436</v>
      </c>
      <c r="Q26" s="116"/>
      <c r="R26" s="116"/>
    </row>
    <row r="27" spans="1:18" x14ac:dyDescent="0.3">
      <c r="A27" s="236" t="s">
        <v>365</v>
      </c>
      <c r="B27" s="283" t="s">
        <v>361</v>
      </c>
      <c r="C27" s="284">
        <v>363.7</v>
      </c>
      <c r="D27" s="285">
        <v>3.4596652331601732</v>
      </c>
      <c r="E27" s="285">
        <v>2.9010518887473418</v>
      </c>
      <c r="F27" s="286">
        <v>2.6999701805690042</v>
      </c>
      <c r="G27" s="287">
        <v>2.5141781645077139</v>
      </c>
      <c r="H27" s="288">
        <v>31.362316241144047</v>
      </c>
      <c r="I27" s="289">
        <v>27.036088011126648</v>
      </c>
      <c r="J27" s="290">
        <v>23.488990141340814</v>
      </c>
      <c r="K27" s="288">
        <v>2.1931689679121709</v>
      </c>
      <c r="L27" s="288">
        <v>1.8906355252536116</v>
      </c>
      <c r="M27" s="288">
        <v>1.6425867231706861</v>
      </c>
      <c r="N27" s="289">
        <v>20.37195905432587</v>
      </c>
      <c r="O27" s="289">
        <v>18.066809970024213</v>
      </c>
      <c r="P27" s="290">
        <v>16.799047065413205</v>
      </c>
      <c r="Q27" s="116"/>
      <c r="R27" s="116"/>
    </row>
    <row r="28" spans="1:18" x14ac:dyDescent="0.3">
      <c r="A28" s="182" t="s">
        <v>366</v>
      </c>
      <c r="B28" s="291" t="s">
        <v>357</v>
      </c>
      <c r="C28" s="291">
        <v>349.63</v>
      </c>
      <c r="D28" s="292">
        <v>3.689656211036219</v>
      </c>
      <c r="E28" s="292">
        <v>1.7286947839520945</v>
      </c>
      <c r="F28" s="293">
        <v>1.6549067341840731</v>
      </c>
      <c r="G28" s="294">
        <v>1.5887794511421278</v>
      </c>
      <c r="H28" s="295">
        <v>21.436791722282479</v>
      </c>
      <c r="I28" s="296">
        <v>19.407338741684175</v>
      </c>
      <c r="J28" s="297">
        <v>17.911831757985603</v>
      </c>
      <c r="K28" s="295">
        <v>2.0415992116459503</v>
      </c>
      <c r="L28" s="296">
        <v>1.8483179753984929</v>
      </c>
      <c r="M28" s="297">
        <v>1.705888738855772</v>
      </c>
      <c r="N28" s="295">
        <v>16.051759726563382</v>
      </c>
      <c r="O28" s="296">
        <v>15.115277663344331</v>
      </c>
      <c r="P28" s="297">
        <v>13.925221487778968</v>
      </c>
      <c r="Q28" s="116"/>
      <c r="R28" s="116"/>
    </row>
    <row r="29" spans="1:18" x14ac:dyDescent="0.3">
      <c r="A29" s="116"/>
      <c r="B29" s="222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</row>
    <row r="30" spans="1:18" x14ac:dyDescent="0.3">
      <c r="A30" s="116"/>
      <c r="B30" s="222"/>
      <c r="C30" s="223" t="s">
        <v>329</v>
      </c>
      <c r="D30" s="298">
        <v>8.8757651706288403</v>
      </c>
      <c r="E30" s="298">
        <v>2.4898876898413995</v>
      </c>
      <c r="F30" s="299">
        <v>2.3399948402207218</v>
      </c>
      <c r="G30" s="300">
        <v>2.2080614119860211</v>
      </c>
      <c r="H30" s="301">
        <v>26.894801628167286</v>
      </c>
      <c r="I30" s="302">
        <v>24.392507834571596</v>
      </c>
      <c r="J30" s="303">
        <v>22.204826757379941</v>
      </c>
      <c r="K30" s="301">
        <v>2.4274778719022443</v>
      </c>
      <c r="L30" s="301">
        <v>2.2700687729330675</v>
      </c>
      <c r="M30" s="301">
        <v>2.1117242981503601</v>
      </c>
      <c r="N30" s="301">
        <v>19.496295771750297</v>
      </c>
      <c r="O30" s="302">
        <v>17.434846544159367</v>
      </c>
      <c r="P30" s="303">
        <v>16.305523446272417</v>
      </c>
      <c r="Q30" s="116"/>
      <c r="R30" s="116"/>
    </row>
    <row r="31" spans="1:18" x14ac:dyDescent="0.3">
      <c r="A31" s="116"/>
      <c r="B31" s="222"/>
      <c r="C31" s="223" t="s">
        <v>330</v>
      </c>
      <c r="D31" s="304">
        <v>5.1097460952772051</v>
      </c>
      <c r="E31" s="304">
        <v>2.6023619440102155</v>
      </c>
      <c r="F31" s="305">
        <v>2.4393882964554994</v>
      </c>
      <c r="G31" s="306">
        <v>2.2918344954259346</v>
      </c>
      <c r="H31" s="307">
        <v>27.452190622596142</v>
      </c>
      <c r="I31" s="308">
        <v>25.290529781271552</v>
      </c>
      <c r="J31" s="309">
        <v>22.785044644693649</v>
      </c>
      <c r="K31" s="307">
        <v>2.4274778719022443</v>
      </c>
      <c r="L31" s="307">
        <v>2.270068772933068</v>
      </c>
      <c r="M31" s="307">
        <v>2.1117242981503601</v>
      </c>
      <c r="N31" s="307">
        <v>19.663733267245256</v>
      </c>
      <c r="O31" s="308">
        <v>18.07508594436711</v>
      </c>
      <c r="P31" s="309">
        <v>16.863354243263821</v>
      </c>
      <c r="Q31" s="116"/>
      <c r="R31" s="116"/>
    </row>
    <row r="32" spans="1:18" x14ac:dyDescent="0.3">
      <c r="A32" s="116"/>
      <c r="B32" s="222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</row>
    <row r="33" spans="1:18" x14ac:dyDescent="0.3">
      <c r="A33" s="116"/>
      <c r="B33" s="222"/>
      <c r="C33" s="223" t="s">
        <v>329</v>
      </c>
      <c r="D33" s="310">
        <v>841.06312325923602</v>
      </c>
      <c r="E33" s="310">
        <v>503.58191687779907</v>
      </c>
      <c r="F33" s="311">
        <v>494.36767588581887</v>
      </c>
      <c r="G33" s="312">
        <v>485.91043326857022</v>
      </c>
      <c r="H33" s="310">
        <v>438.64910454309904</v>
      </c>
      <c r="I33" s="311">
        <v>439.43956601754945</v>
      </c>
      <c r="J33" s="312">
        <v>433.42711589067778</v>
      </c>
      <c r="K33" s="310">
        <v>415.71288013426431</v>
      </c>
      <c r="L33" s="311">
        <v>429.40887641882728</v>
      </c>
      <c r="M33" s="312">
        <v>432.8079255963325</v>
      </c>
      <c r="N33" s="310">
        <v>429.47577927279383</v>
      </c>
      <c r="O33" s="311">
        <v>406.72985752162509</v>
      </c>
      <c r="P33" s="312">
        <v>413.23244670789757</v>
      </c>
      <c r="Q33" s="116"/>
      <c r="R33" s="116"/>
    </row>
    <row r="34" spans="1:18" x14ac:dyDescent="0.3">
      <c r="A34" s="116"/>
      <c r="B34" s="222"/>
      <c r="C34" s="223" t="s">
        <v>330</v>
      </c>
      <c r="D34" s="313">
        <v>484.1970159572225</v>
      </c>
      <c r="E34" s="313">
        <v>526.32993107330719</v>
      </c>
      <c r="F34" s="314">
        <v>515.3664025122464</v>
      </c>
      <c r="G34" s="315">
        <v>504.34570642246302</v>
      </c>
      <c r="H34" s="313">
        <v>447.74001313832474</v>
      </c>
      <c r="I34" s="314">
        <v>455.61774569503046</v>
      </c>
      <c r="J34" s="315">
        <v>444.7526789420977</v>
      </c>
      <c r="K34" s="313">
        <v>415.71288013426431</v>
      </c>
      <c r="L34" s="314">
        <v>429.40887641882739</v>
      </c>
      <c r="M34" s="315">
        <v>432.8079255963325</v>
      </c>
      <c r="N34" s="313">
        <v>433.3570501121456</v>
      </c>
      <c r="O34" s="314">
        <v>422.49036320608985</v>
      </c>
      <c r="P34" s="315">
        <v>428.13786801844657</v>
      </c>
      <c r="Q34" s="116"/>
      <c r="R34" s="116"/>
    </row>
    <row r="35" spans="1:18" x14ac:dyDescent="0.3">
      <c r="A35" s="116"/>
      <c r="B35" s="222"/>
      <c r="C35" s="116"/>
      <c r="D35" s="316" t="s">
        <v>331</v>
      </c>
      <c r="E35" s="317"/>
      <c r="F35" s="317"/>
      <c r="G35" s="317"/>
      <c r="H35" s="316" t="s">
        <v>332</v>
      </c>
      <c r="I35" s="316" t="s">
        <v>333</v>
      </c>
      <c r="J35" s="316" t="s">
        <v>334</v>
      </c>
      <c r="K35" s="316" t="s">
        <v>335</v>
      </c>
      <c r="L35" s="316" t="s">
        <v>336</v>
      </c>
      <c r="M35" s="316" t="s">
        <v>337</v>
      </c>
      <c r="N35" s="316" t="s">
        <v>338</v>
      </c>
      <c r="O35" s="316" t="s">
        <v>339</v>
      </c>
      <c r="P35" s="116"/>
      <c r="Q35" s="116"/>
      <c r="R35" s="116"/>
    </row>
    <row r="36" spans="1:18" x14ac:dyDescent="0.3">
      <c r="A36" s="224" t="s">
        <v>340</v>
      </c>
      <c r="B36" s="256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5"/>
      <c r="Q36" s="225"/>
      <c r="R36" s="116"/>
    </row>
    <row r="37" spans="1:18" x14ac:dyDescent="0.3">
      <c r="A37" s="226"/>
      <c r="B37" s="231"/>
      <c r="C37" s="228" t="s">
        <v>341</v>
      </c>
      <c r="D37" s="229" t="s">
        <v>342</v>
      </c>
      <c r="E37" s="229" t="s">
        <v>219</v>
      </c>
      <c r="F37" s="229"/>
      <c r="G37" s="230"/>
      <c r="H37" s="228" t="s">
        <v>343</v>
      </c>
      <c r="I37" s="229" t="s">
        <v>344</v>
      </c>
      <c r="J37" s="229" t="s">
        <v>345</v>
      </c>
      <c r="K37" s="228"/>
      <c r="L37" s="230"/>
      <c r="M37" s="228" t="s">
        <v>346</v>
      </c>
      <c r="N37" s="230" t="s">
        <v>347</v>
      </c>
      <c r="O37" s="230" t="s">
        <v>348</v>
      </c>
      <c r="P37" s="116"/>
      <c r="Q37" s="116"/>
      <c r="R37" s="116"/>
    </row>
    <row r="38" spans="1:18" x14ac:dyDescent="0.3">
      <c r="A38" s="232" t="s">
        <v>300</v>
      </c>
      <c r="B38" s="232" t="s">
        <v>301</v>
      </c>
      <c r="C38" s="233" t="s">
        <v>349</v>
      </c>
      <c r="D38" s="234" t="s">
        <v>349</v>
      </c>
      <c r="E38" s="234" t="s">
        <v>349</v>
      </c>
      <c r="F38" s="234" t="s">
        <v>350</v>
      </c>
      <c r="G38" s="235" t="s">
        <v>351</v>
      </c>
      <c r="H38" s="233" t="s">
        <v>352</v>
      </c>
      <c r="I38" s="234" t="s">
        <v>352</v>
      </c>
      <c r="J38" s="234" t="s">
        <v>352</v>
      </c>
      <c r="K38" s="233" t="s">
        <v>353</v>
      </c>
      <c r="L38" s="235" t="s">
        <v>354</v>
      </c>
      <c r="M38" s="233" t="s">
        <v>355</v>
      </c>
      <c r="N38" s="235" t="s">
        <v>355</v>
      </c>
      <c r="O38" s="235" t="s">
        <v>356</v>
      </c>
      <c r="P38" s="162"/>
      <c r="Q38" s="116"/>
      <c r="R38" s="116"/>
    </row>
    <row r="39" spans="1:18" x14ac:dyDescent="0.3">
      <c r="A39" s="236" t="s">
        <v>362</v>
      </c>
      <c r="B39" s="283" t="s">
        <v>358</v>
      </c>
      <c r="C39" s="318">
        <v>0.10240109999999999</v>
      </c>
      <c r="D39" s="319">
        <v>0.10301410000000001</v>
      </c>
      <c r="E39" s="319">
        <v>6.6850500000000007E-2</v>
      </c>
      <c r="F39" s="319">
        <v>9.3390000000000001E-2</v>
      </c>
      <c r="G39" s="319">
        <v>0.82640000000000002</v>
      </c>
      <c r="H39" s="320">
        <v>1.3000164563000001</v>
      </c>
      <c r="I39" s="321">
        <v>19.2520720206</v>
      </c>
      <c r="J39" s="322">
        <v>4.4401845935392261</v>
      </c>
      <c r="K39" s="323">
        <v>322.86862074099997</v>
      </c>
      <c r="L39" s="324">
        <v>72.242356004399994</v>
      </c>
      <c r="M39" s="325">
        <v>0.93584999999999996</v>
      </c>
      <c r="N39" s="326">
        <v>1.08687</v>
      </c>
      <c r="O39" s="327">
        <v>10.224508050089446</v>
      </c>
      <c r="P39" s="162"/>
      <c r="Q39" s="116"/>
      <c r="R39" s="116"/>
    </row>
    <row r="40" spans="1:18" x14ac:dyDescent="0.3">
      <c r="A40" s="236" t="s">
        <v>363</v>
      </c>
      <c r="B40" s="283" t="s">
        <v>359</v>
      </c>
      <c r="C40" s="328">
        <v>0.20077200000000001</v>
      </c>
      <c r="D40" s="329">
        <v>0.10496259999999999</v>
      </c>
      <c r="E40" s="329">
        <v>7.5979400000000002E-2</v>
      </c>
      <c r="F40" s="329">
        <v>5.1100000000000007E-2</v>
      </c>
      <c r="G40" s="330">
        <v>0.13608999999999999</v>
      </c>
      <c r="H40" s="323">
        <v>0.53065221299999998</v>
      </c>
      <c r="I40" s="331">
        <v>5.4197152916000002</v>
      </c>
      <c r="J40" s="332">
        <v>2.786871323876325</v>
      </c>
      <c r="K40" s="323">
        <v>58.0948731704</v>
      </c>
      <c r="L40" s="324">
        <v>32.642181222700003</v>
      </c>
      <c r="M40" s="325">
        <v>0.79898999999999998</v>
      </c>
      <c r="N40" s="326">
        <v>1.02633</v>
      </c>
      <c r="O40" s="327">
        <v>8.5465940054495917</v>
      </c>
      <c r="P40" s="116"/>
      <c r="Q40" s="116"/>
      <c r="R40" s="116"/>
    </row>
    <row r="41" spans="1:18" x14ac:dyDescent="0.3">
      <c r="A41" s="236" t="s">
        <v>364</v>
      </c>
      <c r="B41" s="283" t="s">
        <v>360</v>
      </c>
      <c r="C41" s="328">
        <v>0.19814560000000001</v>
      </c>
      <c r="D41" s="329">
        <v>0.10752250000000001</v>
      </c>
      <c r="E41" s="329">
        <v>9.9680599999999994E-2</v>
      </c>
      <c r="F41" s="329">
        <v>7.5190000000000007E-2</v>
      </c>
      <c r="G41" s="330">
        <v>0.23699000000000001</v>
      </c>
      <c r="H41" s="323">
        <v>0.83294949169999999</v>
      </c>
      <c r="I41" s="331">
        <v>24.342257597700002</v>
      </c>
      <c r="J41" s="332">
        <v>4.7443175392966186</v>
      </c>
      <c r="K41" s="323">
        <v>94.134580784500002</v>
      </c>
      <c r="L41" s="324">
        <v>46.839666357699997</v>
      </c>
      <c r="M41" s="325">
        <v>1.00692</v>
      </c>
      <c r="N41" s="326">
        <v>1.10121</v>
      </c>
      <c r="O41" s="327">
        <v>9.3669172932330831</v>
      </c>
      <c r="P41" s="116"/>
      <c r="Q41" s="116"/>
      <c r="R41" s="116"/>
    </row>
    <row r="42" spans="1:18" x14ac:dyDescent="0.3">
      <c r="A42" s="236" t="s">
        <v>365</v>
      </c>
      <c r="B42" s="283" t="s">
        <v>361</v>
      </c>
      <c r="C42" s="328">
        <v>0.2572605</v>
      </c>
      <c r="D42" s="329">
        <v>9.6501300000000012E-2</v>
      </c>
      <c r="E42" s="329">
        <v>7.3450699999999994E-2</v>
      </c>
      <c r="F42" s="329">
        <v>4.8600000000000004E-2</v>
      </c>
      <c r="G42" s="330">
        <v>0.10310000000000001</v>
      </c>
      <c r="H42" s="323">
        <v>0.52562623200000003</v>
      </c>
      <c r="I42" s="331">
        <v>12.7422518635</v>
      </c>
      <c r="J42" s="332">
        <v>4.3817635270541082</v>
      </c>
      <c r="K42" s="323">
        <v>56.6131907308</v>
      </c>
      <c r="L42" s="324">
        <v>33.959871223699999</v>
      </c>
      <c r="M42" s="325">
        <v>1.0204800000000001</v>
      </c>
      <c r="N42" s="326">
        <v>1.1891799999999999</v>
      </c>
      <c r="O42" s="327">
        <v>7.1155778894472359</v>
      </c>
      <c r="P42" s="116"/>
      <c r="Q42" s="116"/>
      <c r="R42" s="116"/>
    </row>
    <row r="43" spans="1:18" x14ac:dyDescent="0.3">
      <c r="A43" s="182" t="s">
        <v>366</v>
      </c>
      <c r="B43" s="192" t="s">
        <v>357</v>
      </c>
      <c r="C43" s="333">
        <v>0.15130350000000001</v>
      </c>
      <c r="D43" s="334">
        <v>0.101922</v>
      </c>
      <c r="E43" s="334">
        <v>8.0114199999999997E-2</v>
      </c>
      <c r="F43" s="334">
        <v>7.4400000000000008E-2</v>
      </c>
      <c r="G43" s="335">
        <v>0.17660000000000001</v>
      </c>
      <c r="H43" s="336">
        <v>0.9290279239</v>
      </c>
      <c r="I43" s="337">
        <v>4.7055285925000003</v>
      </c>
      <c r="J43" s="338">
        <v>4.8720563693676988</v>
      </c>
      <c r="K43" s="336">
        <v>32.803840449600003</v>
      </c>
      <c r="L43" s="339">
        <v>21.6298821524</v>
      </c>
      <c r="M43" s="340">
        <v>0.89402000000000004</v>
      </c>
      <c r="N43" s="341">
        <v>1.4436800000000001</v>
      </c>
      <c r="O43" s="342">
        <v>15.621890547263682</v>
      </c>
      <c r="P43" s="116"/>
      <c r="Q43" s="116"/>
      <c r="R43" s="116"/>
    </row>
    <row r="44" spans="1:18" ht="15.6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</sheetData>
  <conditionalFormatting sqref="D33:P34">
    <cfRule type="cellIs" dxfId="1" priority="1" operator="lessThan">
      <formula>$C$28</formula>
    </cfRule>
    <cfRule type="cellIs" dxfId="0" priority="2" operator="greaterThan">
      <formula>$C$28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3a1246-0cb1-4231-aa54-e583c82ab3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9AC42CCF6CD49BED1E9721BF95A04" ma:contentTypeVersion="10" ma:contentTypeDescription="Create a new document." ma:contentTypeScope="" ma:versionID="24922925328db1cd0dbe5fb272446f0e">
  <xsd:schema xmlns:xsd="http://www.w3.org/2001/XMLSchema" xmlns:xs="http://www.w3.org/2001/XMLSchema" xmlns:p="http://schemas.microsoft.com/office/2006/metadata/properties" xmlns:ns3="0c3a1246-0cb1-4231-aa54-e583c82ab35b" targetNamespace="http://schemas.microsoft.com/office/2006/metadata/properties" ma:root="true" ma:fieldsID="29819d30454c4a022fc0140fd60984c3" ns3:_="">
    <xsd:import namespace="0c3a1246-0cb1-4231-aa54-e583c82ab3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a1246-0cb1-4231-aa54-e583c82ab3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6B8ACB-948C-474B-9E25-068418F46D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A906D3-C9DC-4711-9FE3-E95C93BCCEAD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0c3a1246-0cb1-4231-aa54-e583c82ab35b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DDEE25C-ED25-4C7A-A9AB-93B0F99FC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a1246-0cb1-4231-aa54-e583c82ab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DCF</vt:lpstr>
      <vt:lpstr>Ke</vt:lpstr>
      <vt:lpstr>Revenue model</vt:lpstr>
      <vt:lpstr>Income statement</vt:lpstr>
      <vt:lpstr>Balance sheet</vt:lpstr>
      <vt:lpstr>Cash flow</vt:lpstr>
      <vt:lpstr>Equity</vt:lpstr>
      <vt:lpstr>Schedules</vt:lpstr>
      <vt:lpstr>Comps</vt:lpstr>
      <vt:lpstr>Comps no formuals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 Reddy Vemireddy</dc:creator>
  <cp:lastModifiedBy>Sravan Kumar Reddy Vemireddy</cp:lastModifiedBy>
  <dcterms:created xsi:type="dcterms:W3CDTF">2026-03-15T01:59:37Z</dcterms:created>
  <dcterms:modified xsi:type="dcterms:W3CDTF">2026-03-30T23:58:29Z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0x0101008AE9AC42CCF6CD49BED1E9721BF95A04</vt:lpwstr>
  </property>
</Properties>
</file>