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348b6f087e2cee/Desktop/Ecolab/"/>
    </mc:Choice>
  </mc:AlternateContent>
  <xr:revisionPtr revIDLastSave="1552" documentId="8_{14B37A69-0CBC-4169-BFDE-4E17E0D75A8D}" xr6:coauthVersionLast="47" xr6:coauthVersionMax="47" xr10:uidLastSave="{98A2DB91-4C42-4C38-BA89-62BC369BAC98}"/>
  <bookViews>
    <workbookView xWindow="-108" yWindow="-108" windowWidth="23256" windowHeight="13896" xr2:uid="{69A3EB17-4AE3-4B24-8BA6-58D73C110FF0}"/>
  </bookViews>
  <sheets>
    <sheet name="Cover" sheetId="11" r:id="rId1"/>
    <sheet name="DCF" sheetId="12" r:id="rId2"/>
    <sheet name="ZDFhZjliYjItMDQxYy00MW" sheetId="14" state="veryHidden" r:id="rId3"/>
    <sheet name="Ke" sheetId="10" r:id="rId4"/>
    <sheet name="Revenue" sheetId="1" r:id="rId5"/>
    <sheet name="change in segment " sheetId="16" r:id="rId6"/>
    <sheet name="Cost of sales" sheetId="5" state="hidden" r:id="rId7"/>
    <sheet name="COGS" sheetId="6" r:id="rId8"/>
    <sheet name="Temporary" sheetId="4" state="hidden" r:id="rId9"/>
    <sheet name="Income statement" sheetId="2" r:id="rId10"/>
    <sheet name="Cash flow  2" sheetId="15" state="hidden" r:id="rId11"/>
    <sheet name="Cash flow" sheetId="7" r:id="rId12"/>
    <sheet name="Balance sheet" sheetId="3" r:id="rId13"/>
    <sheet name="Schedules" sheetId="8" r:id="rId14"/>
    <sheet name="Comps" sheetId="9" r:id="rId15"/>
    <sheet name="Comps no formula" sheetId="13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8" l="1"/>
  <c r="E21" i="8"/>
  <c r="F21" i="8"/>
  <c r="G21" i="8" s="1"/>
  <c r="C21" i="8"/>
  <c r="I4" i="12" s="1"/>
  <c r="G90" i="3"/>
  <c r="H90" i="3"/>
  <c r="I90" i="3"/>
  <c r="J90" i="3"/>
  <c r="K90" i="3"/>
  <c r="F90" i="3"/>
  <c r="H29" i="3"/>
  <c r="I29" i="3"/>
  <c r="J29" i="3"/>
  <c r="K29" i="3"/>
  <c r="F80" i="3"/>
  <c r="E80" i="3"/>
  <c r="D80" i="3"/>
  <c r="C80" i="3"/>
  <c r="B80" i="3"/>
  <c r="K23" i="3"/>
  <c r="J23" i="3"/>
  <c r="I23" i="3"/>
  <c r="H23" i="3"/>
  <c r="F75" i="3"/>
  <c r="E75" i="3"/>
  <c r="D75" i="3"/>
  <c r="C75" i="3"/>
  <c r="B75" i="3"/>
  <c r="D7" i="6"/>
  <c r="H35" i="1"/>
  <c r="I35" i="1"/>
  <c r="J35" i="1"/>
  <c r="K35" i="1"/>
  <c r="G35" i="1"/>
  <c r="G30" i="1"/>
  <c r="B59" i="8"/>
  <c r="I3" i="12"/>
  <c r="B19" i="8"/>
  <c r="G19" i="8"/>
  <c r="F19" i="8"/>
  <c r="E19" i="8"/>
  <c r="D19" i="8"/>
  <c r="C19" i="8"/>
  <c r="D20" i="8"/>
  <c r="E20" i="8"/>
  <c r="F20" i="8"/>
  <c r="G20" i="8"/>
  <c r="C20" i="8"/>
  <c r="D18" i="10"/>
  <c r="H13" i="3"/>
  <c r="I13" i="3"/>
  <c r="J13" i="3"/>
  <c r="K13" i="3"/>
  <c r="G13" i="3"/>
  <c r="F75" i="8"/>
  <c r="G75" i="8"/>
  <c r="H75" i="8"/>
  <c r="I75" i="8"/>
  <c r="J75" i="8"/>
  <c r="F74" i="8"/>
  <c r="G74" i="8"/>
  <c r="H74" i="8"/>
  <c r="I74" i="8"/>
  <c r="J74" i="8"/>
  <c r="G73" i="8"/>
  <c r="H73" i="8"/>
  <c r="I73" i="8" s="1"/>
  <c r="J73" i="8" s="1"/>
  <c r="F73" i="8"/>
  <c r="F71" i="8"/>
  <c r="G71" i="8"/>
  <c r="H71" i="8"/>
  <c r="I71" i="8"/>
  <c r="J71" i="8"/>
  <c r="D66" i="8"/>
  <c r="E66" i="8"/>
  <c r="E68" i="8"/>
  <c r="D68" i="8"/>
  <c r="D70" i="8"/>
  <c r="E70" i="8"/>
  <c r="C70" i="8"/>
  <c r="C68" i="8"/>
  <c r="C66" i="8"/>
  <c r="D64" i="8"/>
  <c r="E64" i="8"/>
  <c r="C64" i="8"/>
  <c r="C71" i="8"/>
  <c r="C74" i="8" s="1"/>
  <c r="C75" i="8" s="1"/>
  <c r="D71" i="8"/>
  <c r="D74" i="8" s="1"/>
  <c r="D75" i="8" s="1"/>
  <c r="E71" i="8"/>
  <c r="E74" i="8" s="1"/>
  <c r="E75" i="8" s="1"/>
  <c r="B71" i="8"/>
  <c r="B74" i="8" s="1"/>
  <c r="B75" i="8" s="1"/>
  <c r="H40" i="16"/>
  <c r="E40" i="16"/>
  <c r="H21" i="16"/>
  <c r="G21" i="16"/>
  <c r="F21" i="16"/>
  <c r="G40" i="16"/>
  <c r="F40" i="16"/>
  <c r="C40" i="16"/>
  <c r="G5" i="8"/>
  <c r="G80" i="3" l="1"/>
  <c r="G28" i="3" s="1"/>
  <c r="F29" i="8"/>
  <c r="D50" i="6"/>
  <c r="C50" i="6"/>
  <c r="C68" i="1"/>
  <c r="C70" i="1" s="1"/>
  <c r="C66" i="1"/>
  <c r="C64" i="1"/>
  <c r="C62" i="1"/>
  <c r="C60" i="1"/>
  <c r="C58" i="1"/>
  <c r="C53" i="1"/>
  <c r="C104" i="1"/>
  <c r="C102" i="1"/>
  <c r="C100" i="1"/>
  <c r="C98" i="1"/>
  <c r="C96" i="1"/>
  <c r="C94" i="1"/>
  <c r="C92" i="1"/>
  <c r="B104" i="1"/>
  <c r="B102" i="1"/>
  <c r="B100" i="1"/>
  <c r="B98" i="1"/>
  <c r="B96" i="1"/>
  <c r="B94" i="1"/>
  <c r="B92" i="1"/>
  <c r="B29" i="1"/>
  <c r="B47" i="1"/>
  <c r="B45" i="1"/>
  <c r="B43" i="1"/>
  <c r="B41" i="1"/>
  <c r="B39" i="1"/>
  <c r="B34" i="1"/>
  <c r="I38" i="16"/>
  <c r="I36" i="16"/>
  <c r="I34" i="16"/>
  <c r="I32" i="16"/>
  <c r="I30" i="16"/>
  <c r="I28" i="16"/>
  <c r="I26" i="16"/>
  <c r="I19" i="16"/>
  <c r="I17" i="16"/>
  <c r="I15" i="16"/>
  <c r="I13" i="16"/>
  <c r="I11" i="16"/>
  <c r="I9" i="16"/>
  <c r="I7" i="16"/>
  <c r="D37" i="16"/>
  <c r="H38" i="16"/>
  <c r="H36" i="16"/>
  <c r="H34" i="16"/>
  <c r="H32" i="16"/>
  <c r="H30" i="16"/>
  <c r="H28" i="16"/>
  <c r="H26" i="16"/>
  <c r="E38" i="16"/>
  <c r="E36" i="16"/>
  <c r="E34" i="16"/>
  <c r="E32" i="16"/>
  <c r="E30" i="16"/>
  <c r="E28" i="16"/>
  <c r="E26" i="16"/>
  <c r="H19" i="16"/>
  <c r="H17" i="16"/>
  <c r="H15" i="16"/>
  <c r="H13" i="16"/>
  <c r="H11" i="16"/>
  <c r="H9" i="16"/>
  <c r="H7" i="16"/>
  <c r="E21" i="16"/>
  <c r="E19" i="16"/>
  <c r="E17" i="16"/>
  <c r="E15" i="16"/>
  <c r="E13" i="16"/>
  <c r="E11" i="16"/>
  <c r="E9" i="16"/>
  <c r="E7" i="16"/>
  <c r="G37" i="16"/>
  <c r="G35" i="16"/>
  <c r="G33" i="16"/>
  <c r="G31" i="16"/>
  <c r="G29" i="16"/>
  <c r="G27" i="16"/>
  <c r="G18" i="16"/>
  <c r="G16" i="16"/>
  <c r="G14" i="16"/>
  <c r="G12" i="16"/>
  <c r="G10" i="16"/>
  <c r="G8" i="16"/>
  <c r="D39" i="16"/>
  <c r="D35" i="16"/>
  <c r="D33" i="16"/>
  <c r="D31" i="16"/>
  <c r="D29" i="16"/>
  <c r="D27" i="16"/>
  <c r="D20" i="16"/>
  <c r="D18" i="16"/>
  <c r="D16" i="16"/>
  <c r="D14" i="16"/>
  <c r="D12" i="16"/>
  <c r="D10" i="16"/>
  <c r="D8" i="16"/>
  <c r="D40" i="16"/>
  <c r="D21" i="16"/>
  <c r="C21" i="16"/>
  <c r="C49" i="1"/>
  <c r="D49" i="1"/>
  <c r="E49" i="1"/>
  <c r="E6" i="1" s="1"/>
  <c r="F49" i="1"/>
  <c r="B70" i="1"/>
  <c r="D70" i="1"/>
  <c r="E70" i="1"/>
  <c r="F70" i="1"/>
  <c r="B88" i="1"/>
  <c r="C88" i="1"/>
  <c r="D88" i="1"/>
  <c r="E88" i="1"/>
  <c r="F88" i="1"/>
  <c r="G7" i="8"/>
  <c r="G54" i="1"/>
  <c r="F7" i="6"/>
  <c r="G7" i="6"/>
  <c r="H7" i="6"/>
  <c r="I7" i="6"/>
  <c r="F17" i="6"/>
  <c r="G17" i="6"/>
  <c r="H17" i="6"/>
  <c r="I17" i="6"/>
  <c r="E17" i="6"/>
  <c r="E7" i="6"/>
  <c r="H54" i="1"/>
  <c r="I54" i="1"/>
  <c r="J54" i="1"/>
  <c r="K54" i="1"/>
  <c r="H30" i="1"/>
  <c r="I30" i="1"/>
  <c r="J30" i="1"/>
  <c r="K30" i="1"/>
  <c r="H80" i="3" l="1"/>
  <c r="I5" i="12"/>
  <c r="B49" i="1"/>
  <c r="L19" i="10"/>
  <c r="C18" i="8"/>
  <c r="B37" i="15"/>
  <c r="C37" i="15"/>
  <c r="D37" i="15"/>
  <c r="E37" i="15"/>
  <c r="F37" i="15"/>
  <c r="B40" i="15"/>
  <c r="C40" i="15"/>
  <c r="D40" i="15"/>
  <c r="E40" i="15"/>
  <c r="F40" i="15"/>
  <c r="B27" i="15"/>
  <c r="C27" i="15"/>
  <c r="D27" i="15"/>
  <c r="E27" i="15"/>
  <c r="F27" i="15"/>
  <c r="B47" i="15"/>
  <c r="H28" i="3" l="1"/>
  <c r="I80" i="3"/>
  <c r="J80" i="3"/>
  <c r="J28" i="3" s="1"/>
  <c r="B7" i="6"/>
  <c r="E17" i="11"/>
  <c r="D10" i="10"/>
  <c r="D9" i="10"/>
  <c r="D40" i="10"/>
  <c r="D30" i="10"/>
  <c r="D36" i="10" s="1"/>
  <c r="E27" i="10"/>
  <c r="G48" i="12"/>
  <c r="H48" i="12" s="1"/>
  <c r="I48" i="12" s="1"/>
  <c r="E48" i="12"/>
  <c r="D48" i="12" s="1"/>
  <c r="C48" i="12" s="1"/>
  <c r="G38" i="12"/>
  <c r="F38" i="12"/>
  <c r="E38" i="12"/>
  <c r="D38" i="12"/>
  <c r="C38" i="12"/>
  <c r="G26" i="12"/>
  <c r="H26" i="12" s="1"/>
  <c r="I26" i="12" s="1"/>
  <c r="E26" i="12"/>
  <c r="D26" i="12" s="1"/>
  <c r="C26" i="12" s="1"/>
  <c r="B4" i="12"/>
  <c r="G3" i="12"/>
  <c r="G15" i="12" s="1"/>
  <c r="E11" i="11"/>
  <c r="K80" i="3" l="1"/>
  <c r="K28" i="3" s="1"/>
  <c r="I28" i="3"/>
  <c r="M19" i="10"/>
  <c r="L21" i="10"/>
  <c r="L20" i="10"/>
  <c r="G4" i="12"/>
  <c r="E39" i="12" s="1"/>
  <c r="C15" i="12"/>
  <c r="D15" i="12"/>
  <c r="E15" i="12"/>
  <c r="F15" i="12"/>
  <c r="M20" i="10" l="1"/>
  <c r="D24" i="10" s="1"/>
  <c r="M21" i="10"/>
  <c r="L22" i="10"/>
  <c r="L26" i="10"/>
  <c r="M26" i="10" s="1"/>
  <c r="G5" i="12"/>
  <c r="F39" i="12"/>
  <c r="G39" i="12"/>
  <c r="C39" i="12"/>
  <c r="D39" i="12"/>
  <c r="M22" i="10" l="1"/>
  <c r="D26" i="10" s="1"/>
  <c r="D25" i="10"/>
  <c r="B28" i="9"/>
  <c r="B27" i="9"/>
  <c r="B26" i="9"/>
  <c r="B25" i="9"/>
  <c r="B24" i="9"/>
  <c r="B19" i="9"/>
  <c r="B18" i="9"/>
  <c r="B42" i="9" s="1"/>
  <c r="B17" i="9"/>
  <c r="B41" i="9" s="1"/>
  <c r="B16" i="9"/>
  <c r="B40" i="9" s="1"/>
  <c r="B15" i="9"/>
  <c r="B39" i="9" s="1"/>
  <c r="F44" i="7"/>
  <c r="C40" i="7"/>
  <c r="D40" i="7"/>
  <c r="E40" i="7"/>
  <c r="B40" i="7"/>
  <c r="B32" i="7"/>
  <c r="C32" i="7"/>
  <c r="D32" i="7"/>
  <c r="E32" i="7"/>
  <c r="B34" i="7"/>
  <c r="C34" i="7"/>
  <c r="D34" i="7"/>
  <c r="E34" i="7"/>
  <c r="F34" i="7"/>
  <c r="G34" i="7"/>
  <c r="H34" i="7"/>
  <c r="I34" i="7"/>
  <c r="J34" i="7"/>
  <c r="B35" i="7"/>
  <c r="C35" i="7"/>
  <c r="D35" i="7"/>
  <c r="E35" i="7"/>
  <c r="B37" i="7"/>
  <c r="C37" i="7"/>
  <c r="D37" i="7"/>
  <c r="E37" i="7"/>
  <c r="F37" i="7"/>
  <c r="G37" i="7"/>
  <c r="H37" i="7"/>
  <c r="I37" i="7"/>
  <c r="J37" i="7"/>
  <c r="C31" i="7"/>
  <c r="D31" i="7"/>
  <c r="E31" i="7"/>
  <c r="B31" i="7"/>
  <c r="B19" i="7"/>
  <c r="C19" i="7"/>
  <c r="D19" i="7"/>
  <c r="E19" i="7"/>
  <c r="B20" i="7"/>
  <c r="C20" i="7"/>
  <c r="D20" i="7"/>
  <c r="E20" i="7"/>
  <c r="B21" i="7"/>
  <c r="C21" i="7"/>
  <c r="D21" i="7"/>
  <c r="E21" i="7"/>
  <c r="B22" i="7"/>
  <c r="C22" i="7"/>
  <c r="D22" i="7"/>
  <c r="E22" i="7"/>
  <c r="B24" i="7"/>
  <c r="C24" i="7"/>
  <c r="D24" i="7"/>
  <c r="E24" i="7"/>
  <c r="B25" i="7"/>
  <c r="C25" i="7"/>
  <c r="D25" i="7"/>
  <c r="E25" i="7"/>
  <c r="F25" i="7"/>
  <c r="G25" i="7"/>
  <c r="H25" i="7"/>
  <c r="I25" i="7"/>
  <c r="J25" i="7"/>
  <c r="B26" i="7"/>
  <c r="C26" i="7"/>
  <c r="D26" i="7"/>
  <c r="E26" i="7"/>
  <c r="B27" i="7"/>
  <c r="C27" i="7"/>
  <c r="D27" i="7"/>
  <c r="E27" i="7"/>
  <c r="B28" i="7"/>
  <c r="C28" i="7"/>
  <c r="D28" i="7"/>
  <c r="E28" i="7"/>
  <c r="C18" i="7"/>
  <c r="D18" i="7"/>
  <c r="E18" i="7"/>
  <c r="B18" i="7"/>
  <c r="B7" i="7"/>
  <c r="C7" i="7"/>
  <c r="D7" i="7"/>
  <c r="E7" i="7"/>
  <c r="B8" i="7"/>
  <c r="C8" i="7"/>
  <c r="D8" i="7"/>
  <c r="E8" i="7"/>
  <c r="B10" i="7"/>
  <c r="C10" i="7"/>
  <c r="D10" i="7"/>
  <c r="E10" i="7"/>
  <c r="B11" i="7"/>
  <c r="C11" i="7"/>
  <c r="D11" i="7"/>
  <c r="E11" i="7"/>
  <c r="B12" i="7"/>
  <c r="C12" i="7"/>
  <c r="D12" i="7"/>
  <c r="E12" i="7"/>
  <c r="B13" i="7"/>
  <c r="C13" i="7"/>
  <c r="D13" i="7"/>
  <c r="E13" i="7"/>
  <c r="B14" i="7"/>
  <c r="C14" i="7"/>
  <c r="D14" i="7"/>
  <c r="E14" i="7"/>
  <c r="C6" i="7"/>
  <c r="D6" i="7"/>
  <c r="E6" i="7"/>
  <c r="B6" i="7"/>
  <c r="G16" i="9"/>
  <c r="G8" i="9" a="1"/>
  <c r="L16" i="9" a="1"/>
  <c r="G6" i="9" a="1"/>
  <c r="I40" i="9"/>
  <c r="D40" i="9" a="1"/>
  <c r="G9" i="9" a="1"/>
  <c r="M41" i="9"/>
  <c r="E10" i="9"/>
  <c r="I16" i="9"/>
  <c r="J16" i="9"/>
  <c r="N16" i="9" a="1"/>
  <c r="J7" i="9" a="1"/>
  <c r="D6" i="9"/>
  <c r="H6" i="9"/>
  <c r="C16" i="9" a="1"/>
  <c r="N40" i="9"/>
  <c r="L10" i="9"/>
  <c r="P17" i="9" a="1"/>
  <c r="K7" i="9"/>
  <c r="Q18" i="9" a="1"/>
  <c r="D10" i="9"/>
  <c r="L9" i="9"/>
  <c r="D7" i="9"/>
  <c r="E40" i="9" a="1"/>
  <c r="C9" i="9"/>
  <c r="Q17" i="9" a="1"/>
  <c r="H8" i="9"/>
  <c r="K18" i="9" a="1"/>
  <c r="E9" i="9"/>
  <c r="I17" i="9"/>
  <c r="D16" i="9" a="1"/>
  <c r="K16" i="9" a="1"/>
  <c r="C6" i="9"/>
  <c r="L8" i="9"/>
  <c r="E7" i="9"/>
  <c r="J9" i="9" a="1"/>
  <c r="I18" i="9"/>
  <c r="A6" i="9" a="1"/>
  <c r="C41" i="9" a="1"/>
  <c r="F17" i="9" a="1"/>
  <c r="L6" i="9"/>
  <c r="L18" i="9" a="1"/>
  <c r="A8" i="9" a="1"/>
  <c r="J17" i="9"/>
  <c r="F41" i="9" a="1"/>
  <c r="D9" i="9"/>
  <c r="C8" i="9"/>
  <c r="E41" i="9" a="1"/>
  <c r="J10" i="9" a="1"/>
  <c r="K8" i="9"/>
  <c r="L7" i="9"/>
  <c r="G10" i="9" a="1"/>
  <c r="E8" i="9"/>
  <c r="G7" i="9" a="1"/>
  <c r="O40" i="9" a="1"/>
  <c r="K15" i="9" a="1"/>
  <c r="H16" i="9"/>
  <c r="J6" i="9" a="1"/>
  <c r="F16" i="9" a="1"/>
  <c r="J18" i="9"/>
  <c r="O16" i="9" a="1"/>
  <c r="N19" i="9" a="1"/>
  <c r="C7" i="9"/>
  <c r="P16" i="9" a="1"/>
  <c r="H17" i="9"/>
  <c r="D8" i="9"/>
  <c r="O17" i="9" a="1"/>
  <c r="G17" i="9"/>
  <c r="H40" i="9"/>
  <c r="J8" i="9" a="1"/>
  <c r="G40" i="9" a="1"/>
  <c r="H7" i="9"/>
  <c r="E17" i="9" a="1"/>
  <c r="D41" i="9" a="1"/>
  <c r="K40" i="9"/>
  <c r="H18" i="9"/>
  <c r="J40" i="9" a="1"/>
  <c r="K6" i="9"/>
  <c r="Q16" i="9" a="1"/>
  <c r="F40" i="9" a="1"/>
  <c r="H10" i="9"/>
  <c r="H9" i="9"/>
  <c r="M16" i="9" a="1"/>
  <c r="E6" i="9"/>
  <c r="A9" i="9" a="1"/>
  <c r="C10" i="9"/>
  <c r="A10" i="9" a="1"/>
  <c r="E16" i="9" a="1"/>
  <c r="G18" i="9"/>
  <c r="A7" i="9" a="1"/>
  <c r="E18" i="9" a="1"/>
  <c r="K10" i="9"/>
  <c r="K9" i="9"/>
  <c r="K15" i="9" l="1"/>
  <c r="K18" i="9"/>
  <c r="H26" i="9"/>
  <c r="L18" i="9"/>
  <c r="I26" i="9"/>
  <c r="O17" i="9"/>
  <c r="G6" i="9"/>
  <c r="M16" i="9"/>
  <c r="N16" i="9"/>
  <c r="J9" i="9"/>
  <c r="Q17" i="9"/>
  <c r="O16" i="9"/>
  <c r="L16" i="9"/>
  <c r="F40" i="9"/>
  <c r="D16" i="9"/>
  <c r="J8" i="9"/>
  <c r="Q18" i="9"/>
  <c r="F16" i="9"/>
  <c r="C41" i="9"/>
  <c r="P17" i="9"/>
  <c r="A9" i="9"/>
  <c r="E41" i="9"/>
  <c r="G7" i="9"/>
  <c r="F41" i="9"/>
  <c r="E18" i="9"/>
  <c r="A10" i="9"/>
  <c r="E40" i="9"/>
  <c r="E17" i="9"/>
  <c r="J7" i="9"/>
  <c r="F10" i="9"/>
  <c r="C28" i="9"/>
  <c r="C16" i="9"/>
  <c r="I27" i="9"/>
  <c r="N19" i="9"/>
  <c r="E16" i="9"/>
  <c r="J40" i="9"/>
  <c r="D41" i="9"/>
  <c r="J6" i="9"/>
  <c r="P16" i="9"/>
  <c r="H27" i="9"/>
  <c r="F17" i="9"/>
  <c r="J27" i="9"/>
  <c r="G40" i="9"/>
  <c r="J26" i="9"/>
  <c r="A8" i="9"/>
  <c r="F9" i="9"/>
  <c r="C27" i="9"/>
  <c r="Q16" i="9"/>
  <c r="H25" i="9"/>
  <c r="A7" i="9"/>
  <c r="F8" i="9"/>
  <c r="C26" i="9"/>
  <c r="G10" i="9"/>
  <c r="I25" i="9"/>
  <c r="J25" i="9"/>
  <c r="A6" i="9"/>
  <c r="G9" i="9"/>
  <c r="K16" i="9"/>
  <c r="O40" i="9"/>
  <c r="F6" i="9"/>
  <c r="C24" i="9"/>
  <c r="G8" i="9"/>
  <c r="J10" i="9"/>
  <c r="F7" i="9"/>
  <c r="C25" i="9"/>
  <c r="D40" i="9"/>
  <c r="B43" i="9"/>
  <c r="J39" i="9" a="1"/>
  <c r="O15" i="9" a="1"/>
  <c r="C15" i="9" a="1"/>
  <c r="L19" i="9" a="1"/>
  <c r="D18" i="9" a="1"/>
  <c r="C42" i="9" a="1"/>
  <c r="H39" i="9"/>
  <c r="D19" i="9" a="1"/>
  <c r="C40" i="9" a="1"/>
  <c r="E39" i="9" a="1"/>
  <c r="C39" i="9" a="1"/>
  <c r="N18" i="9" a="1"/>
  <c r="M17" i="9" a="1"/>
  <c r="L39" i="9"/>
  <c r="C19" i="9" a="1"/>
  <c r="H42" i="9"/>
  <c r="H19" i="9"/>
  <c r="M42" i="9"/>
  <c r="N42" i="9"/>
  <c r="O39" i="9" a="1"/>
  <c r="M19" i="9" a="1"/>
  <c r="N15" i="9" a="1"/>
  <c r="J41" i="9" a="1"/>
  <c r="J15" i="9"/>
  <c r="M18" i="9" a="1"/>
  <c r="G39" i="9" a="1"/>
  <c r="D42" i="9" a="1"/>
  <c r="G15" i="9"/>
  <c r="Q15" i="9" a="1"/>
  <c r="F15" i="9" a="1"/>
  <c r="E19" i="9" a="1"/>
  <c r="I15" i="9"/>
  <c r="L41" i="9"/>
  <c r="H15" i="9"/>
  <c r="Q19" i="9" a="1"/>
  <c r="L17" i="9" a="1"/>
  <c r="N39" i="9"/>
  <c r="P15" i="9" a="1"/>
  <c r="I41" i="9"/>
  <c r="C17" i="9" a="1"/>
  <c r="M39" i="9"/>
  <c r="F18" i="9" a="1"/>
  <c r="C18" i="9" a="1"/>
  <c r="O18" i="9" a="1"/>
  <c r="K41" i="9"/>
  <c r="G41" i="9" a="1"/>
  <c r="J19" i="9"/>
  <c r="F42" i="9" a="1"/>
  <c r="M40" i="9"/>
  <c r="D39" i="9" a="1"/>
  <c r="P19" i="9" a="1"/>
  <c r="N41" i="9"/>
  <c r="G19" i="9"/>
  <c r="O42" i="9" a="1"/>
  <c r="P18" i="9" a="1"/>
  <c r="K17" i="9" a="1"/>
  <c r="J42" i="9" a="1"/>
  <c r="I39" i="9"/>
  <c r="G42" i="9" a="1"/>
  <c r="M15" i="9" a="1"/>
  <c r="D15" i="9" a="1"/>
  <c r="N17" i="9" a="1"/>
  <c r="D17" i="9" a="1"/>
  <c r="K42" i="9"/>
  <c r="E42" i="9" a="1"/>
  <c r="I19" i="9"/>
  <c r="L15" i="9" a="1"/>
  <c r="I42" i="9"/>
  <c r="L42" i="9"/>
  <c r="E15" i="9" a="1"/>
  <c r="H41" i="9"/>
  <c r="K39" i="9"/>
  <c r="F39" i="9" a="1"/>
  <c r="K19" i="9" a="1"/>
  <c r="F19" i="9" a="1"/>
  <c r="L40" i="9"/>
  <c r="O41" i="9" a="1"/>
  <c r="O19" i="9" a="1"/>
  <c r="L27" i="9" l="1"/>
  <c r="M27" i="9"/>
  <c r="K27" i="9"/>
  <c r="M26" i="9"/>
  <c r="P18" i="9"/>
  <c r="C19" i="9"/>
  <c r="M15" i="9"/>
  <c r="E39" i="9"/>
  <c r="M17" i="9"/>
  <c r="G39" i="9"/>
  <c r="C15" i="9"/>
  <c r="G41" i="9"/>
  <c r="N18" i="9"/>
  <c r="I28" i="9"/>
  <c r="F42" i="9"/>
  <c r="P15" i="9"/>
  <c r="C39" i="9"/>
  <c r="N17" i="9"/>
  <c r="E19" i="9"/>
  <c r="F28" i="9" s="1"/>
  <c r="Q15" i="9"/>
  <c r="F39" i="9"/>
  <c r="F19" i="9"/>
  <c r="G28" i="9" s="1"/>
  <c r="O41" i="9"/>
  <c r="Q19" i="9"/>
  <c r="D19" i="10" s="1"/>
  <c r="D20" i="10" s="1"/>
  <c r="D34" i="10" s="1"/>
  <c r="C18" i="9"/>
  <c r="E15" i="9"/>
  <c r="F24" i="9" s="1"/>
  <c r="K19" i="9"/>
  <c r="J39" i="9"/>
  <c r="G42" i="9"/>
  <c r="F18" i="9"/>
  <c r="G27" i="9" s="1"/>
  <c r="D17" i="9"/>
  <c r="E26" i="9" s="1"/>
  <c r="L15" i="9"/>
  <c r="O19" i="9"/>
  <c r="D39" i="9"/>
  <c r="C40" i="9"/>
  <c r="L19" i="9"/>
  <c r="D18" i="9"/>
  <c r="E27" i="9" s="1"/>
  <c r="D42" i="9"/>
  <c r="L17" i="9"/>
  <c r="O42" i="9"/>
  <c r="H28" i="9"/>
  <c r="J28" i="9"/>
  <c r="K17" i="9"/>
  <c r="O15" i="9"/>
  <c r="D19" i="9"/>
  <c r="E28" i="9" s="1"/>
  <c r="J42" i="9"/>
  <c r="O39" i="9"/>
  <c r="H24" i="9"/>
  <c r="I24" i="9"/>
  <c r="C42" i="9"/>
  <c r="O18" i="9"/>
  <c r="J24" i="9"/>
  <c r="P19" i="9"/>
  <c r="M19" i="9"/>
  <c r="N15" i="9"/>
  <c r="J41" i="9"/>
  <c r="E42" i="9"/>
  <c r="M18" i="9"/>
  <c r="D15" i="9"/>
  <c r="E24" i="9" s="1"/>
  <c r="C17" i="9"/>
  <c r="F15" i="9"/>
  <c r="G24" i="9" s="1"/>
  <c r="I10" i="9"/>
  <c r="D28" i="9"/>
  <c r="A24" i="9"/>
  <c r="A39" i="9"/>
  <c r="A15" i="9"/>
  <c r="L25" i="9"/>
  <c r="I9" i="9"/>
  <c r="F27" i="9"/>
  <c r="D27" i="9"/>
  <c r="L26" i="9"/>
  <c r="G26" i="9"/>
  <c r="F26" i="9"/>
  <c r="D26" i="9"/>
  <c r="I8" i="9"/>
  <c r="K26" i="9"/>
  <c r="I7" i="9"/>
  <c r="E25" i="9"/>
  <c r="G25" i="9"/>
  <c r="D25" i="9"/>
  <c r="F25" i="9"/>
  <c r="A41" i="9"/>
  <c r="A26" i="9"/>
  <c r="A17" i="9"/>
  <c r="A25" i="9"/>
  <c r="A16" i="9"/>
  <c r="A40" i="9"/>
  <c r="I6" i="9"/>
  <c r="D24" i="9"/>
  <c r="A28" i="9"/>
  <c r="A43" i="9"/>
  <c r="A19" i="9"/>
  <c r="M25" i="9"/>
  <c r="A27" i="9"/>
  <c r="A42" i="9"/>
  <c r="A18" i="9"/>
  <c r="K25" i="9"/>
  <c r="O43" i="9" a="1"/>
  <c r="I43" i="9"/>
  <c r="F43" i="9" a="1"/>
  <c r="J43" i="9" a="1"/>
  <c r="C43" i="9" a="1"/>
  <c r="L43" i="9"/>
  <c r="M43" i="9"/>
  <c r="H43" i="9"/>
  <c r="E43" i="9" a="1"/>
  <c r="N43" i="9"/>
  <c r="K43" i="9"/>
  <c r="D43" i="9" a="1"/>
  <c r="G43" i="9" a="1"/>
  <c r="L28" i="9" l="1"/>
  <c r="M28" i="9"/>
  <c r="K28" i="9"/>
  <c r="C43" i="9"/>
  <c r="G43" i="9"/>
  <c r="J43" i="9"/>
  <c r="D43" i="9"/>
  <c r="O43" i="9"/>
  <c r="E43" i="9"/>
  <c r="F43" i="9"/>
  <c r="G31" i="9"/>
  <c r="G34" i="9" s="1"/>
  <c r="G30" i="9"/>
  <c r="G33" i="9" s="1"/>
  <c r="M24" i="9"/>
  <c r="J30" i="9"/>
  <c r="J33" i="9" s="1"/>
  <c r="J31" i="9"/>
  <c r="J34" i="9" s="1"/>
  <c r="H31" i="9"/>
  <c r="H34" i="9" s="1"/>
  <c r="K24" i="9"/>
  <c r="H30" i="9"/>
  <c r="H33" i="9" s="1"/>
  <c r="N26" i="9"/>
  <c r="P26" i="9"/>
  <c r="O26" i="9"/>
  <c r="F31" i="9"/>
  <c r="F34" i="9" s="1"/>
  <c r="F30" i="9"/>
  <c r="F33" i="9" s="1"/>
  <c r="P24" i="9"/>
  <c r="O24" i="9"/>
  <c r="N24" i="9"/>
  <c r="P27" i="9"/>
  <c r="O27" i="9"/>
  <c r="N27" i="9"/>
  <c r="D30" i="9"/>
  <c r="D33" i="9" s="1"/>
  <c r="D31" i="9"/>
  <c r="D34" i="9" s="1"/>
  <c r="L24" i="9"/>
  <c r="I30" i="9"/>
  <c r="I33" i="9" s="1"/>
  <c r="I31" i="9"/>
  <c r="I34" i="9" s="1"/>
  <c r="P25" i="9"/>
  <c r="O25" i="9"/>
  <c r="N25" i="9"/>
  <c r="E30" i="9"/>
  <c r="E33" i="9" s="1"/>
  <c r="E31" i="9"/>
  <c r="E34" i="9" s="1"/>
  <c r="P28" i="9"/>
  <c r="O28" i="9"/>
  <c r="N28" i="9"/>
  <c r="M30" i="9" l="1"/>
  <c r="M33" i="9" s="1"/>
  <c r="M31" i="9"/>
  <c r="M34" i="9" s="1"/>
  <c r="N30" i="9"/>
  <c r="N33" i="9" s="1"/>
  <c r="N31" i="9"/>
  <c r="N34" i="9" s="1"/>
  <c r="K30" i="9"/>
  <c r="K33" i="9" s="1"/>
  <c r="K31" i="9"/>
  <c r="K34" i="9" s="1"/>
  <c r="O30" i="9"/>
  <c r="O33" i="9" s="1"/>
  <c r="O31" i="9"/>
  <c r="O34" i="9" s="1"/>
  <c r="L30" i="9"/>
  <c r="L33" i="9" s="1"/>
  <c r="L31" i="9"/>
  <c r="L34" i="9" s="1"/>
  <c r="P31" i="9"/>
  <c r="P34" i="9" s="1"/>
  <c r="P30" i="9"/>
  <c r="P33" i="9" s="1"/>
  <c r="C45" i="8" l="1"/>
  <c r="C48" i="8" s="1"/>
  <c r="B49" i="8"/>
  <c r="B51" i="8" s="1"/>
  <c r="C33" i="8"/>
  <c r="C34" i="8"/>
  <c r="D34" i="8"/>
  <c r="E34" i="8"/>
  <c r="F34" i="8"/>
  <c r="G34" i="8"/>
  <c r="G25" i="8"/>
  <c r="G27" i="8" s="1"/>
  <c r="D45" i="8" l="1"/>
  <c r="D48" i="8" s="1"/>
  <c r="C49" i="8"/>
  <c r="C51" i="8" s="1"/>
  <c r="G15" i="2" s="1"/>
  <c r="G26" i="3"/>
  <c r="C59" i="8"/>
  <c r="D59" i="8"/>
  <c r="E45" i="8"/>
  <c r="D16" i="8"/>
  <c r="D18" i="8" s="1"/>
  <c r="C11" i="8"/>
  <c r="D11" i="8"/>
  <c r="E11" i="8"/>
  <c r="F11" i="8"/>
  <c r="C5" i="8"/>
  <c r="G34" i="3"/>
  <c r="D86" i="3"/>
  <c r="E86" i="3"/>
  <c r="F86" i="3"/>
  <c r="C86" i="3"/>
  <c r="C74" i="3"/>
  <c r="D74" i="3"/>
  <c r="E74" i="3"/>
  <c r="F74" i="3"/>
  <c r="B74" i="3"/>
  <c r="C73" i="3"/>
  <c r="C71" i="3"/>
  <c r="D71" i="3"/>
  <c r="E71" i="3"/>
  <c r="F71" i="3"/>
  <c r="B71" i="3"/>
  <c r="C62" i="3"/>
  <c r="D62" i="3"/>
  <c r="E62" i="3"/>
  <c r="F62" i="3"/>
  <c r="G62" i="3" s="1"/>
  <c r="G60" i="3" s="1"/>
  <c r="C60" i="3"/>
  <c r="D60" i="3"/>
  <c r="E60" i="3"/>
  <c r="F60" i="3"/>
  <c r="B60" i="3"/>
  <c r="B62" i="3"/>
  <c r="C100" i="3"/>
  <c r="D102" i="3" s="1"/>
  <c r="D100" i="3"/>
  <c r="E102" i="3" s="1"/>
  <c r="E100" i="3"/>
  <c r="F100" i="3"/>
  <c r="B100" i="3"/>
  <c r="C102" i="3" s="1"/>
  <c r="C57" i="3"/>
  <c r="D57" i="3"/>
  <c r="E57" i="3"/>
  <c r="F57" i="3"/>
  <c r="B57" i="3"/>
  <c r="E49" i="6"/>
  <c r="G12" i="2" s="1"/>
  <c r="F49" i="6"/>
  <c r="H12" i="2" s="1"/>
  <c r="G49" i="6"/>
  <c r="I12" i="2" s="1"/>
  <c r="H49" i="6"/>
  <c r="J12" i="2" s="1"/>
  <c r="I49" i="6"/>
  <c r="K12" i="2" s="1"/>
  <c r="C49" i="6"/>
  <c r="D49" i="6"/>
  <c r="B49" i="6"/>
  <c r="C44" i="6"/>
  <c r="D44" i="6"/>
  <c r="B44" i="6"/>
  <c r="D47" i="6"/>
  <c r="C47" i="6"/>
  <c r="C48" i="6"/>
  <c r="B47" i="6"/>
  <c r="B48" i="6" s="1"/>
  <c r="C45" i="6"/>
  <c r="C46" i="6" s="1"/>
  <c r="D45" i="6"/>
  <c r="D46" i="6" s="1"/>
  <c r="B45" i="6"/>
  <c r="F32" i="6"/>
  <c r="G32" i="6"/>
  <c r="H32" i="6"/>
  <c r="I32" i="6"/>
  <c r="E32" i="6"/>
  <c r="C17" i="6"/>
  <c r="D17" i="6"/>
  <c r="C22" i="6"/>
  <c r="D22" i="6"/>
  <c r="C27" i="6"/>
  <c r="D27" i="6"/>
  <c r="C29" i="6"/>
  <c r="D29" i="6"/>
  <c r="C36" i="6"/>
  <c r="D36" i="6"/>
  <c r="C34" i="6"/>
  <c r="D34" i="6"/>
  <c r="E34" i="6" s="1"/>
  <c r="F34" i="6" s="1"/>
  <c r="G34" i="6" s="1"/>
  <c r="H34" i="6" s="1"/>
  <c r="I34" i="6" s="1"/>
  <c r="B34" i="6"/>
  <c r="B36" i="6"/>
  <c r="B29" i="6"/>
  <c r="B22" i="6"/>
  <c r="B27" i="6"/>
  <c r="B17" i="6"/>
  <c r="C12" i="6"/>
  <c r="D12" i="6"/>
  <c r="B12" i="6"/>
  <c r="C7" i="6"/>
  <c r="B13" i="5"/>
  <c r="C34" i="5"/>
  <c r="D34" i="5"/>
  <c r="E34" i="5"/>
  <c r="F34" i="5"/>
  <c r="G34" i="5"/>
  <c r="H34" i="5"/>
  <c r="I34" i="5"/>
  <c r="J34" i="5"/>
  <c r="K34" i="5"/>
  <c r="B34" i="5"/>
  <c r="G25" i="5"/>
  <c r="H25" i="5" s="1"/>
  <c r="I25" i="5" s="1"/>
  <c r="I27" i="5" s="1"/>
  <c r="G19" i="5"/>
  <c r="G21" i="5" s="1"/>
  <c r="G13" i="5"/>
  <c r="G15" i="5" s="1"/>
  <c r="G7" i="5"/>
  <c r="H7" i="5" s="1"/>
  <c r="H9" i="5" s="1"/>
  <c r="C6" i="2"/>
  <c r="D6" i="2"/>
  <c r="E6" i="2"/>
  <c r="F6" i="2"/>
  <c r="B6" i="2"/>
  <c r="C5" i="2"/>
  <c r="D5" i="2"/>
  <c r="E5" i="2"/>
  <c r="F5" i="2"/>
  <c r="B5" i="2"/>
  <c r="B7" i="2" s="1"/>
  <c r="B89" i="3" s="1"/>
  <c r="C31" i="4"/>
  <c r="D31" i="4"/>
  <c r="E31" i="4"/>
  <c r="F31" i="4"/>
  <c r="G31" i="4"/>
  <c r="H31" i="4"/>
  <c r="I31" i="4"/>
  <c r="J31" i="4"/>
  <c r="K31" i="4"/>
  <c r="C29" i="4"/>
  <c r="D29" i="4"/>
  <c r="E29" i="4"/>
  <c r="F29" i="4"/>
  <c r="G29" i="4"/>
  <c r="H29" i="4"/>
  <c r="I29" i="4"/>
  <c r="J29" i="4"/>
  <c r="K29" i="4"/>
  <c r="B31" i="4"/>
  <c r="B29" i="4"/>
  <c r="C18" i="1"/>
  <c r="D18" i="1"/>
  <c r="E18" i="1"/>
  <c r="F18" i="1"/>
  <c r="B18" i="1"/>
  <c r="C15" i="1"/>
  <c r="D15" i="1"/>
  <c r="E15" i="1"/>
  <c r="F15" i="1"/>
  <c r="B15" i="1"/>
  <c r="C12" i="1"/>
  <c r="D12" i="1"/>
  <c r="E12" i="1"/>
  <c r="F12" i="1"/>
  <c r="B12" i="1"/>
  <c r="C9" i="1"/>
  <c r="D9" i="1"/>
  <c r="E9" i="1"/>
  <c r="F9" i="1"/>
  <c r="B9" i="1"/>
  <c r="C6" i="1"/>
  <c r="D6" i="1"/>
  <c r="F6" i="1"/>
  <c r="B6" i="1"/>
  <c r="F30" i="4"/>
  <c r="E30" i="4"/>
  <c r="D30" i="4"/>
  <c r="C30" i="4"/>
  <c r="B30" i="4"/>
  <c r="F28" i="4"/>
  <c r="E28" i="4"/>
  <c r="D28" i="4"/>
  <c r="D32" i="4" s="1"/>
  <c r="C28" i="4"/>
  <c r="C32" i="4" s="1"/>
  <c r="B28" i="4"/>
  <c r="B32" i="4" s="1"/>
  <c r="F25" i="4"/>
  <c r="E25" i="4"/>
  <c r="D25" i="4"/>
  <c r="C25" i="4"/>
  <c r="F22" i="4"/>
  <c r="E22" i="4"/>
  <c r="D22" i="4"/>
  <c r="C22" i="4"/>
  <c r="G22" i="4" s="1"/>
  <c r="G21" i="4" s="1"/>
  <c r="H21" i="4" s="1"/>
  <c r="I21" i="4" s="1"/>
  <c r="J21" i="4" s="1"/>
  <c r="K21" i="4" s="1"/>
  <c r="F18" i="4"/>
  <c r="E18" i="4"/>
  <c r="D18" i="4"/>
  <c r="C18" i="4"/>
  <c r="F16" i="4"/>
  <c r="E16" i="4"/>
  <c r="D16" i="4"/>
  <c r="C16" i="4"/>
  <c r="G15" i="4"/>
  <c r="H15" i="4" s="1"/>
  <c r="I15" i="4" s="1"/>
  <c r="J15" i="4" s="1"/>
  <c r="K15" i="4" s="1"/>
  <c r="F13" i="4"/>
  <c r="E13" i="4"/>
  <c r="G13" i="4" s="1"/>
  <c r="G12" i="4" s="1"/>
  <c r="D13" i="4"/>
  <c r="C13" i="4"/>
  <c r="F11" i="4"/>
  <c r="E11" i="4"/>
  <c r="D11" i="4"/>
  <c r="G11" i="4" s="1"/>
  <c r="G10" i="4" s="1"/>
  <c r="H10" i="4" s="1"/>
  <c r="I10" i="4" s="1"/>
  <c r="J10" i="4" s="1"/>
  <c r="K10" i="4" s="1"/>
  <c r="C11" i="4"/>
  <c r="F8" i="4"/>
  <c r="E8" i="4"/>
  <c r="D8" i="4"/>
  <c r="C8" i="4"/>
  <c r="G8" i="4" s="1"/>
  <c r="G7" i="4" s="1"/>
  <c r="H7" i="4" s="1"/>
  <c r="K6" i="4"/>
  <c r="J6" i="4"/>
  <c r="I6" i="4"/>
  <c r="H6" i="4"/>
  <c r="G6" i="4"/>
  <c r="G5" i="4" s="1"/>
  <c r="H5" i="4" s="1"/>
  <c r="F6" i="4"/>
  <c r="E6" i="4"/>
  <c r="D6" i="4"/>
  <c r="C6" i="4"/>
  <c r="K124" i="1"/>
  <c r="K18" i="1" s="1"/>
  <c r="J124" i="1"/>
  <c r="J18" i="1" s="1"/>
  <c r="I124" i="1"/>
  <c r="I18" i="1" s="1"/>
  <c r="H124" i="1"/>
  <c r="H18" i="1" s="1"/>
  <c r="G124" i="1"/>
  <c r="G18" i="1" s="1"/>
  <c r="G104" i="1"/>
  <c r="H104" i="1" s="1"/>
  <c r="I104" i="1" s="1"/>
  <c r="J104" i="1" s="1"/>
  <c r="K104" i="1" s="1"/>
  <c r="G102" i="1"/>
  <c r="H102" i="1" s="1"/>
  <c r="I102" i="1" s="1"/>
  <c r="J102" i="1" s="1"/>
  <c r="K102" i="1" s="1"/>
  <c r="G100" i="1"/>
  <c r="H100" i="1" s="1"/>
  <c r="I100" i="1" s="1"/>
  <c r="J100" i="1" s="1"/>
  <c r="K100" i="1" s="1"/>
  <c r="G98" i="1"/>
  <c r="H98" i="1" s="1"/>
  <c r="I98" i="1" s="1"/>
  <c r="J98" i="1" s="1"/>
  <c r="K98" i="1" s="1"/>
  <c r="G96" i="1"/>
  <c r="H96" i="1" s="1"/>
  <c r="I96" i="1" s="1"/>
  <c r="J96" i="1" s="1"/>
  <c r="K96" i="1" s="1"/>
  <c r="G94" i="1"/>
  <c r="H94" i="1" s="1"/>
  <c r="I94" i="1" s="1"/>
  <c r="J94" i="1" s="1"/>
  <c r="K94" i="1" s="1"/>
  <c r="G92" i="1"/>
  <c r="H92" i="1" s="1"/>
  <c r="I92" i="1" s="1"/>
  <c r="J92" i="1" s="1"/>
  <c r="K92" i="1" s="1"/>
  <c r="F105" i="1"/>
  <c r="E105" i="1"/>
  <c r="D105" i="1"/>
  <c r="C105" i="1"/>
  <c r="F103" i="1"/>
  <c r="E103" i="1"/>
  <c r="D103" i="1"/>
  <c r="C103" i="1"/>
  <c r="F101" i="1"/>
  <c r="E101" i="1"/>
  <c r="D101" i="1"/>
  <c r="C101" i="1"/>
  <c r="F99" i="1"/>
  <c r="E99" i="1"/>
  <c r="D99" i="1"/>
  <c r="C99" i="1"/>
  <c r="F97" i="1"/>
  <c r="E97" i="1"/>
  <c r="D97" i="1"/>
  <c r="C97" i="1"/>
  <c r="F95" i="1"/>
  <c r="E95" i="1"/>
  <c r="D95" i="1"/>
  <c r="C95" i="1"/>
  <c r="F93" i="1"/>
  <c r="E93" i="1"/>
  <c r="D93" i="1"/>
  <c r="C93" i="1"/>
  <c r="G86" i="1"/>
  <c r="H86" i="1" s="1"/>
  <c r="I86" i="1" s="1"/>
  <c r="J86" i="1" s="1"/>
  <c r="K86" i="1" s="1"/>
  <c r="G84" i="1"/>
  <c r="H84" i="1" s="1"/>
  <c r="I84" i="1" s="1"/>
  <c r="J84" i="1" s="1"/>
  <c r="K84" i="1" s="1"/>
  <c r="G82" i="1"/>
  <c r="H82" i="1" s="1"/>
  <c r="I82" i="1" s="1"/>
  <c r="J82" i="1" s="1"/>
  <c r="K82" i="1" s="1"/>
  <c r="G80" i="1"/>
  <c r="H80" i="1" s="1"/>
  <c r="I80" i="1" s="1"/>
  <c r="J80" i="1" s="1"/>
  <c r="K80" i="1" s="1"/>
  <c r="G78" i="1"/>
  <c r="H78" i="1" s="1"/>
  <c r="I78" i="1" s="1"/>
  <c r="J78" i="1" s="1"/>
  <c r="K78" i="1" s="1"/>
  <c r="G76" i="1"/>
  <c r="H76" i="1" s="1"/>
  <c r="I76" i="1" s="1"/>
  <c r="J76" i="1" s="1"/>
  <c r="K76" i="1" s="1"/>
  <c r="G74" i="1"/>
  <c r="H74" i="1" s="1"/>
  <c r="I74" i="1" s="1"/>
  <c r="J74" i="1" s="1"/>
  <c r="K74" i="1" s="1"/>
  <c r="F87" i="1"/>
  <c r="E87" i="1"/>
  <c r="D87" i="1"/>
  <c r="C87" i="1"/>
  <c r="F85" i="1"/>
  <c r="E85" i="1"/>
  <c r="D85" i="1"/>
  <c r="C85" i="1"/>
  <c r="F83" i="1"/>
  <c r="E83" i="1"/>
  <c r="D83" i="1"/>
  <c r="C83" i="1"/>
  <c r="F81" i="1"/>
  <c r="E81" i="1"/>
  <c r="D81" i="1"/>
  <c r="C81" i="1"/>
  <c r="F79" i="1"/>
  <c r="E79" i="1"/>
  <c r="D79" i="1"/>
  <c r="C79" i="1"/>
  <c r="F77" i="1"/>
  <c r="E77" i="1"/>
  <c r="D77" i="1"/>
  <c r="C77" i="1"/>
  <c r="F75" i="1"/>
  <c r="E75" i="1"/>
  <c r="D75" i="1"/>
  <c r="C75" i="1"/>
  <c r="G53" i="1"/>
  <c r="G68" i="1"/>
  <c r="F69" i="1"/>
  <c r="D65" i="1"/>
  <c r="E69" i="1"/>
  <c r="D69" i="1"/>
  <c r="F67" i="1"/>
  <c r="E67" i="1"/>
  <c r="D67" i="1"/>
  <c r="F65" i="1"/>
  <c r="E65" i="1"/>
  <c r="F63" i="1"/>
  <c r="E63" i="1"/>
  <c r="D63" i="1"/>
  <c r="F61" i="1"/>
  <c r="E61" i="1"/>
  <c r="D61" i="1"/>
  <c r="F59" i="1"/>
  <c r="E59" i="1"/>
  <c r="D59" i="1"/>
  <c r="F54" i="1"/>
  <c r="E54" i="1"/>
  <c r="D54" i="1"/>
  <c r="C69" i="1"/>
  <c r="C67" i="1"/>
  <c r="C65" i="1"/>
  <c r="C63" i="1"/>
  <c r="C61" i="1"/>
  <c r="C59" i="1"/>
  <c r="C54" i="1"/>
  <c r="G47" i="1"/>
  <c r="G45" i="1"/>
  <c r="H45" i="1" s="1"/>
  <c r="I45" i="1" s="1"/>
  <c r="J45" i="1" s="1"/>
  <c r="K45" i="1" s="1"/>
  <c r="G43" i="1"/>
  <c r="H43" i="1" s="1"/>
  <c r="I43" i="1" s="1"/>
  <c r="J43" i="1" s="1"/>
  <c r="K43" i="1" s="1"/>
  <c r="G41" i="1"/>
  <c r="H41" i="1" s="1"/>
  <c r="I41" i="1" s="1"/>
  <c r="J41" i="1" s="1"/>
  <c r="K41" i="1" s="1"/>
  <c r="G39" i="1"/>
  <c r="H39" i="1" s="1"/>
  <c r="I39" i="1" s="1"/>
  <c r="J39" i="1" s="1"/>
  <c r="K39" i="1" s="1"/>
  <c r="G34" i="1"/>
  <c r="H34" i="1" s="1"/>
  <c r="I34" i="1" s="1"/>
  <c r="J34" i="1" s="1"/>
  <c r="K34" i="1" s="1"/>
  <c r="G29" i="1"/>
  <c r="H29" i="1" s="1"/>
  <c r="I29" i="1" s="1"/>
  <c r="J29" i="1" s="1"/>
  <c r="K29" i="1" s="1"/>
  <c r="D48" i="1"/>
  <c r="E48" i="1"/>
  <c r="F48" i="1"/>
  <c r="D46" i="1"/>
  <c r="E46" i="1"/>
  <c r="F46" i="1"/>
  <c r="D44" i="1"/>
  <c r="E44" i="1"/>
  <c r="F44" i="1"/>
  <c r="D42" i="1"/>
  <c r="E42" i="1"/>
  <c r="F42" i="1"/>
  <c r="D40" i="1"/>
  <c r="E40" i="1"/>
  <c r="F40" i="1"/>
  <c r="D35" i="1"/>
  <c r="E35" i="1"/>
  <c r="F35" i="1"/>
  <c r="C48" i="1"/>
  <c r="C46" i="1"/>
  <c r="C44" i="1"/>
  <c r="C42" i="1"/>
  <c r="C40" i="1"/>
  <c r="C35" i="1"/>
  <c r="D30" i="1"/>
  <c r="E30" i="1"/>
  <c r="F30" i="1"/>
  <c r="C30" i="1"/>
  <c r="C10" i="2"/>
  <c r="C56" i="3" s="1"/>
  <c r="D10" i="2"/>
  <c r="D56" i="3" s="1"/>
  <c r="E10" i="2"/>
  <c r="E56" i="3" s="1"/>
  <c r="F10" i="2"/>
  <c r="F56" i="3" s="1"/>
  <c r="B10" i="2"/>
  <c r="B73" i="3" s="1"/>
  <c r="C39" i="3"/>
  <c r="C41" i="3" s="1"/>
  <c r="D39" i="3"/>
  <c r="D41" i="3" s="1"/>
  <c r="E39" i="3"/>
  <c r="E41" i="3" s="1"/>
  <c r="F39" i="3"/>
  <c r="F41" i="3" s="1"/>
  <c r="B39" i="3"/>
  <c r="B41" i="3" s="1"/>
  <c r="C25" i="3"/>
  <c r="C31" i="3" s="1"/>
  <c r="D25" i="3"/>
  <c r="D31" i="3" s="1"/>
  <c r="E25" i="3"/>
  <c r="E31" i="3" s="1"/>
  <c r="F25" i="3"/>
  <c r="F31" i="3" s="1"/>
  <c r="B25" i="3"/>
  <c r="B31" i="3" s="1"/>
  <c r="C10" i="3"/>
  <c r="C16" i="3" s="1"/>
  <c r="D10" i="3"/>
  <c r="D16" i="3" s="1"/>
  <c r="E10" i="3"/>
  <c r="E16" i="3" s="1"/>
  <c r="F10" i="3"/>
  <c r="F16" i="3" s="1"/>
  <c r="B10" i="3"/>
  <c r="B16" i="3" s="1"/>
  <c r="D7" i="2" l="1"/>
  <c r="C7" i="2"/>
  <c r="C89" i="3" s="1"/>
  <c r="E7" i="2"/>
  <c r="E13" i="2" s="1"/>
  <c r="E40" i="2" s="1"/>
  <c r="F73" i="3"/>
  <c r="E73" i="3"/>
  <c r="D13" i="2"/>
  <c r="D40" i="2" s="1"/>
  <c r="D89" i="3"/>
  <c r="D73" i="3"/>
  <c r="H34" i="3"/>
  <c r="I34" i="3" s="1"/>
  <c r="B34" i="15"/>
  <c r="F31" i="7"/>
  <c r="G73" i="3"/>
  <c r="G72" i="3" s="1"/>
  <c r="G21" i="3" s="1"/>
  <c r="D48" i="6"/>
  <c r="B46" i="6"/>
  <c r="G38" i="3"/>
  <c r="B38" i="15" s="1"/>
  <c r="E16" i="8"/>
  <c r="E18" i="8" s="1"/>
  <c r="H38" i="3"/>
  <c r="B26" i="15"/>
  <c r="F24" i="7"/>
  <c r="H7" i="8"/>
  <c r="B43" i="15"/>
  <c r="F40" i="7"/>
  <c r="D49" i="8"/>
  <c r="D51" i="8" s="1"/>
  <c r="H15" i="2" s="1"/>
  <c r="H26" i="3"/>
  <c r="G20" i="3"/>
  <c r="E48" i="8"/>
  <c r="E49" i="8" s="1"/>
  <c r="E51" i="8" s="1"/>
  <c r="I15" i="2" s="1"/>
  <c r="E59" i="8"/>
  <c r="G12" i="3"/>
  <c r="H62" i="3"/>
  <c r="H60" i="3" s="1"/>
  <c r="F102" i="3"/>
  <c r="G102" i="3" s="1"/>
  <c r="G101" i="3" s="1"/>
  <c r="E42" i="3"/>
  <c r="B42" i="3"/>
  <c r="F42" i="3"/>
  <c r="C42" i="3"/>
  <c r="D42" i="3"/>
  <c r="I33" i="6"/>
  <c r="H33" i="6"/>
  <c r="G33" i="6"/>
  <c r="F33" i="6"/>
  <c r="F35" i="6"/>
  <c r="I35" i="6"/>
  <c r="E33" i="6"/>
  <c r="H35" i="6"/>
  <c r="E35" i="6"/>
  <c r="G35" i="6"/>
  <c r="F37" i="5"/>
  <c r="H27" i="5"/>
  <c r="G27" i="5"/>
  <c r="G9" i="5"/>
  <c r="E37" i="5"/>
  <c r="H13" i="5"/>
  <c r="H15" i="5" s="1"/>
  <c r="H19" i="5"/>
  <c r="I7" i="5"/>
  <c r="I9" i="5" s="1"/>
  <c r="J25" i="5"/>
  <c r="J27" i="5" s="1"/>
  <c r="E32" i="4"/>
  <c r="G18" i="4"/>
  <c r="G17" i="4" s="1"/>
  <c r="H17" i="4" s="1"/>
  <c r="I17" i="4" s="1"/>
  <c r="J17" i="4" s="1"/>
  <c r="K17" i="4" s="1"/>
  <c r="F32" i="4"/>
  <c r="D21" i="1"/>
  <c r="C21" i="1"/>
  <c r="F21" i="1"/>
  <c r="B21" i="1"/>
  <c r="E21" i="1"/>
  <c r="K88" i="1"/>
  <c r="K12" i="1" s="1"/>
  <c r="I25" i="6" s="1"/>
  <c r="I26" i="6" s="1"/>
  <c r="G88" i="1"/>
  <c r="G12" i="1" s="1"/>
  <c r="E25" i="6" s="1"/>
  <c r="E26" i="6" s="1"/>
  <c r="H88" i="1"/>
  <c r="H12" i="1" s="1"/>
  <c r="F25" i="6" s="1"/>
  <c r="F26" i="6" s="1"/>
  <c r="I88" i="1"/>
  <c r="I12" i="1" s="1"/>
  <c r="G25" i="6" s="1"/>
  <c r="G26" i="6" s="1"/>
  <c r="J88" i="1"/>
  <c r="J12" i="1" s="1"/>
  <c r="H25" i="6" s="1"/>
  <c r="H26" i="6" s="1"/>
  <c r="I7" i="4"/>
  <c r="G30" i="4"/>
  <c r="H12" i="4"/>
  <c r="I12" i="4" s="1"/>
  <c r="J12" i="4" s="1"/>
  <c r="K12" i="4" s="1"/>
  <c r="H28" i="4"/>
  <c r="I5" i="4"/>
  <c r="G28" i="4"/>
  <c r="G106" i="1"/>
  <c r="G15" i="1" s="1"/>
  <c r="K106" i="1"/>
  <c r="K15" i="1" s="1"/>
  <c r="I106" i="1"/>
  <c r="I15" i="1" s="1"/>
  <c r="J106" i="1"/>
  <c r="J15" i="1" s="1"/>
  <c r="H106" i="1"/>
  <c r="H15" i="1" s="1"/>
  <c r="G49" i="1"/>
  <c r="G6" i="1" s="1"/>
  <c r="E5" i="6" s="1"/>
  <c r="E6" i="6" s="1"/>
  <c r="H47" i="1"/>
  <c r="E89" i="3" l="1"/>
  <c r="D34" i="15"/>
  <c r="H31" i="7"/>
  <c r="F35" i="7"/>
  <c r="B21" i="15"/>
  <c r="F19" i="7"/>
  <c r="C34" i="15"/>
  <c r="G31" i="7"/>
  <c r="E22" i="1"/>
  <c r="B12" i="15"/>
  <c r="F11" i="7"/>
  <c r="H28" i="6"/>
  <c r="F28" i="6"/>
  <c r="G28" i="6"/>
  <c r="B64" i="3"/>
  <c r="B82" i="3"/>
  <c r="B76" i="3"/>
  <c r="B66" i="3"/>
  <c r="E28" i="6"/>
  <c r="D14" i="5"/>
  <c r="D15" i="5" s="1"/>
  <c r="D22" i="1"/>
  <c r="E11" i="6"/>
  <c r="F22" i="1"/>
  <c r="C22" i="1"/>
  <c r="I28" i="6"/>
  <c r="F7" i="2"/>
  <c r="H20" i="3"/>
  <c r="C26" i="15"/>
  <c r="G24" i="7"/>
  <c r="F45" i="8"/>
  <c r="F48" i="8" s="1"/>
  <c r="F49" i="8" s="1"/>
  <c r="F51" i="8" s="1"/>
  <c r="J15" i="2" s="1"/>
  <c r="I26" i="3"/>
  <c r="I7" i="8"/>
  <c r="C43" i="15"/>
  <c r="G40" i="7"/>
  <c r="B20" i="15"/>
  <c r="F18" i="7"/>
  <c r="C38" i="15"/>
  <c r="G35" i="7"/>
  <c r="F16" i="8"/>
  <c r="F18" i="8" s="1"/>
  <c r="I38" i="3"/>
  <c r="J34" i="3"/>
  <c r="H12" i="3"/>
  <c r="I62" i="3"/>
  <c r="I60" i="3" s="1"/>
  <c r="B13" i="2"/>
  <c r="B8" i="5"/>
  <c r="B9" i="5" s="1"/>
  <c r="B26" i="5"/>
  <c r="B27" i="5" s="1"/>
  <c r="B20" i="5"/>
  <c r="B21" i="5" s="1"/>
  <c r="B14" i="5"/>
  <c r="B15" i="5" s="1"/>
  <c r="I19" i="5"/>
  <c r="H21" i="5"/>
  <c r="G37" i="5"/>
  <c r="I13" i="5"/>
  <c r="I15" i="5" s="1"/>
  <c r="K25" i="5"/>
  <c r="K27" i="5" s="1"/>
  <c r="H37" i="5"/>
  <c r="J7" i="5"/>
  <c r="J9" i="5" s="1"/>
  <c r="G32" i="4"/>
  <c r="J5" i="4"/>
  <c r="I28" i="4"/>
  <c r="H30" i="4"/>
  <c r="H32" i="4" s="1"/>
  <c r="J7" i="4"/>
  <c r="I30" i="4"/>
  <c r="H68" i="1"/>
  <c r="I68" i="1" s="1"/>
  <c r="J68" i="1" s="1"/>
  <c r="K68" i="1" s="1"/>
  <c r="G66" i="1"/>
  <c r="I47" i="1"/>
  <c r="H49" i="1"/>
  <c r="H6" i="1" s="1"/>
  <c r="F5" i="6" s="1"/>
  <c r="F14" i="5" l="1"/>
  <c r="F13" i="2"/>
  <c r="F40" i="2" s="1"/>
  <c r="F89" i="3"/>
  <c r="E34" i="15"/>
  <c r="I31" i="7"/>
  <c r="F59" i="8"/>
  <c r="B16" i="2"/>
  <c r="B40" i="2"/>
  <c r="G11" i="7"/>
  <c r="C12" i="15"/>
  <c r="F8" i="5"/>
  <c r="F26" i="5"/>
  <c r="F20" i="5"/>
  <c r="F16" i="2"/>
  <c r="C64" i="3"/>
  <c r="C82" i="3"/>
  <c r="C54" i="3"/>
  <c r="C76" i="3"/>
  <c r="C66" i="3"/>
  <c r="C103" i="3"/>
  <c r="C26" i="5"/>
  <c r="C27" i="5" s="1"/>
  <c r="C13" i="2"/>
  <c r="C20" i="5"/>
  <c r="C21" i="5" s="1"/>
  <c r="D82" i="3"/>
  <c r="D54" i="3"/>
  <c r="D76" i="3"/>
  <c r="D64" i="3"/>
  <c r="D66" i="3"/>
  <c r="D103" i="3"/>
  <c r="C14" i="5"/>
  <c r="C15" i="5" s="1"/>
  <c r="C8" i="5"/>
  <c r="C9" i="5" s="1"/>
  <c r="E54" i="3"/>
  <c r="E82" i="3"/>
  <c r="E64" i="3"/>
  <c r="E76" i="3"/>
  <c r="E66" i="3"/>
  <c r="E103" i="3"/>
  <c r="D20" i="5"/>
  <c r="D21" i="5" s="1"/>
  <c r="D8" i="5"/>
  <c r="D9" i="5" s="1"/>
  <c r="D26" i="5"/>
  <c r="D27" i="5" s="1"/>
  <c r="F6" i="6"/>
  <c r="F11" i="6"/>
  <c r="D16" i="2"/>
  <c r="F66" i="3"/>
  <c r="F82" i="3"/>
  <c r="F54" i="3"/>
  <c r="F64" i="3"/>
  <c r="F76" i="3"/>
  <c r="F103" i="3"/>
  <c r="D38" i="15"/>
  <c r="H35" i="7"/>
  <c r="J7" i="8"/>
  <c r="D43" i="15"/>
  <c r="H40" i="7"/>
  <c r="D26" i="15"/>
  <c r="H24" i="7"/>
  <c r="I20" i="3"/>
  <c r="G45" i="8"/>
  <c r="G59" i="8" s="1"/>
  <c r="J26" i="3"/>
  <c r="G16" i="8"/>
  <c r="J38" i="3"/>
  <c r="C20" i="15"/>
  <c r="G18" i="7"/>
  <c r="K34" i="3"/>
  <c r="I12" i="3"/>
  <c r="J62" i="3"/>
  <c r="J60" i="3" s="1"/>
  <c r="E16" i="2"/>
  <c r="E26" i="5"/>
  <c r="E20" i="5"/>
  <c r="E14" i="5"/>
  <c r="E8" i="5"/>
  <c r="B37" i="5"/>
  <c r="I21" i="5"/>
  <c r="J19" i="5"/>
  <c r="J13" i="5"/>
  <c r="J15" i="5" s="1"/>
  <c r="I37" i="5"/>
  <c r="K7" i="5"/>
  <c r="K9" i="5" s="1"/>
  <c r="K7" i="4"/>
  <c r="K30" i="4" s="1"/>
  <c r="J30" i="4"/>
  <c r="I32" i="4"/>
  <c r="J28" i="4"/>
  <c r="J32" i="4" s="1"/>
  <c r="K5" i="4"/>
  <c r="K28" i="4" s="1"/>
  <c r="K32" i="4" s="1"/>
  <c r="H66" i="1"/>
  <c r="I66" i="1" s="1"/>
  <c r="J66" i="1" s="1"/>
  <c r="K66" i="1" s="1"/>
  <c r="I49" i="1"/>
  <c r="I6" i="1" s="1"/>
  <c r="G5" i="6" s="1"/>
  <c r="J47" i="1"/>
  <c r="F34" i="15" l="1"/>
  <c r="J31" i="7"/>
  <c r="B18" i="2"/>
  <c r="B20" i="2" s="1"/>
  <c r="B44" i="2"/>
  <c r="G82" i="3"/>
  <c r="C16" i="2"/>
  <c r="G75" i="3" s="1"/>
  <c r="G23" i="3" s="1"/>
  <c r="C40" i="2"/>
  <c r="G18" i="8"/>
  <c r="K38" i="3" s="1"/>
  <c r="F18" i="2"/>
  <c r="F20" i="2" s="1"/>
  <c r="F22" i="2" s="1"/>
  <c r="F44" i="2"/>
  <c r="H11" i="7"/>
  <c r="D12" i="15"/>
  <c r="D18" i="2"/>
  <c r="D37" i="5"/>
  <c r="C37" i="5"/>
  <c r="C44" i="2"/>
  <c r="G6" i="6"/>
  <c r="G11" i="6"/>
  <c r="G76" i="3"/>
  <c r="B22" i="2"/>
  <c r="B6" i="8"/>
  <c r="G66" i="3"/>
  <c r="D44" i="2"/>
  <c r="G48" i="8"/>
  <c r="K7" i="8"/>
  <c r="E43" i="15"/>
  <c r="I40" i="7"/>
  <c r="E38" i="15"/>
  <c r="I35" i="7"/>
  <c r="E26" i="15"/>
  <c r="I24" i="7"/>
  <c r="J20" i="3"/>
  <c r="D20" i="15"/>
  <c r="H18" i="7"/>
  <c r="J12" i="3"/>
  <c r="K62" i="3"/>
  <c r="E18" i="2"/>
  <c r="E20" i="2" s="1"/>
  <c r="E44" i="2"/>
  <c r="J21" i="5"/>
  <c r="K19" i="5"/>
  <c r="K21" i="5" s="1"/>
  <c r="K13" i="5"/>
  <c r="J37" i="5"/>
  <c r="G64" i="1"/>
  <c r="J49" i="1"/>
  <c r="J6" i="1" s="1"/>
  <c r="H5" i="6" s="1"/>
  <c r="K47" i="1"/>
  <c r="K49" i="1" s="1"/>
  <c r="K6" i="1" s="1"/>
  <c r="I5" i="6" s="1"/>
  <c r="F6" i="8" l="1"/>
  <c r="E2" i="7"/>
  <c r="E42" i="7" s="1"/>
  <c r="K60" i="3"/>
  <c r="K12" i="3" s="1"/>
  <c r="F38" i="15"/>
  <c r="J35" i="7"/>
  <c r="C18" i="2"/>
  <c r="C20" i="2" s="1"/>
  <c r="C22" i="2" s="1"/>
  <c r="D20" i="2"/>
  <c r="D22" i="2" s="1"/>
  <c r="D6" i="8"/>
  <c r="C2" i="7"/>
  <c r="C42" i="7" s="1"/>
  <c r="I11" i="7"/>
  <c r="E12" i="15"/>
  <c r="C6" i="8"/>
  <c r="C8" i="8" s="1"/>
  <c r="D5" i="8" s="1"/>
  <c r="B2" i="7"/>
  <c r="B42" i="7" s="1"/>
  <c r="H6" i="6"/>
  <c r="H11" i="6"/>
  <c r="C9" i="8"/>
  <c r="H66" i="3"/>
  <c r="E22" i="2"/>
  <c r="D2" i="7"/>
  <c r="D42" i="7" s="1"/>
  <c r="E6" i="8"/>
  <c r="I6" i="6"/>
  <c r="I11" i="6"/>
  <c r="E20" i="15"/>
  <c r="I18" i="7"/>
  <c r="F43" i="15"/>
  <c r="J40" i="7"/>
  <c r="G49" i="8"/>
  <c r="G51" i="8" s="1"/>
  <c r="K15" i="2" s="1"/>
  <c r="K26" i="3"/>
  <c r="K15" i="5"/>
  <c r="K37" i="5" s="1"/>
  <c r="H64" i="1"/>
  <c r="I64" i="1" s="1"/>
  <c r="J64" i="1" s="1"/>
  <c r="K64" i="1" s="1"/>
  <c r="F12" i="15" l="1"/>
  <c r="J11" i="7"/>
  <c r="E9" i="8"/>
  <c r="D8" i="8"/>
  <c r="E5" i="8" s="1"/>
  <c r="E8" i="8" s="1"/>
  <c r="F5" i="8" s="1"/>
  <c r="F8" i="8" s="1"/>
  <c r="D9" i="8"/>
  <c r="F9" i="8"/>
  <c r="I66" i="3"/>
  <c r="F26" i="15"/>
  <c r="J24" i="7"/>
  <c r="K20" i="3"/>
  <c r="G62" i="1"/>
  <c r="J66" i="3" l="1"/>
  <c r="K66" i="3" s="1"/>
  <c r="F20" i="15"/>
  <c r="J18" i="7"/>
  <c r="H62" i="1"/>
  <c r="I62" i="1" s="1"/>
  <c r="J62" i="1" s="1"/>
  <c r="K62" i="1" s="1"/>
  <c r="G60" i="1" l="1"/>
  <c r="H60" i="1" l="1"/>
  <c r="I60" i="1" s="1"/>
  <c r="J60" i="1" s="1"/>
  <c r="K60" i="1" s="1"/>
  <c r="G58" i="1" l="1"/>
  <c r="G70" i="1" s="1"/>
  <c r="G9" i="1" s="1"/>
  <c r="G21" i="1" l="1"/>
  <c r="E15" i="6"/>
  <c r="H58" i="1"/>
  <c r="I58" i="1" s="1"/>
  <c r="J58" i="1" s="1"/>
  <c r="K58" i="1" s="1"/>
  <c r="E16" i="6" l="1"/>
  <c r="E45" i="6" s="1"/>
  <c r="E50" i="6" s="1"/>
  <c r="E21" i="6"/>
  <c r="E47" i="6" s="1"/>
  <c r="E44" i="6"/>
  <c r="G7" i="2"/>
  <c r="G22" i="1"/>
  <c r="G24" i="1"/>
  <c r="G6" i="2" s="1"/>
  <c r="G23" i="1"/>
  <c r="G5" i="2" s="1"/>
  <c r="H53" i="1"/>
  <c r="G88" i="3" l="1"/>
  <c r="G35" i="3" s="1"/>
  <c r="G64" i="3"/>
  <c r="E48" i="6"/>
  <c r="G11" i="2"/>
  <c r="C35" i="8"/>
  <c r="C37" i="8" s="1"/>
  <c r="G26" i="8"/>
  <c r="G28" i="8" s="1"/>
  <c r="G29" i="8" s="1"/>
  <c r="G104" i="3"/>
  <c r="G53" i="3"/>
  <c r="G7" i="3" s="1"/>
  <c r="G30" i="3"/>
  <c r="G24" i="3"/>
  <c r="G15" i="3"/>
  <c r="G10" i="2"/>
  <c r="E46" i="6"/>
  <c r="I53" i="1"/>
  <c r="H70" i="1"/>
  <c r="H9" i="1" s="1"/>
  <c r="B35" i="15" l="1"/>
  <c r="F32" i="7"/>
  <c r="B30" i="15"/>
  <c r="F28" i="7"/>
  <c r="G14" i="3"/>
  <c r="H25" i="8"/>
  <c r="H27" i="8" s="1"/>
  <c r="H72" i="3"/>
  <c r="H21" i="3" s="1"/>
  <c r="G55" i="3"/>
  <c r="G8" i="3" s="1"/>
  <c r="F14" i="7"/>
  <c r="B15" i="15"/>
  <c r="B24" i="15"/>
  <c r="F22" i="7"/>
  <c r="B13" i="15"/>
  <c r="F12" i="7"/>
  <c r="H21" i="1"/>
  <c r="F15" i="6"/>
  <c r="G22" i="3"/>
  <c r="G9" i="3"/>
  <c r="B7" i="15"/>
  <c r="F6" i="7"/>
  <c r="D33" i="8"/>
  <c r="C38" i="8"/>
  <c r="C39" i="8" s="1"/>
  <c r="G13" i="2"/>
  <c r="J53" i="1"/>
  <c r="I70" i="1"/>
  <c r="I9" i="1" s="1"/>
  <c r="G16" i="2" l="1"/>
  <c r="G25" i="3" s="1"/>
  <c r="G40" i="2"/>
  <c r="C40" i="8"/>
  <c r="G29" i="3"/>
  <c r="F27" i="7" s="1"/>
  <c r="C21" i="15"/>
  <c r="G19" i="7"/>
  <c r="B22" i="15"/>
  <c r="F20" i="7"/>
  <c r="B14" i="15"/>
  <c r="F13" i="7"/>
  <c r="I21" i="1"/>
  <c r="G15" i="6"/>
  <c r="B9" i="15"/>
  <c r="F8" i="7"/>
  <c r="B8" i="15"/>
  <c r="F7" i="7"/>
  <c r="F16" i="6"/>
  <c r="F45" i="6" s="1"/>
  <c r="F50" i="6" s="1"/>
  <c r="F21" i="6"/>
  <c r="F47" i="6" s="1"/>
  <c r="F44" i="6"/>
  <c r="H7" i="2"/>
  <c r="H24" i="1"/>
  <c r="H6" i="2" s="1"/>
  <c r="H23" i="1"/>
  <c r="H5" i="2" s="1"/>
  <c r="H22" i="1"/>
  <c r="K53" i="1"/>
  <c r="K70" i="1" s="1"/>
  <c r="K9" i="1" s="1"/>
  <c r="J70" i="1"/>
  <c r="J9" i="1" s="1"/>
  <c r="H88" i="3" l="1"/>
  <c r="H35" i="3" s="1"/>
  <c r="H64" i="3"/>
  <c r="B29" i="15"/>
  <c r="G17" i="2"/>
  <c r="G18" i="2" s="1"/>
  <c r="G20" i="2" s="1"/>
  <c r="G22" i="2" s="1"/>
  <c r="G16" i="6"/>
  <c r="G45" i="6" s="1"/>
  <c r="G50" i="6" s="1"/>
  <c r="G21" i="6"/>
  <c r="G47" i="6" s="1"/>
  <c r="G44" i="6"/>
  <c r="H11" i="2"/>
  <c r="F48" i="6"/>
  <c r="I7" i="2"/>
  <c r="I22" i="1"/>
  <c r="I23" i="1"/>
  <c r="I5" i="2" s="1"/>
  <c r="I24" i="1"/>
  <c r="I6" i="2" s="1"/>
  <c r="H10" i="2"/>
  <c r="F46" i="6"/>
  <c r="F21" i="7"/>
  <c r="B23" i="15"/>
  <c r="D35" i="8"/>
  <c r="D37" i="8" s="1"/>
  <c r="H26" i="8"/>
  <c r="H28" i="8" s="1"/>
  <c r="H29" i="8" s="1"/>
  <c r="H30" i="3"/>
  <c r="H104" i="3"/>
  <c r="H53" i="3"/>
  <c r="H7" i="3" s="1"/>
  <c r="H24" i="3"/>
  <c r="H15" i="3"/>
  <c r="J21" i="1"/>
  <c r="H15" i="6"/>
  <c r="F2" i="7"/>
  <c r="B2" i="15"/>
  <c r="G6" i="8"/>
  <c r="K21" i="1"/>
  <c r="I15" i="6"/>
  <c r="G100" i="3"/>
  <c r="I88" i="3" l="1"/>
  <c r="I64" i="3"/>
  <c r="I35" i="3"/>
  <c r="C35" i="15"/>
  <c r="G32" i="7"/>
  <c r="H13" i="2"/>
  <c r="E33" i="8"/>
  <c r="D38" i="8"/>
  <c r="D39" i="8" s="1"/>
  <c r="G8" i="8"/>
  <c r="G9" i="8"/>
  <c r="I16" i="6"/>
  <c r="I45" i="6" s="1"/>
  <c r="I50" i="6" s="1"/>
  <c r="I21" i="6"/>
  <c r="I47" i="6" s="1"/>
  <c r="I44" i="6"/>
  <c r="C15" i="15"/>
  <c r="G14" i="7"/>
  <c r="C7" i="15"/>
  <c r="G6" i="7"/>
  <c r="H22" i="3"/>
  <c r="H9" i="3"/>
  <c r="H55" i="3"/>
  <c r="H8" i="3" s="1"/>
  <c r="I72" i="3"/>
  <c r="I21" i="3" s="1"/>
  <c r="H16" i="6"/>
  <c r="H45" i="6" s="1"/>
  <c r="H50" i="6" s="1"/>
  <c r="H21" i="6"/>
  <c r="H47" i="6" s="1"/>
  <c r="H44" i="6"/>
  <c r="C24" i="15"/>
  <c r="G22" i="7"/>
  <c r="G48" i="6"/>
  <c r="I11" i="2"/>
  <c r="H14" i="3"/>
  <c r="I25" i="8"/>
  <c r="I27" i="8" s="1"/>
  <c r="K7" i="2"/>
  <c r="K22" i="1"/>
  <c r="K24" i="1"/>
  <c r="K6" i="2" s="1"/>
  <c r="K23" i="1"/>
  <c r="K5" i="2" s="1"/>
  <c r="J7" i="2"/>
  <c r="J23" i="1"/>
  <c r="J5" i="2" s="1"/>
  <c r="J22" i="1"/>
  <c r="J24" i="1"/>
  <c r="J6" i="2" s="1"/>
  <c r="I26" i="8"/>
  <c r="E35" i="8"/>
  <c r="I104" i="3"/>
  <c r="I30" i="3"/>
  <c r="D13" i="15"/>
  <c r="I53" i="3"/>
  <c r="I7" i="3" s="1"/>
  <c r="H6" i="7" s="1"/>
  <c r="I24" i="3"/>
  <c r="I15" i="3"/>
  <c r="D15" i="15" s="1"/>
  <c r="G12" i="7"/>
  <c r="C13" i="15"/>
  <c r="C30" i="15"/>
  <c r="G28" i="7"/>
  <c r="I10" i="2"/>
  <c r="G46" i="6"/>
  <c r="G11" i="3"/>
  <c r="H101" i="3"/>
  <c r="H100" i="3" s="1"/>
  <c r="H11" i="3" s="1"/>
  <c r="K88" i="3" l="1"/>
  <c r="K64" i="3"/>
  <c r="J88" i="3"/>
  <c r="J35" i="3" s="1"/>
  <c r="J64" i="3"/>
  <c r="H32" i="7"/>
  <c r="D35" i="15"/>
  <c r="H16" i="2"/>
  <c r="H25" i="3" s="1"/>
  <c r="H40" i="2"/>
  <c r="D40" i="8"/>
  <c r="C29" i="15"/>
  <c r="I13" i="2"/>
  <c r="H14" i="7"/>
  <c r="D7" i="15"/>
  <c r="H12" i="7"/>
  <c r="D30" i="15"/>
  <c r="H28" i="7"/>
  <c r="J10" i="2"/>
  <c r="H46" i="6"/>
  <c r="C11" i="15"/>
  <c r="B11" i="15"/>
  <c r="B28" i="15"/>
  <c r="F10" i="7"/>
  <c r="G10" i="7"/>
  <c r="H48" i="6"/>
  <c r="J11" i="2"/>
  <c r="J26" i="8"/>
  <c r="F35" i="8"/>
  <c r="J104" i="3"/>
  <c r="J30" i="3"/>
  <c r="J53" i="3"/>
  <c r="J7" i="3" s="1"/>
  <c r="E7" i="15" s="1"/>
  <c r="E13" i="15"/>
  <c r="J24" i="3"/>
  <c r="J15" i="3"/>
  <c r="E15" i="15" s="1"/>
  <c r="I48" i="6"/>
  <c r="K11" i="2"/>
  <c r="G8" i="7"/>
  <c r="C9" i="15"/>
  <c r="H5" i="8"/>
  <c r="G36" i="3"/>
  <c r="G39" i="3" s="1"/>
  <c r="G41" i="3" s="1"/>
  <c r="C22" i="15"/>
  <c r="G20" i="7"/>
  <c r="D21" i="15"/>
  <c r="H19" i="7"/>
  <c r="K10" i="2"/>
  <c r="K55" i="3" s="1"/>
  <c r="K8" i="3" s="1"/>
  <c r="I46" i="6"/>
  <c r="G35" i="8"/>
  <c r="K26" i="8"/>
  <c r="K104" i="3"/>
  <c r="K53" i="3"/>
  <c r="K7" i="3" s="1"/>
  <c r="K30" i="3"/>
  <c r="K24" i="3"/>
  <c r="K15" i="3"/>
  <c r="D24" i="15"/>
  <c r="H22" i="7"/>
  <c r="C14" i="15"/>
  <c r="G13" i="7"/>
  <c r="E37" i="8"/>
  <c r="I55" i="3"/>
  <c r="I8" i="3" s="1"/>
  <c r="D8" i="15" s="1"/>
  <c r="J72" i="3"/>
  <c r="J21" i="3" s="1"/>
  <c r="C8" i="15"/>
  <c r="G7" i="7"/>
  <c r="I28" i="8"/>
  <c r="I29" i="8" s="1"/>
  <c r="I9" i="3"/>
  <c r="H8" i="7" s="1"/>
  <c r="I22" i="3"/>
  <c r="I101" i="3"/>
  <c r="I100" i="3" s="1"/>
  <c r="I11" i="3" s="1"/>
  <c r="D11" i="15" s="1"/>
  <c r="K35" i="3" l="1"/>
  <c r="I32" i="7"/>
  <c r="E35" i="15"/>
  <c r="H17" i="2"/>
  <c r="H18" i="2" s="1"/>
  <c r="H20" i="2" s="1"/>
  <c r="C2" i="15" s="1"/>
  <c r="C23" i="15"/>
  <c r="G21" i="7"/>
  <c r="G27" i="7"/>
  <c r="I16" i="2"/>
  <c r="I40" i="2"/>
  <c r="H7" i="7"/>
  <c r="B45" i="15"/>
  <c r="B49" i="15" s="1"/>
  <c r="C47" i="15" s="1"/>
  <c r="I6" i="7"/>
  <c r="C28" i="15"/>
  <c r="I12" i="7"/>
  <c r="D22" i="15"/>
  <c r="H20" i="7"/>
  <c r="J55" i="3"/>
  <c r="J8" i="3" s="1"/>
  <c r="E8" i="15" s="1"/>
  <c r="K72" i="3"/>
  <c r="K21" i="3" s="1"/>
  <c r="F15" i="15"/>
  <c r="J14" i="7"/>
  <c r="I14" i="3"/>
  <c r="J25" i="8"/>
  <c r="J27" i="8" s="1"/>
  <c r="J28" i="8" s="1"/>
  <c r="J29" i="8" s="1"/>
  <c r="F24" i="15"/>
  <c r="J22" i="7"/>
  <c r="E24" i="15"/>
  <c r="I22" i="7"/>
  <c r="F13" i="15"/>
  <c r="J12" i="7"/>
  <c r="E21" i="15"/>
  <c r="I19" i="7"/>
  <c r="D9" i="15"/>
  <c r="H10" i="7"/>
  <c r="E30" i="15"/>
  <c r="I28" i="7"/>
  <c r="E38" i="8"/>
  <c r="E39" i="8" s="1"/>
  <c r="F33" i="8"/>
  <c r="F37" i="8" s="1"/>
  <c r="K13" i="2"/>
  <c r="J13" i="2"/>
  <c r="K22" i="3"/>
  <c r="K9" i="3"/>
  <c r="D28" i="15"/>
  <c r="F30" i="15"/>
  <c r="J28" i="7"/>
  <c r="F7" i="15"/>
  <c r="J6" i="7"/>
  <c r="I14" i="7"/>
  <c r="J22" i="3"/>
  <c r="J9" i="3"/>
  <c r="I8" i="7" s="1"/>
  <c r="J101" i="3"/>
  <c r="J100" i="3" s="1"/>
  <c r="J11" i="3" s="1"/>
  <c r="E11" i="15" s="1"/>
  <c r="J32" i="7" l="1"/>
  <c r="F35" i="15"/>
  <c r="G2" i="7"/>
  <c r="H22" i="2"/>
  <c r="H6" i="8"/>
  <c r="H9" i="8" s="1"/>
  <c r="C45" i="15"/>
  <c r="C52" i="15" s="1"/>
  <c r="K16" i="2"/>
  <c r="K40" i="2"/>
  <c r="J16" i="2"/>
  <c r="J25" i="3" s="1"/>
  <c r="J40" i="2"/>
  <c r="I17" i="2"/>
  <c r="I18" i="2" s="1"/>
  <c r="I20" i="2" s="1"/>
  <c r="E40" i="8"/>
  <c r="H27" i="7"/>
  <c r="E9" i="15"/>
  <c r="H8" i="8"/>
  <c r="B52" i="15"/>
  <c r="I7" i="7"/>
  <c r="E28" i="15"/>
  <c r="I10" i="7"/>
  <c r="H26" i="7"/>
  <c r="F22" i="15"/>
  <c r="J20" i="7"/>
  <c r="H13" i="7"/>
  <c r="D14" i="15"/>
  <c r="G33" i="8"/>
  <c r="G37" i="8" s="1"/>
  <c r="F38" i="8"/>
  <c r="F39" i="8" s="1"/>
  <c r="J14" i="3"/>
  <c r="K25" i="8"/>
  <c r="K27" i="8" s="1"/>
  <c r="K28" i="8" s="1"/>
  <c r="J17" i="2"/>
  <c r="J18" i="2" s="1"/>
  <c r="J20" i="2" s="1"/>
  <c r="F9" i="15"/>
  <c r="J8" i="7"/>
  <c r="E22" i="15"/>
  <c r="I20" i="7"/>
  <c r="F8" i="15"/>
  <c r="J7" i="7"/>
  <c r="F21" i="15"/>
  <c r="J19" i="7"/>
  <c r="K101" i="3"/>
  <c r="K100" i="3" s="1"/>
  <c r="K11" i="3" s="1"/>
  <c r="H36" i="3" l="1"/>
  <c r="H39" i="3" s="1"/>
  <c r="H41" i="3" s="1"/>
  <c r="D29" i="15"/>
  <c r="C49" i="15"/>
  <c r="D47" i="15" s="1"/>
  <c r="K17" i="2"/>
  <c r="K18" i="2" s="1"/>
  <c r="K20" i="2" s="1"/>
  <c r="J2" i="7" s="1"/>
  <c r="D23" i="15"/>
  <c r="H21" i="7"/>
  <c r="I25" i="3"/>
  <c r="I31" i="3" s="1"/>
  <c r="H2" i="7"/>
  <c r="H42" i="7" s="1"/>
  <c r="H49" i="7" s="1"/>
  <c r="D2" i="15"/>
  <c r="I6" i="8"/>
  <c r="I9" i="8" s="1"/>
  <c r="I22" i="2"/>
  <c r="K14" i="3"/>
  <c r="F14" i="15" s="1"/>
  <c r="K29" i="8"/>
  <c r="F40" i="8"/>
  <c r="J31" i="3"/>
  <c r="F28" i="15"/>
  <c r="I26" i="7"/>
  <c r="I5" i="8"/>
  <c r="E14" i="15"/>
  <c r="E2" i="15"/>
  <c r="J22" i="2"/>
  <c r="J6" i="8"/>
  <c r="I2" i="7"/>
  <c r="I13" i="7"/>
  <c r="F23" i="15"/>
  <c r="J21" i="7"/>
  <c r="I21" i="7"/>
  <c r="E23" i="15"/>
  <c r="G38" i="8"/>
  <c r="G39" i="8" s="1"/>
  <c r="K25" i="3"/>
  <c r="J10" i="7"/>
  <c r="F11" i="15"/>
  <c r="J26" i="7"/>
  <c r="F26" i="7"/>
  <c r="F42" i="7" s="1"/>
  <c r="F49" i="7" s="1"/>
  <c r="G31" i="3"/>
  <c r="G42" i="3" s="1"/>
  <c r="G26" i="7"/>
  <c r="G42" i="7" s="1"/>
  <c r="G49" i="7" s="1"/>
  <c r="D45" i="15" l="1"/>
  <c r="D52" i="15" s="1"/>
  <c r="K22" i="2"/>
  <c r="K6" i="8"/>
  <c r="K9" i="8" s="1"/>
  <c r="F2" i="15"/>
  <c r="I8" i="8"/>
  <c r="J9" i="8"/>
  <c r="J13" i="7"/>
  <c r="E29" i="15"/>
  <c r="E45" i="15" s="1"/>
  <c r="E52" i="15" s="1"/>
  <c r="I27" i="7"/>
  <c r="I42" i="7" s="1"/>
  <c r="I49" i="7" s="1"/>
  <c r="G40" i="8"/>
  <c r="J27" i="7"/>
  <c r="J42" i="7" s="1"/>
  <c r="J49" i="7" s="1"/>
  <c r="E16" i="12"/>
  <c r="E40" i="12" s="1"/>
  <c r="D16" i="12"/>
  <c r="D40" i="12" s="1"/>
  <c r="F46" i="7"/>
  <c r="G44" i="7" s="1"/>
  <c r="G46" i="7" s="1"/>
  <c r="C16" i="12"/>
  <c r="K31" i="3" l="1"/>
  <c r="D49" i="15"/>
  <c r="E47" i="15" s="1"/>
  <c r="E49" i="15" s="1"/>
  <c r="F47" i="15" s="1"/>
  <c r="I36" i="3"/>
  <c r="I39" i="3" s="1"/>
  <c r="I41" i="3" s="1"/>
  <c r="I42" i="3" s="1"/>
  <c r="F29" i="15"/>
  <c r="F45" i="15" s="1"/>
  <c r="F52" i="15" s="1"/>
  <c r="J5" i="8"/>
  <c r="J8" i="8" s="1"/>
  <c r="G16" i="12"/>
  <c r="G40" i="12" s="1"/>
  <c r="F16" i="12"/>
  <c r="F40" i="12" s="1"/>
  <c r="G6" i="3"/>
  <c r="G10" i="3" s="1"/>
  <c r="G16" i="3" s="1"/>
  <c r="B54" i="15" s="1"/>
  <c r="H44" i="7"/>
  <c r="H46" i="7" s="1"/>
  <c r="H6" i="3"/>
  <c r="H10" i="3" s="1"/>
  <c r="H16" i="3" s="1"/>
  <c r="F49" i="15" l="1"/>
  <c r="K5" i="8"/>
  <c r="K8" i="8" s="1"/>
  <c r="J36" i="3"/>
  <c r="J39" i="3" s="1"/>
  <c r="J41" i="3" s="1"/>
  <c r="J42" i="3" s="1"/>
  <c r="G44" i="3"/>
  <c r="H31" i="3"/>
  <c r="H42" i="3" s="1"/>
  <c r="I44" i="7"/>
  <c r="I46" i="7" s="1"/>
  <c r="I6" i="3"/>
  <c r="I10" i="3" s="1"/>
  <c r="I16" i="3" s="1"/>
  <c r="D54" i="15" s="1"/>
  <c r="K36" i="3" l="1"/>
  <c r="K39" i="3" s="1"/>
  <c r="K41" i="3" s="1"/>
  <c r="K42" i="3" s="1"/>
  <c r="H44" i="3"/>
  <c r="C54" i="15"/>
  <c r="I44" i="3"/>
  <c r="J44" i="7"/>
  <c r="J46" i="7" s="1"/>
  <c r="K6" i="3" s="1"/>
  <c r="K10" i="3" s="1"/>
  <c r="K16" i="3" s="1"/>
  <c r="J6" i="3"/>
  <c r="J10" i="3" s="1"/>
  <c r="J16" i="3" s="1"/>
  <c r="E54" i="15" s="1"/>
  <c r="D23" i="10"/>
  <c r="D27" i="10" s="1"/>
  <c r="D35" i="10" s="1"/>
  <c r="D38" i="10" s="1"/>
  <c r="F54" i="15" l="1"/>
  <c r="B3" i="12"/>
  <c r="C41" i="12" s="1"/>
  <c r="B30" i="12"/>
  <c r="B52" i="12"/>
  <c r="K44" i="3"/>
  <c r="J44" i="3"/>
  <c r="B21" i="12" l="1"/>
  <c r="B22" i="12" s="1"/>
  <c r="C17" i="12"/>
  <c r="G41" i="12"/>
  <c r="B43" i="12"/>
  <c r="B44" i="12" s="1"/>
  <c r="G17" i="12"/>
  <c r="D41" i="12"/>
  <c r="D17" i="12"/>
  <c r="E17" i="12"/>
  <c r="F41" i="12"/>
  <c r="F17" i="12"/>
  <c r="E41" i="12"/>
  <c r="B31" i="12"/>
  <c r="B32" i="12" s="1"/>
  <c r="B33" i="12" s="1"/>
  <c r="B29" i="12"/>
  <c r="B28" i="12" s="1"/>
  <c r="B27" i="12" s="1"/>
  <c r="B53" i="12"/>
  <c r="B54" i="12" s="1"/>
  <c r="B55" i="12" s="1"/>
  <c r="B51" i="12"/>
  <c r="B50" i="12" s="1"/>
  <c r="B49" i="12" s="1"/>
  <c r="B45" i="12" l="1"/>
  <c r="B46" i="12" s="1"/>
  <c r="B48" i="12" s="1"/>
  <c r="B23" i="12"/>
  <c r="B24" i="12" s="1"/>
  <c r="B8" i="12" s="1"/>
  <c r="I8" i="12" s="1"/>
  <c r="B9" i="12" l="1"/>
  <c r="I9" i="12" s="1"/>
  <c r="E19" i="11"/>
  <c r="E21" i="11" s="1"/>
  <c r="E23" i="11" s="1"/>
  <c r="E15" i="11" s="1"/>
  <c r="B26" i="12"/>
  <c r="E18" i="11"/>
  <c r="E20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sravan vemireddy</author>
  </authors>
  <commentList>
    <comment ref="N30" authorId="0" shapeId="0" xr:uid="{D35C4DC3-7765-4294-9C76-8A858B1D16A7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U.S. Industrial Production (TradingEconomics, 2025 ~1.5%), Data-center CAPEX (~25% CAGR, McKinsey/Business Insider 2025), Water CAPEX (+15%, S&amp;P Global).</t>
        </r>
      </text>
    </comment>
    <comment ref="N35" authorId="0" shapeId="0" xr:uid="{C1549C79-CF97-4F44-9DAC-08172C534164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Euro Area Industrial Production (~1.8% avg 2025-26, TradingEconomics), EU Green Deal CAPEX programs (European Commission estimates).</t>
        </r>
      </text>
    </comment>
    <comment ref="N40" authorId="0" shapeId="0" xr:uid="{38247C1D-BE4A-4E08-A7F1-EE34952B1DB1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Data-center market in Asia-Pacific projected at ~21.8% CAGR (2025-2030) 
Mordor Intelligence
+2
Research and Markets
+2
Water treatment equipment market in Asia-Pacific projected ~6.2% CAGR (2025-2034) 
Global Market Insights Inc.
Regional GDP growth forecast ~4.5% for 2025</t>
        </r>
      </text>
    </comment>
    <comment ref="N42" authorId="0" shapeId="0" xr:uid="{CEC40FEF-647C-4B2B-A1B4-61D44AD4A575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CEPAL (2025 GDP +2.2%), Meticulous Research (LA Water &amp; Wastewater ~5.9% CAGR 2025-2032)
</t>
        </r>
      </text>
    </comment>
    <comment ref="N44" authorId="0" shapeId="0" xr:uid="{BEA40119-9E30-433F-97D7-3009C5F37D46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IMF (World Economic Outlook 2025 ~4.5%), Grand View Research (China Industrial Water Treatment ~7%), Mordor Intelligence (Data-Center Water ~8.7%).</t>
        </r>
      </text>
    </comment>
    <comment ref="N46" authorId="0" shapeId="0" xr:uid="{9E9409D4-A234-40BE-AE4F-5D1039B7724F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IMF (WEO Apr 2025), S&amp;P Global (IMEA Water Infrastructure ~4.1% CAGR), Research and Markets (ME Data-Centers ~14% CAGR).</t>
        </r>
      </text>
    </comment>
    <comment ref="N48" authorId="0" shapeId="0" xr:uid="{058B5AAE-EF63-4720-8D0B-9CA33CC2B9A3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IMF (2025 GDP ~1.4%), Mordor Intelligence (Canada Data Center ~14.2%), Mordor Intelligence (Water Consumption ~8%).
</t>
        </r>
      </text>
    </comment>
    <comment ref="N54" authorId="0" shapeId="0" xr:uid="{1C8137BA-05E1-4C65-A4F3-52E5F7E63EB6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Fortune Business Insights – U.S. Food Service Market (~7.0% CAGR, 2025-2032)</t>
        </r>
      </text>
    </comment>
    <comment ref="N59" authorId="0" shapeId="0" xr:uid="{4AD0B166-6608-4652-8A71-6D1F96C94F37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Future Market Insights – EU I&amp;I Cleaning Products (~7.2% CAGR, 2025-2035); Fortune Business Insights – Europe Cleaning Services (~5.7% CAGR, 2024-2032)</t>
        </r>
      </text>
    </comment>
    <comment ref="N61" authorId="0" shapeId="0" xr:uid="{4587AC6E-9424-46D4-B7C1-92A62BB4E262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Fact.MR – Global Food Service Market (~5.3% CAGR, 2025-2035); Mordor Intelligence – APAC Cleaning Market (~5.8% CAGR, 2025-2030)</t>
        </r>
      </text>
    </comment>
    <comment ref="N63" authorId="0" shapeId="0" xr:uid="{3B21BB15-034A-4C7C-87B2-867EE2DB6CD3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Grand View Research – Latin America Cleaning Services Market (~6.6% CAGR, 2025-2030)</t>
        </r>
      </text>
    </comment>
    <comment ref="N65" authorId="0" shapeId="0" xr:uid="{5D0D8777-BE67-4226-B80B-B2CDFDC7D2AA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Mordor Intelligence – China Food Service Market (~5.1% CAGR, 2025-2030); Statista – Hotel &amp; Hospitality Revenue Outlook</t>
        </r>
      </text>
    </comment>
    <comment ref="N67" authorId="0" shapeId="0" xr:uid="{B3D6655A-0D39-456A-AF2F-02B1A861468F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Grand View Research – India I&amp;I Cleaning Chemicals Market (~8.9% CAGR, 2025-2033); Fortune Business Insights – Europe &amp; ME Cleaning Services (~5.7% CAGR)</t>
        </r>
      </text>
    </comment>
    <comment ref="N69" authorId="0" shapeId="0" xr:uid="{334854F4-D3EA-4B54-9821-1C4007B4906B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Statista – Canadian Restaurant Industry Outlook (~4.5% CAGR, 2025-2029)</t>
        </r>
      </text>
    </comment>
    <comment ref="N75" authorId="0" shapeId="0" xr:uid="{392FE002-91D6-4CE3-88D0-8A91AB1D3FC6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IBISWorld – U.S. Hospitals Industry Growth 2025–2029 (~5.5%), Grand View Research – U.S. Biopharma Market (~6.4% CAGR, 2025–2030)</t>
        </r>
      </text>
    </comment>
    <comment ref="N77" authorId="0" shapeId="0" xr:uid="{57BCE98F-ED94-40C5-BDEB-CF722811E5D6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Statista – EU Healthcare Spending Forecast (~4.3% CAGR), GlobalData – Europe Biopharma Market Outlook 2025–2030</t>
        </r>
      </text>
    </comment>
    <comment ref="N79" authorId="0" shapeId="0" xr:uid="{5C4A8012-7C31-4DE8-8829-FED6ECD1428A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McKinsey – APAC Healthcare Outlook 2025 (~6–8% CAGR), Mordor Intelligence – APAC Biopharmaceutical Market (~7.1% CAGR)</t>
        </r>
      </text>
    </comment>
    <comment ref="N81" authorId="0" shapeId="0" xr:uid="{C8E42D8D-A9E1-4B13-8CA8-ECFB6E6D5692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Fitch Solutions – LatAm Healthcare Forecast 2025 (~3.8%), Statista – Hospital Industry Growth Brazil/Mexico</t>
        </r>
      </text>
    </comment>
    <comment ref="N83" authorId="0" shapeId="0" xr:uid="{951A6FBF-98EF-4126-8F5A-6C618C85E46F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Grand View Research – China Biopharma Market (~8.5% CAGR, 2025–2030), Statista – Healthcare Expenditure China (~5.2% CAGR)</t>
        </r>
      </text>
    </comment>
    <comment ref="N85" authorId="0" shapeId="0" xr:uid="{8A8C609F-B0B0-43DC-A1E3-ACF08F139E8D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Invest India – Healthcare Sector Outlook 2025 (~8.8% CAGR), MEED – MENA Healthcare Projects (~6.5% CAGR)</t>
        </r>
      </text>
    </comment>
    <comment ref="N87" authorId="0" shapeId="0" xr:uid="{ADC21EFE-01FA-4A43-84B2-49527AD05845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Statista – Canadian Healthcare Expenditure Forecast (~3.6%), BioTalent Canada – Life Sciences Growth Outlook (~4.8%)</t>
        </r>
      </text>
    </comment>
    <comment ref="N93" authorId="0" shapeId="0" xr:uid="{316670BA-961C-47CA-A374-B3C6D1F1DC95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IBISWorld – U.S. Exterminating &amp; Pest Control Industry (~4.8% CAGR, 2025–2030); Grand View Research – U.S. Pest Control Market (~5.2% CAGR, 2024–2030)</t>
        </r>
      </text>
    </comment>
    <comment ref="N95" authorId="0" shapeId="0" xr:uid="{F7012FB7-5984-45D1-82AF-EB6A50AF455B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Mordor Intelligence – Europe Pest Control Market (~4.2% CAGR, 2025–2030)</t>
        </r>
      </text>
    </comment>
    <comment ref="N97" authorId="0" shapeId="0" xr:uid="{A8D7B68D-6712-4B92-AA25-C348DE68CC3C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Grand View Research – APAC Pest Control Market (~6.3% CAGR, 2025–2030)</t>
        </r>
      </text>
    </comment>
    <comment ref="N99" authorId="0" shapeId="0" xr:uid="{D766E321-DE27-4A3D-BD0D-2BA79F793ABC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Market Research Future – Latin America Pest Control Market (~4.6% CAGR, 2024–2032)</t>
        </r>
      </text>
    </comment>
    <comment ref="N101" authorId="0" shapeId="0" xr:uid="{DD18FB9F-912C-4F20-BFE9-DA3BE6627887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Mordor Intelligence – China Pest Control Market (~5.1% CAGR, 2025–2030)</t>
        </r>
      </text>
    </comment>
    <comment ref="N103" authorId="0" shapeId="0" xr:uid="{06ED7399-194A-4A9B-BA8D-23E4B5E687DE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Research and Markets – India Pest Control Services (~6.2% CAGR, 2024–2030); MEED Projects – MENA Facilities Management Outlook</t>
        </r>
      </text>
    </comment>
    <comment ref="N105" authorId="0" shapeId="0" xr:uid="{1BA36E4E-FF6B-424C-95A9-B99BCDAEEBA7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IBISWorld – Canada Pest Control Industry (~3.4% CAGR, 2025–2030)
</t>
        </r>
      </text>
    </comment>
    <comment ref="N111" authorId="0" shapeId="0" xr:uid="{791BFC05-7E2A-4ADE-97BA-F23299271E7D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Ecolab 10-K &amp; 2024 Annual Report (Corporate revenue –$42.5 M in 2024 vs. $89 M in 2023).</t>
        </r>
      </text>
    </comment>
    <comment ref="N113" authorId="0" shapeId="0" xr:uid="{9007382B-A07C-4D94-972B-A8E6728E4862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Ecolab Segment Note (10-K 2024).</t>
        </r>
      </text>
    </comment>
    <comment ref="N115" authorId="0" shapeId="0" xr:uid="{7CAAB14F-9D6E-4352-B90F-9166E8A10A89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Ecolab 10-K 2024.</t>
        </r>
      </text>
    </comment>
    <comment ref="N117" authorId="0" shapeId="0" xr:uid="{F56A26EE-9739-43E6-B0EF-D92022E361F9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Ecolab 10-K 2024.</t>
        </r>
      </text>
    </comment>
    <comment ref="N119" authorId="0" shapeId="0" xr:uid="{0E651D5D-4365-4BB5-B519-7717E0B808BC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Ecolab 10-K 2024.</t>
        </r>
      </text>
    </comment>
    <comment ref="N121" authorId="0" shapeId="0" xr:uid="{8CF40C63-B91C-4715-AA6D-B266463876AA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Ecolab 10-K 2024.</t>
        </r>
      </text>
    </comment>
    <comment ref="N123" authorId="0" shapeId="0" xr:uid="{ACABE7EC-7E3B-4F82-A686-C7C7EA314A34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Ecolab 10-K 2024.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sravan vemireddy</author>
  </authors>
  <commentList>
    <comment ref="N54" authorId="0" shapeId="0" xr:uid="{CBA323B7-F28C-462C-BDDC-2A75C9BD4E97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“Consistent collections performance and stable credit quality across customer base.” (2024 10-K MD&amp;A)</t>
        </r>
      </text>
    </comment>
    <comment ref="N56" authorId="0" shapeId="0" xr:uid="{71086FCF-ADA3-4B3C-9431-3197D7E00FAD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Supply chain efficiency improved with normalized inventory levels.” (2023 10-K MD&amp;A)</t>
        </r>
      </text>
    </comment>
    <comment ref="N59" authorId="0" shapeId="0" xr:uid="{A038D7DD-14D2-432E-902B-16D72AC97F92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Capital expenditures totaled $994.5 million in 2024, or ~6% of net sales, reflecting elevated digital and manufacturing investments.</t>
        </r>
      </text>
    </comment>
    <comment ref="N60" authorId="0" shapeId="0" xr:uid="{BD67ADF5-6C49-41C3-A506-0CA3AAA5180C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“No goodwill impairments recognized; no significant acquisitions completed in 2024.” (Note 9, 2024 10-K)</t>
        </r>
      </text>
    </comment>
    <comment ref="N64" authorId="0" shapeId="0" xr:uid="{01FAABC0-193F-41E1-9180-A617B5800038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“Amortization of finite-lived intangibles continued; portfolio stable following Purolite.” (Note 10, 2024 10-K)</t>
        </r>
      </text>
    </comment>
    <comment ref="N66" authorId="0" shapeId="0" xr:uid="{1AF5E50D-C950-4767-A430-9ADBAEB04B3F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“Other assets include long-term receivables and deferred items with minimal change year-over-year.” (2024 10-K Note 7)</t>
        </r>
      </text>
    </comment>
    <comment ref="N72" authorId="0" shapeId="0" xr:uid="{016D8C76-70F5-4EE1-A7A5-12A0351D2C9F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“Payables aligned with COGS trends; payment terms remain consistent.” (2024 10-K MD&amp;A – Working Capital)</t>
        </r>
      </text>
    </comment>
    <comment ref="N79" authorId="0" shapeId="0" xr:uid="{0BDF5FF1-CD22-43D8-A031-C6C6474A65B3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“Pension obligations remain well-funded with no material change.” (Note 14, 2024 10-K)</t>
        </r>
      </text>
    </comment>
    <comment ref="N87" authorId="0" shapeId="0" xr:uid="{49AA297D-ACCB-4ADB-BB1E-E964D003982B}">
      <text>
        <r>
          <rPr>
            <b/>
            <sz val="9"/>
            <color indexed="81"/>
            <rFont val="Tahoma"/>
            <family val="2"/>
          </rPr>
          <t>sravan vemireddy:</t>
        </r>
        <r>
          <rPr>
            <sz val="9"/>
            <color indexed="81"/>
            <rFont val="Tahoma"/>
            <family val="2"/>
          </rPr>
          <t xml:space="preserve">
“Share-based compensation expense $75.9 million YTD June 2025.”</t>
        </r>
      </text>
    </comment>
    <comment ref="B101" authorId="0" shapeId="0" xr:uid="{56BA74A9-3BA3-4B69-B8D9-0160EE884966}">
      <text>
        <r>
          <rPr>
            <b/>
            <sz val="9"/>
            <color indexed="81"/>
            <rFont val="Tahoma"/>
          </rPr>
          <t>sravan vemireddy:</t>
        </r>
        <r>
          <rPr>
            <sz val="9"/>
            <color indexed="81"/>
            <rFont val="Tahoma"/>
          </rPr>
          <t xml:space="preserve">
Given in 10-k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sravan vemireddy</author>
  </authors>
  <commentList>
    <comment ref="N7" authorId="0" shapeId="0" xr:uid="{195736ED-B844-4983-8892-86E16A391EE1}">
      <text>
        <r>
          <rPr>
            <b/>
            <sz val="9"/>
            <color indexed="81"/>
            <rFont val="Tahoma"/>
          </rPr>
          <t>sravan vemireddy:</t>
        </r>
        <r>
          <rPr>
            <sz val="9"/>
            <color indexed="81"/>
            <rFont val="Tahoma"/>
          </rPr>
          <t xml:space="preserve">
Dividend declared 2024 = $2.36 per share vs $2.16 in 2023 → +9 % YoY. Ecolab has raised dividends for &gt;30 consecutive years (14 % increase Q1 2024). Long-term dividend growth historically 2–5 %.</t>
        </r>
      </text>
    </comment>
    <comment ref="N17" authorId="0" shapeId="0" xr:uid="{5E69C8CA-8979-41C5-9D49-118F2896B883}">
      <text>
        <r>
          <rPr>
            <b/>
            <sz val="9"/>
            <color indexed="81"/>
            <rFont val="Tahoma"/>
          </rPr>
          <t>sravan vemireddy:</t>
        </r>
        <r>
          <rPr>
            <sz val="9"/>
            <color indexed="81"/>
            <rFont val="Tahoma"/>
          </rPr>
          <t xml:space="preserve">
2024 actual = –$189 M (10-K “Reacquired shares”) + small reissuances ≈ + $2 M → net ≈ –$187 M. For 2025–2029 you scale modestly (+3–5 % per year) to reflect buybacks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<sst xmlns="http://schemas.openxmlformats.org/spreadsheetml/2006/main" count="1166" uniqueCount="486">
  <si>
    <t>ASSETS</t>
  </si>
  <si>
    <t>Cash and cash equivalents</t>
  </si>
  <si>
    <t>Accounts receivable, net</t>
  </si>
  <si>
    <t>Inventories</t>
  </si>
  <si>
    <t>Other current assets</t>
  </si>
  <si>
    <t>Total current assets</t>
  </si>
  <si>
    <t>Goodwill</t>
  </si>
  <si>
    <t>Other intangible assets, net</t>
  </si>
  <si>
    <t>Operating lease assets</t>
  </si>
  <si>
    <t>Other assets</t>
  </si>
  <si>
    <t>Total assets</t>
  </si>
  <si>
    <t>LIABILITIES AND EQUITY</t>
  </si>
  <si>
    <t>Short-term debt</t>
  </si>
  <si>
    <t>Accounts payable</t>
  </si>
  <si>
    <t>Compensation and benefits</t>
  </si>
  <si>
    <t>Other current liabilities</t>
  </si>
  <si>
    <t>Total current liabilities</t>
  </si>
  <si>
    <t>Long-term debt</t>
  </si>
  <si>
    <t>Deferred income taxes</t>
  </si>
  <si>
    <t>Operating lease liabilities</t>
  </si>
  <si>
    <t>Other liabilities</t>
  </si>
  <si>
    <t>Total liabilities</t>
  </si>
  <si>
    <t>Common stock ($1 par value)</t>
  </si>
  <si>
    <t>Additional paid-in capital</t>
  </si>
  <si>
    <t>Retained earnings</t>
  </si>
  <si>
    <t>Treasury stock</t>
  </si>
  <si>
    <t>Total Ecolab shareholders’ equity</t>
  </si>
  <si>
    <t>Total equity</t>
  </si>
  <si>
    <t>Total liabilities and equity</t>
  </si>
  <si>
    <t>Current assets</t>
  </si>
  <si>
    <t>Property, plant and equipment, net</t>
  </si>
  <si>
    <t>Current liabilities</t>
  </si>
  <si>
    <t>Income taxes</t>
  </si>
  <si>
    <t>Pension and post-retirement benefits</t>
  </si>
  <si>
    <t>Equity</t>
  </si>
  <si>
    <t>Accumulated other comprehensive loss</t>
  </si>
  <si>
    <t>Noncontrolling interest</t>
  </si>
  <si>
    <t>Product and equipment sales</t>
  </si>
  <si>
    <t>Service and lease sales</t>
  </si>
  <si>
    <t>Net sales</t>
  </si>
  <si>
    <t>Product and equipment cost of sales</t>
  </si>
  <si>
    <t>Service and lease cost of sales</t>
  </si>
  <si>
    <t>Selling, general and administrative expenses</t>
  </si>
  <si>
    <t>Special (gains) and charges</t>
  </si>
  <si>
    <t>Operating income</t>
  </si>
  <si>
    <t>Other (income) expense</t>
  </si>
  <si>
    <t>Interest expense, net</t>
  </si>
  <si>
    <t>Income before income taxes</t>
  </si>
  <si>
    <t>Provision for income taxes</t>
  </si>
  <si>
    <t>Net income including noncontrolling interest</t>
  </si>
  <si>
    <t>Net income attributable to noncontrolling interest</t>
  </si>
  <si>
    <t>Net income attributable to Ecolab</t>
  </si>
  <si>
    <t>Net loss from discontinued operations, net of tax</t>
  </si>
  <si>
    <t>Net income (loss) attributable to Ecolab (total)</t>
  </si>
  <si>
    <t>Segment</t>
  </si>
  <si>
    <t>Global Industrial</t>
  </si>
  <si>
    <t>Global Institutional &amp; Specialty</t>
  </si>
  <si>
    <t>Global Healthcare &amp; Life Sciences</t>
  </si>
  <si>
    <t>Product &amp; Equipment Sales</t>
  </si>
  <si>
    <t>Service &amp; Lease Sales</t>
  </si>
  <si>
    <t>Global Pest Elimination / Other</t>
  </si>
  <si>
    <t>Corporate (ChampionX and other)</t>
  </si>
  <si>
    <t>–</t>
  </si>
  <si>
    <t>Total Net Sales</t>
  </si>
  <si>
    <t>Total Product &amp; Equipment</t>
  </si>
  <si>
    <t>Total Service &amp; Lease</t>
  </si>
  <si>
    <t>Grand Total Net Sales</t>
  </si>
  <si>
    <t>Industrial water treatment, AI data center cooling, sustainability</t>
  </si>
  <si>
    <t>Hospitality rebound, digital dishwashing (DishIQ), food safety</t>
  </si>
  <si>
    <t>Biopharma purification, infection prevention</t>
  </si>
  <si>
    <t>Predictive pest tech, commercial footprint expansion</t>
  </si>
  <si>
    <t>Non-core</t>
  </si>
  <si>
    <t>The segment’s 2024 drop was likely a one-off portfolio optimization.</t>
  </si>
  <si>
    <t>Sunset of ChampionX contract by 2024</t>
  </si>
  <si>
    <t>Region</t>
  </si>
  <si>
    <t>United States</t>
  </si>
  <si>
    <t>Europe</t>
  </si>
  <si>
    <t>Asia Pacific</t>
  </si>
  <si>
    <t>Latin America</t>
  </si>
  <si>
    <t>Greater China</t>
  </si>
  <si>
    <t>India, Middle East &amp; Africa</t>
  </si>
  <si>
    <t>Canada</t>
  </si>
  <si>
    <t>Total</t>
  </si>
  <si>
    <r>
      <t xml:space="preserve">🏢 </t>
    </r>
    <r>
      <rPr>
        <b/>
        <sz val="11"/>
        <color theme="1"/>
        <rFont val="Aptos Narrow"/>
        <family val="2"/>
        <scheme val="minor"/>
      </rPr>
      <t>Corporate</t>
    </r>
  </si>
  <si>
    <r>
      <t xml:space="preserve">🪳 </t>
    </r>
    <r>
      <rPr>
        <b/>
        <sz val="11"/>
        <color theme="1"/>
        <rFont val="Aptos Narrow"/>
        <family val="2"/>
        <scheme val="minor"/>
      </rPr>
      <t>Global Pest Elimination / Other</t>
    </r>
  </si>
  <si>
    <r>
      <t xml:space="preserve">🧬 </t>
    </r>
    <r>
      <rPr>
        <b/>
        <sz val="11"/>
        <color theme="1"/>
        <rFont val="Aptos Narrow"/>
        <family val="2"/>
        <scheme val="minor"/>
      </rPr>
      <t>Global Healthcare &amp; Life Sciences</t>
    </r>
  </si>
  <si>
    <r>
      <t xml:space="preserve">🏨 </t>
    </r>
    <r>
      <rPr>
        <b/>
        <sz val="11"/>
        <color theme="1"/>
        <rFont val="Aptos Narrow"/>
        <family val="2"/>
        <scheme val="minor"/>
      </rPr>
      <t>Global Institutional &amp; Specialty</t>
    </r>
  </si>
  <si>
    <r>
      <t xml:space="preserve">🏭 </t>
    </r>
    <r>
      <rPr>
        <b/>
        <sz val="11"/>
        <color theme="1"/>
        <rFont val="Aptos Narrow"/>
        <family val="2"/>
        <scheme val="minor"/>
      </rPr>
      <t>Global Industrial</t>
    </r>
  </si>
  <si>
    <t>YoY growth</t>
  </si>
  <si>
    <t>Supported by steady industrial output (~1–2%) and surging AI/data-center &amp; sustainability investment (~20–25% CAGR) driving higher-margin water and energy-efficiency demand.</t>
  </si>
  <si>
    <t>Modest industrial production (~1–2%) growth, lifted slightly by EU Green Deal water &amp; sustainability infrastructure investments.</t>
  </si>
  <si>
    <t>Industrial production and GDP in the region are modest (~4–4.5%) but are uplifted by high-growth tailwinds from data-center build-out (~13–21% CAGR) and water treatment/infrastructure (~6%+ CAGR).</t>
  </si>
  <si>
    <t>Regional GDP around 2.2–2.3% and industrial water/wastewater markets expanding ~5–6% CAGR, yielding mid-single-digit potential.</t>
  </si>
  <si>
    <t>Slowing macro (~4.5% GDP) offset by industrial water-treatment (~7% CAGR) and data-center build-outs (~8–9% CAGR) sustaining mid-single-digit Industrial growth.</t>
  </si>
  <si>
    <t>High-growth mix — India GDP 6.6%, MENA GDP ~3%, combined with regional water infrastructure (~4% CAGR) and digital/data-center CAPEX (~12–16% CAGR).</t>
  </si>
  <si>
    <t>Stable economy (GDP ~1.5%) but boosted by data-center (~14% CAGR) and industrial water (~4–6% CAGR) growth, keeping revenue above national output.</t>
  </si>
  <si>
    <t>Strong recovery and expansion in food service &amp; hospitality (~7% CAGR) and institutional cleaning demand sustain mid-single-digit revenue growth.</t>
  </si>
  <si>
    <t>Moderate growth as hospitality and cleaning services (~5–7% CAGR) rebound under EU sustainability &amp; hygiene mandates.</t>
  </si>
  <si>
    <t>Expanding food-service &amp; hospitality sectors (~5–6% CAGR) plus rising hygiene infrastructure spending drive above-average growth.</t>
  </si>
  <si>
    <t>Institutional &amp; cleaning service demand expanding ~6–7% CAGR across Mexico, Brazil, and Chile supports steady regional growth.</t>
  </si>
  <si>
    <t>Continued urban food-service expansion and government hygiene standards yield steady mid-single-digit growth.</t>
  </si>
  <si>
    <t>Rapid hospitality and institutional cleaning growth (~8–9% CAGR) and new infrastructure investments deliver strong momentum.</t>
  </si>
  <si>
    <t>Mature but stable hospitality and institutional services (~4–5% CAGR) with incremental sustainability adoption.</t>
  </si>
  <si>
    <t>Healthcare investment recovery (~3–4%) supported by expanding private hospital chains and medical device imports.</t>
  </si>
  <si>
    <t>Growth led by steady hospital spending (~5–6% CAGR) and strong demand in biopharma &amp; life sciences purification (~6–7% CAGR).</t>
  </si>
  <si>
    <t>Stable healthcare expenditure (~4–5%) and EU-funded biotech expansion sustain moderate growth.</t>
  </si>
  <si>
    <t>Rapid hospital infrastructure buildout and biotech/pharma CAPEX (~7–8% CAGR) fuel above-average growth.</t>
  </si>
  <si>
    <t>Strong biopharma manufacturing &amp; life-sciences purification (~8–9% CAGR) offset by slower hospital spending (~5%).</t>
  </si>
  <si>
    <t>Fastest growth from India healthcare (~8–9%) and Gulf life-sciences infrastructure (~6–7%) investments.</t>
  </si>
  <si>
    <t>Mature hospital systems (~3–4%) complemented by gradual life-sciences cluster expansion (~5%).</t>
  </si>
  <si>
    <t>Mature, regulated pest-control market (~3–4%) aligned with food safety and retail hygiene compliance.</t>
  </si>
  <si>
    <t>Commercial pest control and sanitation services growing steadily (~5% CAGR) driven by food safety compliance and hospitality reopening.</t>
  </si>
  <si>
    <t>EU pest control and hygiene markets expand (~4–4.5%) aided by tightened food safety and sanitation regulations.</t>
  </si>
  <si>
    <t>Strong structural growth from urbanization, food processing expansion, and pest management outsourcing (~6–7% CAGR).</t>
  </si>
  <si>
    <t>Rising pest control penetration in foodservice, agriculture, and manufacturing sectors (~4–5% CAGR).</t>
  </si>
  <si>
    <t>Expanding urban food chains and hygiene regulations (~5% CAGR) drive steady pest elimination service growth.</t>
  </si>
  <si>
    <t>Growth led by India pest management (~6.2% CAGR) and Gulf hygiene infrastructure expansion in hospitality &amp; logistics.</t>
  </si>
  <si>
    <t>U.S. HQ eliminations and internal service charges likely remain flat or slightly negative, mirroring Ecolab’s historic corporate consolidation adjustments.</t>
  </si>
  <si>
    <t>Minimal growth as regional eliminations balance intra-segment allocations.</t>
  </si>
  <si>
    <t>Flat corporate activity; administrative costs offset intercompany sales adjustments.</t>
  </si>
  <si>
    <t>No direct external revenue; maintained flat for modeling simplicity.</t>
  </si>
  <si>
    <t>Negligible corporate transactions regionally; keep constant.</t>
  </si>
  <si>
    <t>Minor intra-company allocations; assume stable baseline.</t>
  </si>
  <si>
    <t>Small scale of eliminations; model as flat.</t>
  </si>
  <si>
    <t>Revenue</t>
  </si>
  <si>
    <t xml:space="preserve">Cost of sales </t>
  </si>
  <si>
    <t>cost of sales</t>
  </si>
  <si>
    <t>cos=revenue-sga(26%)-operating margin</t>
  </si>
  <si>
    <t>Op.margin</t>
  </si>
  <si>
    <t>Numbers rounded from Ecolab’s Segment Results table in the Form 10-K; “Operating income ÷ Net sales.”</t>
  </si>
  <si>
    <t>Op.income</t>
  </si>
  <si>
    <t>SG&amp;A</t>
  </si>
  <si>
    <t>Segment / Line Item</t>
  </si>
  <si>
    <t>🏭 Global Industrial</t>
  </si>
  <si>
    <t>🏨 Global Institutional &amp; Specialty</t>
  </si>
  <si>
    <t>🧬 Global Healthcare &amp; Life Sciences</t>
  </si>
  <si>
    <t>Net Sales</t>
  </si>
  <si>
    <t>Cost of Sales (COS)</t>
  </si>
  <si>
    <t>Special (gains) &amp; charges</t>
  </si>
  <si>
    <t>🪳 Global Pest Elimination</t>
  </si>
  <si>
    <t>🏢 Corporate / Other</t>
  </si>
  <si>
    <t>Subtotal (fixed currency)</t>
  </si>
  <si>
    <t>DSO</t>
  </si>
  <si>
    <t>Inventory turnover</t>
  </si>
  <si>
    <t>PPE</t>
  </si>
  <si>
    <t>Capex</t>
  </si>
  <si>
    <t>Depriciation</t>
  </si>
  <si>
    <t>% of PPE</t>
  </si>
  <si>
    <t>Capex as % of sales</t>
  </si>
  <si>
    <t>Bull</t>
  </si>
  <si>
    <t>base</t>
  </si>
  <si>
    <t>Bear</t>
  </si>
  <si>
    <t>DPO</t>
  </si>
  <si>
    <t>Year</t>
  </si>
  <si>
    <t>Net Income to Ecolab ($ M)</t>
  </si>
  <si>
    <t>Dividends ($ M)</t>
  </si>
  <si>
    <t>Ending RE ($ M)</t>
  </si>
  <si>
    <t>Beginning RE</t>
  </si>
  <si>
    <t>NI YoY</t>
  </si>
  <si>
    <t>Dividends YoY</t>
  </si>
  <si>
    <t>Beginning TS</t>
  </si>
  <si>
    <t>Net Change</t>
  </si>
  <si>
    <t>Ending TS</t>
  </si>
  <si>
    <t>2024A</t>
  </si>
  <si>
    <t>2025E</t>
  </si>
  <si>
    <t>2026E</t>
  </si>
  <si>
    <t>2027E</t>
  </si>
  <si>
    <t>2028E</t>
  </si>
  <si>
    <t>2029E</t>
  </si>
  <si>
    <t>–8305</t>
  </si>
  <si>
    <t>2020A</t>
  </si>
  <si>
    <t>2021A</t>
  </si>
  <si>
    <t>2022A</t>
  </si>
  <si>
    <t>2023A</t>
  </si>
  <si>
    <t>Opening balance</t>
  </si>
  <si>
    <t>Additions (1.9 % of Sales)</t>
  </si>
  <si>
    <t>Amortization (≈14 % of Opening)</t>
  </si>
  <si>
    <t>Closing balance</t>
  </si>
  <si>
    <t>operating lease assets</t>
  </si>
  <si>
    <t>+ Interest (4.8 %)</t>
  </si>
  <si>
    <t>+ New lease additions (1.9 % of Sales)</t>
  </si>
  <si>
    <t>– Cash lease payments</t>
  </si>
  <si>
    <t xml:space="preserve"> of which Current (≈ 20 %)</t>
  </si>
  <si>
    <t>Non-current (≈ 80 %)</t>
  </si>
  <si>
    <t>Opening balance (LT)</t>
  </si>
  <si>
    <t>+ New Issuances</t>
  </si>
  <si>
    <t>– Repayments (maturities)</t>
  </si>
  <si>
    <t>Average Balance</t>
  </si>
  <si>
    <t>Interest Rate (%)</t>
  </si>
  <si>
    <t>Interest Expense</t>
  </si>
  <si>
    <t>Closing LT Debt</t>
  </si>
  <si>
    <t>Non cash assets</t>
  </si>
  <si>
    <t>debt/non cash assets</t>
  </si>
  <si>
    <t>Debt</t>
  </si>
  <si>
    <t>Net income</t>
  </si>
  <si>
    <t>Dividends</t>
  </si>
  <si>
    <t>Net cash generated</t>
  </si>
  <si>
    <t>cash starting</t>
  </si>
  <si>
    <t>USD</t>
  </si>
  <si>
    <t>COMPARABLE COMPANY ANALYSIS</t>
  </si>
  <si>
    <t>COMPANY DATA</t>
  </si>
  <si>
    <t>(in millions)</t>
  </si>
  <si>
    <t>Recent</t>
  </si>
  <si>
    <t>52 week</t>
  </si>
  <si>
    <t>Shares</t>
  </si>
  <si>
    <t>Market</t>
  </si>
  <si>
    <t>Enterprise</t>
  </si>
  <si>
    <t>Book</t>
  </si>
  <si>
    <t>WS 12-mo</t>
  </si>
  <si>
    <t>Company Name</t>
  </si>
  <si>
    <t>Ticker</t>
  </si>
  <si>
    <t>Price</t>
  </si>
  <si>
    <t>High</t>
  </si>
  <si>
    <t>Out</t>
  </si>
  <si>
    <t>Cap</t>
  </si>
  <si>
    <t>Cash</t>
  </si>
  <si>
    <t>Value</t>
  </si>
  <si>
    <t>Beta</t>
  </si>
  <si>
    <t>Price Target</t>
  </si>
  <si>
    <t/>
  </si>
  <si>
    <t>I/B/E/S  ESTIMATES</t>
  </si>
  <si>
    <t>SALES</t>
  </si>
  <si>
    <t>EPS</t>
  </si>
  <si>
    <t>EBIT</t>
  </si>
  <si>
    <t>EBITDA</t>
  </si>
  <si>
    <t>EPS 5-yr</t>
  </si>
  <si>
    <t>Last FY</t>
  </si>
  <si>
    <t>FYR1</t>
  </si>
  <si>
    <t>FYR2</t>
  </si>
  <si>
    <t>FYR3</t>
  </si>
  <si>
    <t>Growth %</t>
  </si>
  <si>
    <t>Not available</t>
  </si>
  <si>
    <t>VALUATION MULTIPLES</t>
  </si>
  <si>
    <t xml:space="preserve">Price / </t>
  </si>
  <si>
    <t>Price/Sales</t>
  </si>
  <si>
    <t>P/E</t>
  </si>
  <si>
    <t>PEG</t>
  </si>
  <si>
    <t>EV/EBITDA</t>
  </si>
  <si>
    <t>SAME STORE SALES GROWTH</t>
  </si>
  <si>
    <t>Average</t>
  </si>
  <si>
    <t>Median</t>
  </si>
  <si>
    <t>ws.OperatingProfitMargin[ws.cpa]</t>
  </si>
  <si>
    <t>ws.AssetTurnover[ws.cpa]</t>
  </si>
  <si>
    <t>ws.InventoryTurnover[ws.cpa]</t>
  </si>
  <si>
    <t>ws.ReceivablesTurnover[ws.cpa]</t>
  </si>
  <si>
    <t>ws.TotalDebtPctCommonEquity[ws.cpa]</t>
  </si>
  <si>
    <t>ws.LTDebtPctCommonEquity[ws.cpa]</t>
  </si>
  <si>
    <t>ws.LTDebtPctTotalCapital[ws.cpa]</t>
  </si>
  <si>
    <t>ws.QuickRatio[ws.cpa]</t>
  </si>
  <si>
    <t>ws.CurrentRatio[ws.cpa]</t>
  </si>
  <si>
    <t>RATIO ANALYSIS</t>
  </si>
  <si>
    <t>Gross</t>
  </si>
  <si>
    <t>Operating</t>
  </si>
  <si>
    <t>Net</t>
  </si>
  <si>
    <t>Asset</t>
  </si>
  <si>
    <t>Inventory</t>
  </si>
  <si>
    <t>Receivables</t>
  </si>
  <si>
    <t>Quick</t>
  </si>
  <si>
    <t>Current</t>
  </si>
  <si>
    <t>Interest</t>
  </si>
  <si>
    <t>Margin</t>
  </si>
  <si>
    <t>ROA</t>
  </si>
  <si>
    <t>ROE</t>
  </si>
  <si>
    <t>Turnvover</t>
  </si>
  <si>
    <t>Debt/E</t>
  </si>
  <si>
    <t>LTD/TC</t>
  </si>
  <si>
    <t>Ratio</t>
  </si>
  <si>
    <t>Coverage</t>
  </si>
  <si>
    <t>ECL</t>
  </si>
  <si>
    <t>CLX</t>
  </si>
  <si>
    <t>CHD</t>
  </si>
  <si>
    <t>DD</t>
  </si>
  <si>
    <t>SHW</t>
  </si>
  <si>
    <t>Scenario Switchboard</t>
  </si>
  <si>
    <t> </t>
  </si>
  <si>
    <t>Revenue &amp; Operating Expenses</t>
  </si>
  <si>
    <t>Business Segment</t>
  </si>
  <si>
    <t>Valuation Date:</t>
  </si>
  <si>
    <t>Company Name:</t>
  </si>
  <si>
    <t>Sector:</t>
  </si>
  <si>
    <t>Industry:</t>
  </si>
  <si>
    <t>Rating:</t>
  </si>
  <si>
    <t>Current Price</t>
  </si>
  <si>
    <t>Scenario Key</t>
  </si>
  <si>
    <t>Valuation Price</t>
  </si>
  <si>
    <t>12-month Valuation Price</t>
  </si>
  <si>
    <t>Base</t>
  </si>
  <si>
    <t>Valuation Appreciation</t>
  </si>
  <si>
    <t>12-mo Valuation Appreciation</t>
  </si>
  <si>
    <t>Dividend Yield</t>
  </si>
  <si>
    <t>Share count in Millions</t>
  </si>
  <si>
    <t>Cost of Equity</t>
  </si>
  <si>
    <t>Today</t>
  </si>
  <si>
    <t>Number of Shares in thousands:</t>
  </si>
  <si>
    <t>One year</t>
  </si>
  <si>
    <t>Two year</t>
  </si>
  <si>
    <t>Actual Price:</t>
  </si>
  <si>
    <t>At close oct 08, 2025</t>
  </si>
  <si>
    <t>Price Appreciation</t>
  </si>
  <si>
    <t>Model Valuation:</t>
  </si>
  <si>
    <t>Model 12 Month Price Target:</t>
  </si>
  <si>
    <t>Price Appreciation (12 month)</t>
  </si>
  <si>
    <t>Model Current Valuation with Sensitivity of Ke</t>
  </si>
  <si>
    <t>Time period (years)</t>
  </si>
  <si>
    <t>Nominal FCFE:</t>
  </si>
  <si>
    <t>PV FCFE:</t>
  </si>
  <si>
    <t>Terminal Growth Rate</t>
  </si>
  <si>
    <t>Terminal Value in 2029</t>
  </si>
  <si>
    <t>&lt;== Implied terminal value / net income (or P/E) multiple for terminal value</t>
  </si>
  <si>
    <t>PV of Terminal Value</t>
  </si>
  <si>
    <t>Total PV:</t>
  </si>
  <si>
    <t>Valuation per Share ($):</t>
  </si>
  <si>
    <t>Cost Of Equity Ke</t>
  </si>
  <si>
    <t>Model 12 Month Price Target with Sensitivity of Ke</t>
  </si>
  <si>
    <t>Time period</t>
  </si>
  <si>
    <t>Terminal Value in 2030</t>
  </si>
  <si>
    <t>Price = E*(1+g)/(ke-g)</t>
  </si>
  <si>
    <t>P/E = (1+g)/(ke-g)</t>
  </si>
  <si>
    <r>
      <t>(</t>
    </r>
    <r>
      <rPr>
        <sz val="11"/>
        <color rgb="FF0000FF"/>
        <rFont val="Calibri"/>
        <family val="2"/>
      </rPr>
      <t>Blue = input</t>
    </r>
    <r>
      <rPr>
        <sz val="11"/>
        <rFont val="Calibri"/>
        <family val="2"/>
      </rPr>
      <t>, Black = calculation)</t>
    </r>
  </si>
  <si>
    <t>ke = (1+g)/(P/E) + g</t>
  </si>
  <si>
    <t>Historic Beta</t>
  </si>
  <si>
    <t>S&amp;P 500 data</t>
  </si>
  <si>
    <t>Source</t>
  </si>
  <si>
    <t>Reference</t>
  </si>
  <si>
    <t>S&amp;P500 Forward P/E</t>
  </si>
  <si>
    <t>WSJ</t>
  </si>
  <si>
    <t>1-Year Forward P/E for S&amp;P</t>
  </si>
  <si>
    <r>
      <t xml:space="preserve">Projected EPS growth rate (g </t>
    </r>
    <r>
      <rPr>
        <vertAlign val="subscript"/>
        <sz val="11"/>
        <rFont val="Calibri (Body)"/>
      </rPr>
      <t>S&amp;P</t>
    </r>
    <r>
      <rPr>
        <sz val="11"/>
        <rFont val="Calibri"/>
        <family val="2"/>
      </rPr>
      <t>)</t>
    </r>
  </si>
  <si>
    <t>CapIQ/Bloomberg</t>
  </si>
  <si>
    <t>5-Year Projected Earnings Growth Rate for S&amp;P</t>
  </si>
  <si>
    <r>
      <t>Risk-free rate (R</t>
    </r>
    <r>
      <rPr>
        <vertAlign val="subscript"/>
        <sz val="11"/>
        <rFont val="Calibri (Body)"/>
      </rPr>
      <t>f</t>
    </r>
    <r>
      <rPr>
        <sz val="11"/>
        <rFont val="Calibri"/>
        <family val="2"/>
      </rPr>
      <t>)</t>
    </r>
  </si>
  <si>
    <t>WSJ (5/8)</t>
  </si>
  <si>
    <t>10 yr T-Note</t>
  </si>
  <si>
    <r>
      <t>Implied required return on equity (R</t>
    </r>
    <r>
      <rPr>
        <vertAlign val="subscript"/>
        <sz val="11"/>
        <rFont val="Calibri (Body)"/>
      </rPr>
      <t>s&amp;p</t>
    </r>
    <r>
      <rPr>
        <vertAlign val="subscript"/>
        <sz val="11"/>
        <rFont val="Calibri"/>
        <family val="2"/>
      </rPr>
      <t>500</t>
    </r>
    <r>
      <rPr>
        <sz val="11"/>
        <rFont val="Calibri"/>
        <family val="2"/>
      </rPr>
      <t>)</t>
    </r>
  </si>
  <si>
    <r>
      <t>{ (1+ g</t>
    </r>
    <r>
      <rPr>
        <vertAlign val="subscript"/>
        <sz val="11"/>
        <rFont val="Calibri (Body)"/>
      </rPr>
      <t>s&amp;p500</t>
    </r>
    <r>
      <rPr>
        <sz val="11"/>
        <rFont val="Calibri"/>
        <family val="2"/>
      </rPr>
      <t xml:space="preserve"> ) / (P/E</t>
    </r>
    <r>
      <rPr>
        <vertAlign val="subscript"/>
        <sz val="11"/>
        <rFont val="Calibri (Body)"/>
      </rPr>
      <t>s&amp;p500</t>
    </r>
    <r>
      <rPr>
        <sz val="11"/>
        <rFont val="Calibri"/>
        <family val="2"/>
      </rPr>
      <t>) } + g</t>
    </r>
    <r>
      <rPr>
        <vertAlign val="subscript"/>
        <sz val="11"/>
        <rFont val="Calibri (Body)"/>
      </rPr>
      <t>s&amp;p500</t>
    </r>
  </si>
  <si>
    <r>
      <t>Implied equity risk premium (R</t>
    </r>
    <r>
      <rPr>
        <vertAlign val="subscript"/>
        <sz val="11"/>
        <rFont val="Calibri (Body)"/>
      </rPr>
      <t>m</t>
    </r>
    <r>
      <rPr>
        <sz val="11"/>
        <rFont val="Calibri"/>
        <family val="2"/>
      </rPr>
      <t>)</t>
    </r>
  </si>
  <si>
    <r>
      <t>R</t>
    </r>
    <r>
      <rPr>
        <vertAlign val="subscript"/>
        <sz val="11"/>
        <rFont val="Calibri (Body)"/>
      </rPr>
      <t>s&amp;p500</t>
    </r>
    <r>
      <rPr>
        <sz val="11"/>
        <rFont val="Calibri"/>
        <family val="2"/>
      </rPr>
      <t>-R</t>
    </r>
    <r>
      <rPr>
        <vertAlign val="subscript"/>
        <sz val="11"/>
        <rFont val="Calibri (Body)"/>
      </rPr>
      <t>m</t>
    </r>
  </si>
  <si>
    <t>Fedex data</t>
  </si>
  <si>
    <t>Current Price (P)</t>
  </si>
  <si>
    <t xml:space="preserve">WorkSpace </t>
  </si>
  <si>
    <t>Forward EPS (E)</t>
  </si>
  <si>
    <t>P/E ratio</t>
  </si>
  <si>
    <t xml:space="preserve"> calc </t>
  </si>
  <si>
    <t>Projected EPS growth rate (g)</t>
  </si>
  <si>
    <t>WorkSpace + Calculation</t>
  </si>
  <si>
    <t xml:space="preserve">Took the average </t>
  </si>
  <si>
    <t>Market Cap</t>
  </si>
  <si>
    <t>D/E Ratio</t>
  </si>
  <si>
    <t>Tax Rate</t>
  </si>
  <si>
    <r>
      <t>b</t>
    </r>
    <r>
      <rPr>
        <vertAlign val="subscript"/>
        <sz val="11"/>
        <color rgb="FF000000"/>
        <rFont val="Calibri (Body)"/>
      </rPr>
      <t>U</t>
    </r>
    <r>
      <rPr>
        <sz val="11"/>
        <color rgb="FF000000"/>
        <rFont val="Calibri"/>
        <family val="2"/>
      </rPr>
      <t xml:space="preserve"> = </t>
    </r>
    <r>
      <rPr>
        <sz val="11"/>
        <color rgb="FF000000"/>
        <rFont val="Symbol"/>
        <family val="1"/>
        <charset val="2"/>
      </rPr>
      <t>b</t>
    </r>
    <r>
      <rPr>
        <vertAlign val="subscript"/>
        <sz val="11"/>
        <color rgb="FF000000"/>
        <rFont val="Calibri (Body)"/>
      </rPr>
      <t xml:space="preserve">L / </t>
    </r>
    <r>
      <rPr>
        <sz val="11"/>
        <color rgb="FF000000"/>
        <rFont val="Calibri"/>
        <family val="2"/>
      </rPr>
      <t>(1+ ((1-t)D/E))</t>
    </r>
  </si>
  <si>
    <r>
      <t>b</t>
    </r>
    <r>
      <rPr>
        <vertAlign val="subscript"/>
        <sz val="11"/>
        <color rgb="FF000000"/>
        <rFont val="Calibri (Body)"/>
      </rPr>
      <t>L</t>
    </r>
    <r>
      <rPr>
        <sz val="11"/>
        <color rgb="FF000000"/>
        <rFont val="Calibri"/>
        <family val="2"/>
      </rPr>
      <t xml:space="preserve"> = </t>
    </r>
    <r>
      <rPr>
        <sz val="11"/>
        <color rgb="FF000000"/>
        <rFont val="Symbol"/>
        <family val="1"/>
        <charset val="2"/>
      </rPr>
      <t>b</t>
    </r>
    <r>
      <rPr>
        <sz val="11"/>
        <color rgb="FF000000"/>
        <rFont val="Calibri"/>
        <family val="2"/>
      </rPr>
      <t>u (1+ ((1-t)D/E))</t>
    </r>
  </si>
  <si>
    <t>Implied required return on equity (Re)</t>
  </si>
  <si>
    <t>{ (1+g) / (P/E) } +g</t>
  </si>
  <si>
    <t>Forward (Bf)</t>
  </si>
  <si>
    <t>(Re-Rf)/Rm</t>
  </si>
  <si>
    <t>Comparable Beta</t>
  </si>
  <si>
    <t>Relevered</t>
  </si>
  <si>
    <t>Market Beta</t>
  </si>
  <si>
    <t>Workspace</t>
  </si>
  <si>
    <t xml:space="preserve">Unlevered </t>
  </si>
  <si>
    <t xml:space="preserve">Relevered </t>
  </si>
  <si>
    <t>Mean</t>
  </si>
  <si>
    <t>Historical Beta</t>
  </si>
  <si>
    <t>Historic (Bh) - 5-year monthly</t>
  </si>
  <si>
    <t>Five-year monthly beta</t>
  </si>
  <si>
    <t>Cost of Equity:</t>
  </si>
  <si>
    <t>Historic equity risk premium</t>
  </si>
  <si>
    <t>Weight</t>
  </si>
  <si>
    <t>Based on long-term, historic, average risk premium (see class slides, source: Damodaran)</t>
  </si>
  <si>
    <t>Using Forward Beta</t>
  </si>
  <si>
    <t>Rf+Rm*Bf</t>
  </si>
  <si>
    <t>Using Comparable Beta</t>
  </si>
  <si>
    <t>Using Historic Beta</t>
  </si>
  <si>
    <t>Rf+Rm*Bh</t>
  </si>
  <si>
    <t>Weighted COE</t>
  </si>
  <si>
    <t>Market COE (beta = 1)</t>
  </si>
  <si>
    <t>Assumes beta of 1.0</t>
  </si>
  <si>
    <t>Clorox Co</t>
  </si>
  <si>
    <t>Church &amp; Dwight Co Inc</t>
  </si>
  <si>
    <t>Dupont De Nemours Inc</t>
  </si>
  <si>
    <t>Sherwin-Williams Co</t>
  </si>
  <si>
    <t>Ecolab Inc</t>
  </si>
  <si>
    <t>Chemicals</t>
  </si>
  <si>
    <r>
      <t>COS (% of sales):</t>
    </r>
    <r>
      <rPr>
        <sz val="11"/>
        <color theme="1"/>
        <rFont val="Aptos Narrow"/>
        <family val="2"/>
        <scheme val="minor"/>
      </rPr>
      <t xml:space="preserve"> Held ~60% as 2024 price/cost tailwinds persist but are tempered by reinvestment, consistent with the company’s margin expansion drivers.</t>
    </r>
  </si>
  <si>
    <r>
      <t>SG&amp;A (% of sales):</t>
    </r>
    <r>
      <rPr>
        <sz val="11"/>
        <color theme="1"/>
        <rFont val="Aptos Narrow"/>
        <family val="2"/>
        <scheme val="minor"/>
      </rPr>
      <t xml:space="preserve"> ~24% (steady) to reflect ongoing growth investments vs. productivity (company SG&amp;A ratio sat ~26.9% in 2024).</t>
    </r>
  </si>
  <si>
    <r>
      <t>Specials:</t>
    </r>
    <r>
      <rPr>
        <sz val="11"/>
        <color theme="1"/>
        <rFont val="Aptos Narrow"/>
        <family val="2"/>
        <scheme val="minor"/>
      </rPr>
      <t xml:space="preserve"> None at the segment level because ECL does not allocate specials to reportable segments.</t>
    </r>
  </si>
  <si>
    <t>Moves toward 50% as 2024 margin drivers (value pricing, lower delivered costs) carry forward.</t>
  </si>
  <si>
    <t>~28% (flat) reflecting scale benefits offset by continued commercial investment.</t>
  </si>
  <si>
    <t>Not allocated to segments.</t>
  </si>
  <si>
    <t>Kept ~62% as mix/volume headwinds offset pricing—consistent with MD&amp;A noting pricing gains partly offset by lower volumes.</t>
  </si>
  <si>
    <t>~26–27% (steady) to reflect ongoing reinvestment while scaling Life Sciences.</t>
  </si>
  <si>
    <t>~56% (service-heavy model; stable).</t>
  </si>
  <si>
    <t>~25% (stable) as digital tools scale field productivity.</t>
  </si>
  <si>
    <t>Flat ~$200mm proxy for HQ, shared services and unallocated amortization (Corporate includes Nalco/Purolite intangible amortization and specials).</t>
  </si>
  <si>
    <t>Modeled to zero as transitional ChampionX product sales in Corporate wind down.</t>
  </si>
  <si>
    <t>Normalized at $100mm per year to reflect recurring restructuring/integration activity, informed by recent history and the multi-year One Ecolab program through 2027.</t>
  </si>
  <si>
    <t>CONSOLIDATED STATEMENTS OF INCOME</t>
  </si>
  <si>
    <t>CONSOLIDATED BALANCE SHEETS</t>
  </si>
  <si>
    <t>FCFE</t>
  </si>
  <si>
    <t>ending cash</t>
  </si>
  <si>
    <t>Check</t>
  </si>
  <si>
    <t>Revenue model</t>
  </si>
  <si>
    <t>COGS sheet</t>
  </si>
  <si>
    <t>Normalized to ~$100mm/yr post-2024 to reflect ongoing restructuring/integration under the “One Ecolab” program (company disclosed expected restructuring/special charges cadence).</t>
  </si>
  <si>
    <t>Modeled at ~$(50)mm) (credit) as a clean, non-discrete run-rate around recent levels (Q4 note on pension/other).</t>
  </si>
  <si>
    <t>Near-term step down from 2024 levels (benefit from rates) then slight upward normalization with refinancing/average debt costs.</t>
  </si>
  <si>
    <t>Flat ~$20mm consistent with the small, stable historical contribution of NCI.</t>
  </si>
  <si>
    <t>None assumed after 2020; no additional divestitures modeled beyond the 2024 surgical solutions sale already reflected in history.</t>
  </si>
  <si>
    <t>Follows NI and share count; 2025 trajectory broadly in line with management’s +12–15% EPS growth outlook</t>
  </si>
  <si>
    <t>Modeled as the plug to balance forecasted FCFs, consistent with record free-cash-flow commentary and 2024 10-K liquidity trends.</t>
  </si>
  <si>
    <r>
      <t xml:space="preserve">Projected using a constant </t>
    </r>
    <r>
      <rPr>
        <b/>
        <sz val="11"/>
        <color theme="1"/>
        <rFont val="Aptos Narrow"/>
        <family val="2"/>
        <scheme val="minor"/>
      </rPr>
      <t>DSO ~65 days</t>
    </r>
    <r>
      <rPr>
        <sz val="11"/>
        <color theme="1"/>
        <rFont val="Aptos Narrow"/>
        <family val="2"/>
        <scheme val="minor"/>
      </rPr>
      <t>, aligning with Ecolab’s stable customer credit cycle and 2024 MD&amp;A disclosure of “consistent collections performance.”</t>
    </r>
  </si>
  <si>
    <t>Held at ~10 % of current assets based on historical averages and limited management guidance on “modest other current asset movement.”</t>
  </si>
  <si>
    <t>Built from depreciation (~19 % of gross PPE) and CapEx ≈ 6 % of sales, per management’s guidance on elevated capital investments in digital and manufacturing modernization</t>
  </si>
  <si>
    <t>Kept flat post-Purolite, matching 10-K note that no new large acquisitions or impairments are expected.</t>
  </si>
  <si>
    <t>Modeled at ~22–24 % of goodwill, declining slightly with amortization and modest reinvestment per 2024 report.</t>
  </si>
  <si>
    <t>Grown in line with reported expansion of DishIQ™ and Pest Intelligence lease programs in the 2024 Annual Report.</t>
  </si>
  <si>
    <t>Set at 4 % of sales, consistent with historical ratio and limited incremental long-term investments.</t>
  </si>
  <si>
    <t>% of long term debt</t>
  </si>
  <si>
    <r>
      <t xml:space="preserve">Linked to COGS through </t>
    </r>
    <r>
      <rPr>
        <b/>
        <sz val="11"/>
        <color theme="1"/>
        <rFont val="Aptos Narrow"/>
        <family val="2"/>
        <scheme val="minor"/>
      </rPr>
      <t>DPO ≈ 67 days</t>
    </r>
    <r>
      <rPr>
        <sz val="11"/>
        <color theme="1"/>
        <rFont val="Aptos Narrow"/>
        <family val="2"/>
        <scheme val="minor"/>
      </rPr>
      <t>, reflecting normalized supplier-payment terms per management.</t>
    </r>
  </si>
  <si>
    <t>Expressed as 15–17 % of SG&amp;A, reflecting Ecolab’s heavy service-labor mix (≈25 k field staff).</t>
  </si>
  <si>
    <t>9 % of current sales, in line with historic pattern and absence of new accrual items.</t>
  </si>
  <si>
    <t>Flat, per 2024 10-K statement of stable funded status.</t>
  </si>
  <si>
    <t>11–12 % of PPE, declining with utilization of deferred tax assets noted in filings.</t>
  </si>
  <si>
    <t>Increase mirrors lease-asset growth and expanding equipment-placement programs.</t>
  </si>
  <si>
    <t>~2.5 % of sales, reflecting steady environmental and restructuring accruals.</t>
  </si>
  <si>
    <t>+1 share per year; driven by employee stock programs.</t>
  </si>
  <si>
    <t>Built from projected net income less dividends (payout ratio ≈ 35 %), aligned with 33-year dividend-increase streak noted in 2024 Annual Report.</t>
  </si>
  <si>
    <t>Held near –$2 billion, assuming minor FX swings.</t>
  </si>
  <si>
    <t>Expands annually by expected employee stock (~$800 m per year), per Q2 2025 10-Q.</t>
  </si>
  <si>
    <t>Flat at ~$30 m, consistent with immaterial minority holdings.</t>
  </si>
  <si>
    <t>Share price(avg repurchase)</t>
  </si>
  <si>
    <t>No of shares</t>
  </si>
  <si>
    <t>9 % YoY increase in 2024, then 2–3 %</t>
  </si>
  <si>
    <t>Used only for trend visualization; not a driver.</t>
  </si>
  <si>
    <t>Based on shares repurchased × avg price – shares reissued × avg price</t>
  </si>
  <si>
    <t>bull</t>
  </si>
  <si>
    <t xml:space="preserve">base </t>
  </si>
  <si>
    <t>bear</t>
  </si>
  <si>
    <t>Global industrial rev(US)</t>
  </si>
  <si>
    <t>Global industrial COS(US)</t>
  </si>
  <si>
    <t>Global inst&amp; spec COS(US)</t>
  </si>
  <si>
    <t>Global inst&amp; spec rev(US)</t>
  </si>
  <si>
    <t>ECOLAB inc.</t>
  </si>
  <si>
    <t>Materials</t>
  </si>
  <si>
    <t xml:space="preserve">Avg percentage change </t>
  </si>
  <si>
    <t>changs in reportable segment</t>
  </si>
  <si>
    <t>Forward ETR set ~19%  anchored to Ecolab’s 2024 effective rate (~17%) and ~19% adjusted tax-rate range cited in company materials.</t>
  </si>
  <si>
    <r>
      <t xml:space="preserve">Forecasted with constant </t>
    </r>
    <r>
      <rPr>
        <b/>
        <sz val="11"/>
        <color theme="1"/>
        <rFont val="Aptos Narrow"/>
        <family val="2"/>
        <scheme val="minor"/>
      </rPr>
      <t>turnover ≈6×</t>
    </r>
    <r>
      <rPr>
        <sz val="11"/>
        <color theme="1"/>
        <rFont val="Aptos Narrow"/>
        <family val="2"/>
        <scheme val="minor"/>
      </rPr>
      <t>, reflecting supply-chain efficiency and normalized post-COVID inventory management mentioned in 2023–2024 filings.</t>
    </r>
  </si>
  <si>
    <t>lease liabilities</t>
  </si>
  <si>
    <t>Repurchases</t>
  </si>
  <si>
    <t>% change</t>
  </si>
  <si>
    <t>%change</t>
  </si>
  <si>
    <t>avg % change</t>
  </si>
  <si>
    <t>Year-End</t>
  </si>
  <si>
    <t>Trade Names (Indefinite-Lived)</t>
  </si>
  <si>
    <t>Customer Relationships</t>
  </si>
  <si>
    <t>Patents</t>
  </si>
  <si>
    <t>Trademarks</t>
  </si>
  <si>
    <t>Other Technologies</t>
  </si>
  <si>
    <t>Total Finite-Lived Gross</t>
  </si>
  <si>
    <t>Accum. Amort. (Finite-Lived)</t>
  </si>
  <si>
    <t>Net Finite-Lived</t>
  </si>
  <si>
    <t>Total Intangibles, Net</t>
  </si>
  <si>
    <t>Possibility of increasing with increasing revenue but not possible to project without information onM&amp;A activity.</t>
  </si>
  <si>
    <t>% of sales/revenue</t>
  </si>
  <si>
    <t>stock based compensation</t>
  </si>
  <si>
    <t>% sales</t>
  </si>
  <si>
    <t>*stock based omposition given in 10-k added to APIC.</t>
  </si>
  <si>
    <t>*stock based comp as % of revenue</t>
  </si>
  <si>
    <t>*authorised buybacks</t>
  </si>
  <si>
    <t>Total no of shares</t>
  </si>
  <si>
    <t>*expected share buyback</t>
  </si>
  <si>
    <t>*expected share value</t>
  </si>
  <si>
    <t>*share price grew by Ke</t>
  </si>
  <si>
    <t>*Debt to Non cash assests ratio</t>
  </si>
  <si>
    <t>*Modeled to keep constant debt to non cash assets ratio of 30-31%</t>
  </si>
  <si>
    <t>*Maturity schedule from 10-k</t>
  </si>
  <si>
    <t>Global industrial rev(EU)</t>
  </si>
  <si>
    <t>Modeled at ~42 % of income tax, consistent with a 17 % effective rate disclosed in 2024 10-K.</t>
  </si>
  <si>
    <t>PPE and capex schedule</t>
  </si>
  <si>
    <t>*% of sales</t>
  </si>
  <si>
    <t>*% of PPE</t>
  </si>
  <si>
    <t>Intangible assets</t>
  </si>
  <si>
    <t>*Values are as per 10-k and foreword.</t>
  </si>
  <si>
    <t>Assumptions</t>
  </si>
  <si>
    <t>no of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</si>
</sst>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164" formatCode="0.0%"/>
    <numFmt numFmtId="165" formatCode="#,##0.000"/>
    <numFmt numFmtId="166" formatCode="0.0"/>
    <numFmt numFmtId="167" formatCode="&quot;$&quot;#,##0.00"/>
    <numFmt numFmtId="168" formatCode="_ * #,##0.00_ ;_ * \-#,##0.00_ ;_ * &quot;-&quot;??_ ;_ @_ "/>
    <numFmt numFmtId="169" formatCode="_(* #,##0.0_);_(* \(#,##0.0\);_(* &quot;-&quot;??_);_(@_)"/>
    <numFmt numFmtId="170" formatCode="&quot;$&quot;#,##0"/>
    <numFmt numFmtId="171" formatCode="0.00\x"/>
    <numFmt numFmtId="172" formatCode="_ &quot;₹&quot;\ * #,##0.00_ ;_ &quot;₹&quot;\ * \-#,##0.00_ ;_ &quot;₹&quot;\ * &quot;-&quot;??_ ;_ @_ "/>
    <numFmt numFmtId="173" formatCode="_ &quot;₹&quot;\ * #,##0.0_ ;_ &quot;₹&quot;\ * \-#,##0.0_ ;_ &quot;₹&quot;\ * &quot;-&quot;??_ ;_ @_ "/>
    <numFmt numFmtId="174" formatCode="m/d/yy;@"/>
    <numFmt numFmtId="175" formatCode="0.0\x"/>
    <numFmt numFmtId="176" formatCode="0.0000"/>
    <numFmt numFmtId="177" formatCode="0.000"/>
  </numFmts>
  <fonts count="6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sz val="10"/>
      <color theme="1"/>
      <name val="Arial Unicode MS"/>
    </font>
    <font>
      <sz val="8"/>
      <name val="Aptos Narrow"/>
      <family val="2"/>
      <scheme val="minor"/>
    </font>
    <font>
      <sz val="10"/>
      <color theme="1"/>
      <name val="Helvetica"/>
      <family val="2"/>
    </font>
    <font>
      <sz val="12"/>
      <color theme="1"/>
      <name val="Helvetica"/>
      <family val="2"/>
    </font>
    <font>
      <b/>
      <sz val="10"/>
      <color theme="0"/>
      <name val="Helvetica"/>
    </font>
    <font>
      <b/>
      <sz val="10"/>
      <color theme="1"/>
      <name val="Helvetica"/>
      <family val="2"/>
    </font>
    <font>
      <sz val="10"/>
      <name val="Helvetica"/>
      <family val="2"/>
    </font>
    <font>
      <b/>
      <sz val="10"/>
      <color theme="0"/>
      <name val="Helvetica"/>
      <family val="2"/>
    </font>
    <font>
      <sz val="10"/>
      <color theme="0"/>
      <name val="Helvetica"/>
      <family val="2"/>
    </font>
    <font>
      <sz val="10"/>
      <name val="Times New Roman"/>
      <family val="1"/>
    </font>
    <font>
      <sz val="10"/>
      <color rgb="FFFF0000"/>
      <name val="Helvetica"/>
      <family val="2"/>
    </font>
    <font>
      <b/>
      <sz val="10"/>
      <name val="Helvetica"/>
      <family val="2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Garamond"/>
      <family val="1"/>
    </font>
    <font>
      <sz val="14"/>
      <color rgb="FF000000"/>
      <name val="Garamond"/>
      <family val="1"/>
    </font>
    <font>
      <b/>
      <sz val="14"/>
      <color rgb="FF000000"/>
      <name val="Garamond"/>
      <family val="1"/>
    </font>
    <font>
      <b/>
      <i/>
      <sz val="14"/>
      <color rgb="FF808080"/>
      <name val="Garamond"/>
      <family val="1"/>
    </font>
    <font>
      <b/>
      <sz val="14"/>
      <color rgb="FF000000"/>
      <name val="Calibri"/>
      <family val="2"/>
    </font>
    <font>
      <sz val="14"/>
      <color rgb="FF0000FF"/>
      <name val="Calibri"/>
      <family val="2"/>
    </font>
    <font>
      <sz val="14"/>
      <color rgb="FF000000"/>
      <name val="Calibri"/>
      <family val="2"/>
    </font>
    <font>
      <sz val="14"/>
      <color rgb="FF0432FF"/>
      <name val="Garamond"/>
      <family val="1"/>
    </font>
    <font>
      <b/>
      <u/>
      <sz val="14"/>
      <color rgb="FF000000"/>
      <name val="Garamond"/>
      <family val="1"/>
    </font>
    <font>
      <sz val="10"/>
      <name val="Arial"/>
      <family val="2"/>
    </font>
    <font>
      <b/>
      <sz val="12"/>
      <color rgb="FFFF6200"/>
      <name val="Helvetica"/>
    </font>
    <font>
      <i/>
      <sz val="8"/>
      <name val="Helvetica"/>
      <family val="2"/>
    </font>
    <font>
      <b/>
      <sz val="10"/>
      <color rgb="FF0000FF"/>
      <name val="Helvetica"/>
      <family val="2"/>
    </font>
    <font>
      <sz val="10"/>
      <color theme="0" tint="-0.249977111117893"/>
      <name val="Helvetica"/>
      <family val="2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Helvetica"/>
    </font>
    <font>
      <b/>
      <sz val="12"/>
      <color theme="0"/>
      <name val="Times New Roman"/>
      <family val="1"/>
    </font>
    <font>
      <b/>
      <sz val="11"/>
      <color rgb="FF4D148C"/>
      <name val="Calibri"/>
      <family val="2"/>
    </font>
    <font>
      <sz val="11"/>
      <color rgb="FF4D148C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 (Body)"/>
    </font>
    <font>
      <sz val="11"/>
      <color rgb="FFFFFFFF"/>
      <name val="Calibri"/>
      <family val="2"/>
    </font>
    <font>
      <b/>
      <sz val="11"/>
      <color rgb="FF0000FF"/>
      <name val="Calibri"/>
      <family val="2"/>
    </font>
    <font>
      <sz val="11"/>
      <color rgb="FF3366FF"/>
      <name val="Calibri"/>
      <family val="2"/>
    </font>
    <font>
      <vertAlign val="subscript"/>
      <sz val="11"/>
      <name val="Calibri (Body)"/>
    </font>
    <font>
      <vertAlign val="subscript"/>
      <sz val="11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vertAlign val="subscript"/>
      <sz val="11"/>
      <color rgb="FF000000"/>
      <name val="Calibri (Body)"/>
    </font>
    <font>
      <sz val="11"/>
      <color theme="1"/>
      <name val="Calibri"/>
      <family val="2"/>
    </font>
    <font>
      <sz val="11"/>
      <color rgb="FF0070C0"/>
      <name val="Calibri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FFFF9B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6BD3"/>
        <bgColor rgb="FF000000"/>
      </patternFill>
    </fill>
    <fill>
      <patternFill patternType="solid">
        <fgColor rgb="FF006BD3"/>
        <bgColor indexed="64"/>
      </patternFill>
    </fill>
    <fill>
      <patternFill patternType="solid">
        <fgColor theme="6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6" fillId="0" borderId="0"/>
    <xf numFmtId="0" fontId="30" fillId="0" borderId="0"/>
    <xf numFmtId="9" fontId="30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5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" fontId="0" fillId="0" borderId="0" xfId="0" applyNumberFormat="1"/>
    <xf numFmtId="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/>
    <xf numFmtId="4" fontId="0" fillId="0" borderId="0" xfId="0" applyNumberFormat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9" fontId="0" fillId="0" borderId="0" xfId="1" applyFont="1" applyAlignment="1">
      <alignment vertical="center" wrapText="1"/>
    </xf>
    <xf numFmtId="9" fontId="0" fillId="0" borderId="0" xfId="0" applyNumberFormat="1"/>
    <xf numFmtId="9" fontId="0" fillId="0" borderId="0" xfId="1" applyFont="1"/>
    <xf numFmtId="0" fontId="2" fillId="0" borderId="0" xfId="0" applyFont="1" applyAlignment="1">
      <alignment wrapText="1"/>
    </xf>
    <xf numFmtId="164" fontId="0" fillId="0" borderId="0" xfId="1" applyNumberFormat="1" applyFont="1" applyAlignment="1">
      <alignment horizontal="right" vertical="center" wrapText="1"/>
    </xf>
    <xf numFmtId="164" fontId="0" fillId="0" borderId="0" xfId="1" applyNumberFormat="1" applyFont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3" fontId="2" fillId="0" borderId="0" xfId="0" applyNumberFormat="1" applyFont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9" fontId="2" fillId="0" borderId="0" xfId="1" applyFont="1" applyAlignment="1">
      <alignment vertical="center" wrapText="1"/>
    </xf>
    <xf numFmtId="0" fontId="0" fillId="0" borderId="0" xfId="1" applyNumberFormat="1" applyFont="1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3" fontId="0" fillId="0" borderId="0" xfId="0" applyNumberFormat="1"/>
    <xf numFmtId="1" fontId="0" fillId="0" borderId="0" xfId="0" applyNumberFormat="1" applyAlignment="1">
      <alignment horizontal="right" vertical="center" wrapText="1"/>
    </xf>
    <xf numFmtId="1" fontId="0" fillId="0" borderId="0" xfId="0" applyNumberFormat="1"/>
    <xf numFmtId="10" fontId="0" fillId="0" borderId="0" xfId="1" applyNumberFormat="1" applyFont="1"/>
    <xf numFmtId="166" fontId="0" fillId="0" borderId="0" xfId="0" applyNumberFormat="1"/>
    <xf numFmtId="3" fontId="2" fillId="0" borderId="0" xfId="0" applyNumberFormat="1" applyFont="1" applyAlignment="1">
      <alignment horizontal="right" vertical="center" wrapText="1"/>
    </xf>
    <xf numFmtId="1" fontId="2" fillId="0" borderId="0" xfId="0" applyNumberFormat="1" applyFont="1" applyAlignment="1">
      <alignment horizontal="right" vertical="center" wrapText="1"/>
    </xf>
    <xf numFmtId="166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2" fontId="7" fillId="0" borderId="0" xfId="0" applyNumberFormat="1" applyFont="1" applyAlignment="1">
      <alignment horizontal="right" vertical="center" wrapText="1"/>
    </xf>
    <xf numFmtId="1" fontId="7" fillId="0" borderId="0" xfId="0" applyNumberFormat="1" applyFont="1" applyAlignment="1">
      <alignment horizontal="right" vertical="center" wrapText="1"/>
    </xf>
    <xf numFmtId="0" fontId="9" fillId="0" borderId="0" xfId="2" applyFont="1"/>
    <xf numFmtId="0" fontId="9" fillId="0" borderId="0" xfId="2" applyFont="1" applyAlignment="1">
      <alignment horizontal="center"/>
    </xf>
    <xf numFmtId="0" fontId="10" fillId="0" borderId="0" xfId="2" applyFont="1"/>
    <xf numFmtId="0" fontId="12" fillId="3" borderId="0" xfId="2" applyFont="1" applyFill="1"/>
    <xf numFmtId="0" fontId="9" fillId="3" borderId="0" xfId="2" applyFont="1" applyFill="1" applyAlignment="1">
      <alignment horizontal="center"/>
    </xf>
    <xf numFmtId="0" fontId="9" fillId="3" borderId="0" xfId="2" applyFont="1" applyFill="1"/>
    <xf numFmtId="0" fontId="9" fillId="0" borderId="1" xfId="2" applyFont="1" applyBorder="1"/>
    <xf numFmtId="0" fontId="9" fillId="0" borderId="1" xfId="2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0" fontId="12" fillId="0" borderId="3" xfId="2" applyFont="1" applyBorder="1" applyAlignment="1">
      <alignment horizontal="center"/>
    </xf>
    <xf numFmtId="0" fontId="12" fillId="0" borderId="4" xfId="2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2" fillId="0" borderId="5" xfId="2" applyFont="1" applyBorder="1" applyAlignment="1">
      <alignment horizontal="center"/>
    </xf>
    <xf numFmtId="0" fontId="12" fillId="0" borderId="6" xfId="2" applyFont="1" applyBorder="1" applyAlignment="1">
      <alignment horizontal="center"/>
    </xf>
    <xf numFmtId="0" fontId="12" fillId="0" borderId="7" xfId="2" applyFont="1" applyBorder="1" applyAlignment="1">
      <alignment horizontal="center"/>
    </xf>
    <xf numFmtId="0" fontId="12" fillId="0" borderId="8" xfId="2" applyFont="1" applyBorder="1" applyAlignment="1">
      <alignment horizontal="center"/>
    </xf>
    <xf numFmtId="0" fontId="13" fillId="0" borderId="9" xfId="2" applyFont="1" applyBorder="1"/>
    <xf numFmtId="0" fontId="9" fillId="4" borderId="10" xfId="2" applyFont="1" applyFill="1" applyBorder="1" applyAlignment="1">
      <alignment horizontal="center"/>
    </xf>
    <xf numFmtId="167" fontId="13" fillId="0" borderId="2" xfId="2" applyNumberFormat="1" applyFont="1" applyBorder="1"/>
    <xf numFmtId="167" fontId="13" fillId="0" borderId="3" xfId="2" applyNumberFormat="1" applyFont="1" applyBorder="1"/>
    <xf numFmtId="169" fontId="9" fillId="0" borderId="0" xfId="3" applyNumberFormat="1" applyFont="1"/>
    <xf numFmtId="170" fontId="13" fillId="0" borderId="3" xfId="3" applyNumberFormat="1" applyFont="1" applyBorder="1"/>
    <xf numFmtId="170" fontId="13" fillId="0" borderId="0" xfId="3" applyNumberFormat="1" applyFont="1"/>
    <xf numFmtId="4" fontId="13" fillId="0" borderId="1" xfId="2" applyNumberFormat="1" applyFont="1" applyBorder="1"/>
    <xf numFmtId="8" fontId="13" fillId="0" borderId="1" xfId="3" applyNumberFormat="1" applyFont="1" applyBorder="1"/>
    <xf numFmtId="10" fontId="13" fillId="0" borderId="0" xfId="4" applyNumberFormat="1" applyFont="1"/>
    <xf numFmtId="0" fontId="13" fillId="0" borderId="0" xfId="2" applyFont="1"/>
    <xf numFmtId="167" fontId="13" fillId="0" borderId="11" xfId="2" applyNumberFormat="1" applyFont="1" applyBorder="1"/>
    <xf numFmtId="167" fontId="13" fillId="0" borderId="0" xfId="2" applyNumberFormat="1" applyFont="1"/>
    <xf numFmtId="4" fontId="13" fillId="0" borderId="9" xfId="2" applyNumberFormat="1" applyFont="1" applyBorder="1"/>
    <xf numFmtId="8" fontId="13" fillId="0" borderId="9" xfId="3" applyNumberFormat="1" applyFont="1" applyBorder="1"/>
    <xf numFmtId="0" fontId="13" fillId="2" borderId="9" xfId="2" quotePrefix="1" applyFont="1" applyFill="1" applyBorder="1" applyAlignment="1">
      <alignment horizontal="center"/>
    </xf>
    <xf numFmtId="0" fontId="13" fillId="2" borderId="12" xfId="2" applyFont="1" applyFill="1" applyBorder="1" applyAlignment="1">
      <alignment horizontal="center"/>
    </xf>
    <xf numFmtId="167" fontId="13" fillId="0" borderId="13" xfId="2" applyNumberFormat="1" applyFont="1" applyBorder="1"/>
    <xf numFmtId="167" fontId="13" fillId="0" borderId="14" xfId="2" applyNumberFormat="1" applyFont="1" applyBorder="1"/>
    <xf numFmtId="169" fontId="9" fillId="0" borderId="14" xfId="3" applyNumberFormat="1" applyFont="1" applyBorder="1"/>
    <xf numFmtId="170" fontId="13" fillId="0" borderId="14" xfId="3" applyNumberFormat="1" applyFont="1" applyBorder="1"/>
    <xf numFmtId="4" fontId="13" fillId="0" borderId="12" xfId="2" applyNumberFormat="1" applyFont="1" applyBorder="1"/>
    <xf numFmtId="8" fontId="13" fillId="0" borderId="12" xfId="3" applyNumberFormat="1" applyFont="1" applyBorder="1"/>
    <xf numFmtId="0" fontId="12" fillId="3" borderId="0" xfId="2" applyFont="1" applyFill="1" applyAlignment="1">
      <alignment horizontal="center"/>
    </xf>
    <xf numFmtId="0" fontId="10" fillId="3" borderId="0" xfId="2" applyFont="1" applyFill="1"/>
    <xf numFmtId="0" fontId="12" fillId="0" borderId="13" xfId="2" applyFont="1" applyBorder="1" applyAlignment="1">
      <alignment horizontal="centerContinuous"/>
    </xf>
    <xf numFmtId="0" fontId="12" fillId="0" borderId="14" xfId="2" applyFont="1" applyBorder="1" applyAlignment="1">
      <alignment horizontal="centerContinuous"/>
    </xf>
    <xf numFmtId="0" fontId="12" fillId="0" borderId="15" xfId="2" applyFont="1" applyBorder="1" applyAlignment="1">
      <alignment horizontal="centerContinuous"/>
    </xf>
    <xf numFmtId="0" fontId="12" fillId="0" borderId="13" xfId="2" applyFont="1" applyBorder="1" applyAlignment="1">
      <alignment horizontal="center"/>
    </xf>
    <xf numFmtId="0" fontId="12" fillId="0" borderId="14" xfId="2" applyFont="1" applyBorder="1" applyAlignment="1">
      <alignment horizontal="center"/>
    </xf>
    <xf numFmtId="0" fontId="12" fillId="0" borderId="15" xfId="2" applyFont="1" applyBorder="1" applyAlignment="1">
      <alignment horizontal="center"/>
    </xf>
    <xf numFmtId="0" fontId="12" fillId="0" borderId="9" xfId="2" applyFont="1" applyBorder="1" applyAlignment="1">
      <alignment horizontal="center"/>
    </xf>
    <xf numFmtId="0" fontId="9" fillId="0" borderId="9" xfId="2" applyFont="1" applyBorder="1"/>
    <xf numFmtId="0" fontId="9" fillId="0" borderId="9" xfId="2" applyFont="1" applyBorder="1" applyAlignment="1">
      <alignment horizontal="center"/>
    </xf>
    <xf numFmtId="170" fontId="9" fillId="0" borderId="0" xfId="2" applyNumberFormat="1" applyFont="1" applyAlignment="1">
      <alignment horizontal="center"/>
    </xf>
    <xf numFmtId="170" fontId="9" fillId="0" borderId="4" xfId="2" applyNumberFormat="1" applyFont="1" applyBorder="1" applyAlignment="1">
      <alignment horizontal="center"/>
    </xf>
    <xf numFmtId="167" fontId="9" fillId="0" borderId="0" xfId="2" applyNumberFormat="1" applyFont="1" applyAlignment="1">
      <alignment horizontal="center"/>
    </xf>
    <xf numFmtId="167" fontId="9" fillId="0" borderId="16" xfId="2" applyNumberFormat="1" applyFont="1" applyBorder="1" applyAlignment="1">
      <alignment horizontal="center"/>
    </xf>
    <xf numFmtId="167" fontId="9" fillId="0" borderId="11" xfId="2" applyNumberFormat="1" applyFont="1" applyBorder="1" applyAlignment="1">
      <alignment horizontal="center"/>
    </xf>
    <xf numFmtId="164" fontId="13" fillId="0" borderId="1" xfId="4" applyNumberFormat="1" applyFont="1" applyBorder="1" applyAlignment="1">
      <alignment horizontal="center"/>
    </xf>
    <xf numFmtId="170" fontId="9" fillId="0" borderId="16" xfId="2" applyNumberFormat="1" applyFont="1" applyBorder="1" applyAlignment="1">
      <alignment horizontal="center"/>
    </xf>
    <xf numFmtId="0" fontId="9" fillId="0" borderId="0" xfId="2" quotePrefix="1" applyFont="1"/>
    <xf numFmtId="170" fontId="9" fillId="0" borderId="11" xfId="2" applyNumberFormat="1" applyFont="1" applyBorder="1" applyAlignment="1">
      <alignment horizontal="center"/>
    </xf>
    <xf numFmtId="0" fontId="9" fillId="0" borderId="12" xfId="2" applyFont="1" applyBorder="1"/>
    <xf numFmtId="3" fontId="9" fillId="0" borderId="13" xfId="2" applyNumberFormat="1" applyFont="1" applyBorder="1" applyAlignment="1">
      <alignment horizontal="center"/>
    </xf>
    <xf numFmtId="3" fontId="9" fillId="0" borderId="14" xfId="2" applyNumberFormat="1" applyFont="1" applyBorder="1" applyAlignment="1">
      <alignment horizontal="center"/>
    </xf>
    <xf numFmtId="3" fontId="9" fillId="0" borderId="15" xfId="2" applyNumberFormat="1" applyFont="1" applyBorder="1" applyAlignment="1">
      <alignment horizontal="center"/>
    </xf>
    <xf numFmtId="167" fontId="9" fillId="0" borderId="13" xfId="2" applyNumberFormat="1" applyFont="1" applyBorder="1" applyAlignment="1">
      <alignment horizontal="center"/>
    </xf>
    <xf numFmtId="167" fontId="9" fillId="0" borderId="14" xfId="2" applyNumberFormat="1" applyFont="1" applyBorder="1" applyAlignment="1">
      <alignment horizontal="center"/>
    </xf>
    <xf numFmtId="167" fontId="9" fillId="0" borderId="15" xfId="2" applyNumberFormat="1" applyFont="1" applyBorder="1" applyAlignment="1">
      <alignment horizontal="center"/>
    </xf>
    <xf numFmtId="164" fontId="13" fillId="0" borderId="12" xfId="4" applyNumberFormat="1" applyFont="1" applyBorder="1" applyAlignment="1">
      <alignment horizontal="center"/>
    </xf>
    <xf numFmtId="3" fontId="9" fillId="0" borderId="3" xfId="2" applyNumberFormat="1" applyFont="1" applyBorder="1" applyAlignment="1">
      <alignment horizontal="centerContinuous"/>
    </xf>
    <xf numFmtId="3" fontId="9" fillId="0" borderId="4" xfId="2" applyNumberFormat="1" applyFont="1" applyBorder="1" applyAlignment="1">
      <alignment horizontal="centerContinuous"/>
    </xf>
    <xf numFmtId="0" fontId="9" fillId="0" borderId="11" xfId="2" applyFont="1" applyBorder="1" applyAlignment="1">
      <alignment horizontal="center"/>
    </xf>
    <xf numFmtId="167" fontId="9" fillId="0" borderId="9" xfId="2" applyNumberFormat="1" applyFont="1" applyBorder="1" applyAlignment="1">
      <alignment horizontal="center"/>
    </xf>
    <xf numFmtId="171" fontId="9" fillId="0" borderId="11" xfId="3" applyNumberFormat="1" applyFont="1" applyBorder="1" applyAlignment="1">
      <alignment horizontal="center"/>
    </xf>
    <xf numFmtId="171" fontId="9" fillId="0" borderId="0" xfId="3" applyNumberFormat="1" applyFont="1" applyAlignment="1">
      <alignment horizontal="center"/>
    </xf>
    <xf numFmtId="171" fontId="9" fillId="0" borderId="16" xfId="3" applyNumberFormat="1" applyFont="1" applyBorder="1" applyAlignment="1">
      <alignment horizontal="center"/>
    </xf>
    <xf numFmtId="171" fontId="9" fillId="0" borderId="11" xfId="2" applyNumberFormat="1" applyFont="1" applyBorder="1" applyAlignment="1">
      <alignment horizontal="center"/>
    </xf>
    <xf numFmtId="171" fontId="9" fillId="0" borderId="0" xfId="2" applyNumberFormat="1" applyFont="1" applyAlignment="1">
      <alignment horizontal="center"/>
    </xf>
    <xf numFmtId="171" fontId="9" fillId="0" borderId="16" xfId="2" applyNumberFormat="1" applyFont="1" applyBorder="1" applyAlignment="1">
      <alignment horizontal="center"/>
    </xf>
    <xf numFmtId="167" fontId="9" fillId="0" borderId="12" xfId="2" applyNumberFormat="1" applyFont="1" applyBorder="1" applyAlignment="1">
      <alignment horizontal="center"/>
    </xf>
    <xf numFmtId="171" fontId="9" fillId="0" borderId="13" xfId="3" applyNumberFormat="1" applyFont="1" applyBorder="1" applyAlignment="1">
      <alignment horizontal="center"/>
    </xf>
    <xf numFmtId="171" fontId="9" fillId="0" borderId="14" xfId="3" applyNumberFormat="1" applyFont="1" applyBorder="1" applyAlignment="1">
      <alignment horizontal="center"/>
    </xf>
    <xf numFmtId="171" fontId="9" fillId="0" borderId="15" xfId="3" applyNumberFormat="1" applyFont="1" applyBorder="1" applyAlignment="1">
      <alignment horizontal="center"/>
    </xf>
    <xf numFmtId="171" fontId="9" fillId="0" borderId="13" xfId="2" applyNumberFormat="1" applyFont="1" applyBorder="1" applyAlignment="1">
      <alignment horizontal="center"/>
    </xf>
    <xf numFmtId="171" fontId="9" fillId="0" borderId="14" xfId="2" applyNumberFormat="1" applyFont="1" applyBorder="1" applyAlignment="1">
      <alignment horizontal="center"/>
    </xf>
    <xf numFmtId="171" fontId="9" fillId="0" borderId="15" xfId="2" applyNumberFormat="1" applyFont="1" applyBorder="1" applyAlignment="1">
      <alignment horizontal="center"/>
    </xf>
    <xf numFmtId="171" fontId="9" fillId="0" borderId="2" xfId="3" applyNumberFormat="1" applyFont="1" applyBorder="1" applyAlignment="1">
      <alignment horizontal="center"/>
    </xf>
    <xf numFmtId="171" fontId="9" fillId="0" borderId="3" xfId="3" applyNumberFormat="1" applyFont="1" applyBorder="1" applyAlignment="1">
      <alignment horizontal="center"/>
    </xf>
    <xf numFmtId="171" fontId="9" fillId="0" borderId="4" xfId="3" applyNumberFormat="1" applyFont="1" applyBorder="1" applyAlignment="1">
      <alignment horizontal="center"/>
    </xf>
    <xf numFmtId="171" fontId="9" fillId="0" borderId="2" xfId="2" applyNumberFormat="1" applyFont="1" applyBorder="1" applyAlignment="1">
      <alignment horizontal="center"/>
    </xf>
    <xf numFmtId="171" fontId="9" fillId="0" borderId="3" xfId="2" applyNumberFormat="1" applyFont="1" applyBorder="1" applyAlignment="1">
      <alignment horizontal="center"/>
    </xf>
    <xf numFmtId="171" fontId="9" fillId="0" borderId="4" xfId="2" applyNumberFormat="1" applyFont="1" applyBorder="1" applyAlignment="1">
      <alignment horizontal="center"/>
    </xf>
    <xf numFmtId="171" fontId="9" fillId="0" borderId="6" xfId="3" applyNumberFormat="1" applyFont="1" applyBorder="1" applyAlignment="1">
      <alignment horizontal="center"/>
    </xf>
    <xf numFmtId="171" fontId="9" fillId="0" borderId="7" xfId="3" applyNumberFormat="1" applyFont="1" applyBorder="1" applyAlignment="1">
      <alignment horizontal="center"/>
    </xf>
    <xf numFmtId="171" fontId="9" fillId="0" borderId="8" xfId="3" applyNumberFormat="1" applyFont="1" applyBorder="1" applyAlignment="1">
      <alignment horizontal="center"/>
    </xf>
    <xf numFmtId="171" fontId="9" fillId="0" borderId="6" xfId="2" applyNumberFormat="1" applyFont="1" applyBorder="1" applyAlignment="1">
      <alignment horizontal="center"/>
    </xf>
    <xf numFmtId="171" fontId="9" fillId="0" borderId="7" xfId="2" applyNumberFormat="1" applyFont="1" applyBorder="1" applyAlignment="1">
      <alignment horizontal="center"/>
    </xf>
    <xf numFmtId="171" fontId="9" fillId="0" borderId="8" xfId="2" applyNumberFormat="1" applyFont="1" applyBorder="1" applyAlignment="1">
      <alignment horizontal="center"/>
    </xf>
    <xf numFmtId="172" fontId="9" fillId="0" borderId="2" xfId="5" applyFont="1" applyBorder="1" applyAlignment="1">
      <alignment horizontal="center"/>
    </xf>
    <xf numFmtId="172" fontId="9" fillId="0" borderId="3" xfId="5" applyFont="1" applyBorder="1" applyAlignment="1">
      <alignment horizontal="center"/>
    </xf>
    <xf numFmtId="172" fontId="9" fillId="0" borderId="4" xfId="5" applyFont="1" applyBorder="1" applyAlignment="1">
      <alignment horizontal="center"/>
    </xf>
    <xf numFmtId="172" fontId="9" fillId="0" borderId="6" xfId="5" applyFont="1" applyBorder="1" applyAlignment="1">
      <alignment horizontal="center"/>
    </xf>
    <xf numFmtId="172" fontId="9" fillId="0" borderId="7" xfId="5" applyFont="1" applyBorder="1" applyAlignment="1">
      <alignment horizontal="center"/>
    </xf>
    <xf numFmtId="172" fontId="9" fillId="0" borderId="8" xfId="5" applyFont="1" applyBorder="1" applyAlignment="1">
      <alignment horizontal="center"/>
    </xf>
    <xf numFmtId="0" fontId="15" fillId="0" borderId="0" xfId="2" applyFont="1"/>
    <xf numFmtId="0" fontId="15" fillId="0" borderId="0" xfId="2" applyFont="1" applyAlignment="1">
      <alignment horizontal="center"/>
    </xf>
    <xf numFmtId="0" fontId="15" fillId="0" borderId="0" xfId="6" applyFont="1" applyProtection="1">
      <protection locked="0"/>
    </xf>
    <xf numFmtId="167" fontId="17" fillId="0" borderId="0" xfId="6" applyNumberFormat="1" applyFont="1" applyProtection="1">
      <protection locked="0"/>
    </xf>
    <xf numFmtId="0" fontId="13" fillId="0" borderId="1" xfId="2" applyFont="1" applyBorder="1"/>
    <xf numFmtId="0" fontId="18" fillId="0" borderId="1" xfId="2" applyFont="1" applyBorder="1" applyAlignment="1">
      <alignment horizontal="center"/>
    </xf>
    <xf numFmtId="0" fontId="18" fillId="0" borderId="2" xfId="2" applyFont="1" applyBorder="1" applyAlignment="1">
      <alignment horizontal="center"/>
    </xf>
    <xf numFmtId="0" fontId="18" fillId="0" borderId="3" xfId="2" applyFont="1" applyBorder="1" applyAlignment="1">
      <alignment horizontal="center"/>
    </xf>
    <xf numFmtId="0" fontId="18" fillId="0" borderId="4" xfId="2" applyFont="1" applyBorder="1" applyAlignment="1">
      <alignment horizontal="center"/>
    </xf>
    <xf numFmtId="0" fontId="18" fillId="0" borderId="5" xfId="2" applyFont="1" applyBorder="1" applyAlignment="1">
      <alignment horizontal="center"/>
    </xf>
    <xf numFmtId="0" fontId="18" fillId="0" borderId="6" xfId="2" applyFont="1" applyBorder="1" applyAlignment="1">
      <alignment horizontal="center"/>
    </xf>
    <xf numFmtId="0" fontId="18" fillId="0" borderId="7" xfId="2" applyFont="1" applyBorder="1" applyAlignment="1">
      <alignment horizontal="center"/>
    </xf>
    <xf numFmtId="0" fontId="18" fillId="0" borderId="8" xfId="2" applyFont="1" applyBorder="1" applyAlignment="1">
      <alignment horizontal="center"/>
    </xf>
    <xf numFmtId="0" fontId="13" fillId="0" borderId="11" xfId="2" applyFont="1" applyBorder="1" applyAlignment="1">
      <alignment horizontal="center"/>
    </xf>
    <xf numFmtId="164" fontId="13" fillId="0" borderId="2" xfId="4" applyNumberFormat="1" applyFont="1" applyBorder="1" applyAlignment="1">
      <alignment horizontal="center"/>
    </xf>
    <xf numFmtId="164" fontId="13" fillId="0" borderId="3" xfId="4" applyNumberFormat="1" applyFont="1" applyBorder="1" applyAlignment="1">
      <alignment horizontal="center"/>
    </xf>
    <xf numFmtId="2" fontId="13" fillId="0" borderId="2" xfId="4" applyNumberFormat="1" applyFont="1" applyBorder="1" applyAlignment="1">
      <alignment horizontal="center"/>
    </xf>
    <xf numFmtId="2" fontId="13" fillId="5" borderId="3" xfId="4" applyNumberFormat="1" applyFont="1" applyFill="1" applyBorder="1" applyAlignment="1">
      <alignment horizontal="center"/>
    </xf>
    <xf numFmtId="2" fontId="13" fillId="0" borderId="3" xfId="4" applyNumberFormat="1" applyFont="1" applyBorder="1" applyAlignment="1">
      <alignment horizontal="center"/>
    </xf>
    <xf numFmtId="2" fontId="13" fillId="0" borderId="11" xfId="4" applyNumberFormat="1" applyFont="1" applyBorder="1" applyAlignment="1">
      <alignment horizontal="center"/>
    </xf>
    <xf numFmtId="2" fontId="13" fillId="0" borderId="16" xfId="4" applyNumberFormat="1" applyFont="1" applyBorder="1" applyAlignment="1">
      <alignment horizontal="center"/>
    </xf>
    <xf numFmtId="2" fontId="13" fillId="5" borderId="11" xfId="4" applyNumberFormat="1" applyFont="1" applyFill="1" applyBorder="1" applyAlignment="1">
      <alignment horizontal="center"/>
    </xf>
    <xf numFmtId="2" fontId="13" fillId="5" borderId="16" xfId="4" applyNumberFormat="1" applyFont="1" applyFill="1" applyBorder="1" applyAlignment="1">
      <alignment horizontal="center"/>
    </xf>
    <xf numFmtId="2" fontId="13" fillId="0" borderId="9" xfId="4" applyNumberFormat="1" applyFont="1" applyBorder="1" applyAlignment="1">
      <alignment horizontal="center"/>
    </xf>
    <xf numFmtId="164" fontId="13" fillId="0" borderId="11" xfId="4" applyNumberFormat="1" applyFont="1" applyBorder="1" applyAlignment="1">
      <alignment horizontal="center"/>
    </xf>
    <xf numFmtId="164" fontId="13" fillId="0" borderId="0" xfId="4" applyNumberFormat="1" applyFont="1" applyAlignment="1">
      <alignment horizontal="center"/>
    </xf>
    <xf numFmtId="164" fontId="13" fillId="0" borderId="16" xfId="4" applyNumberFormat="1" applyFont="1" applyBorder="1" applyAlignment="1">
      <alignment horizontal="center"/>
    </xf>
    <xf numFmtId="2" fontId="13" fillId="5" borderId="0" xfId="4" applyNumberFormat="1" applyFont="1" applyFill="1" applyAlignment="1">
      <alignment horizontal="center"/>
    </xf>
    <xf numFmtId="2" fontId="13" fillId="0" borderId="0" xfId="4" applyNumberFormat="1" applyFont="1" applyAlignment="1">
      <alignment horizontal="center"/>
    </xf>
    <xf numFmtId="0" fontId="13" fillId="0" borderId="12" xfId="2" applyFont="1" applyBorder="1"/>
    <xf numFmtId="0" fontId="13" fillId="0" borderId="12" xfId="2" applyFont="1" applyBorder="1" applyAlignment="1">
      <alignment horizontal="center"/>
    </xf>
    <xf numFmtId="164" fontId="13" fillId="0" borderId="13" xfId="4" applyNumberFormat="1" applyFont="1" applyBorder="1" applyAlignment="1">
      <alignment horizontal="center"/>
    </xf>
    <xf numFmtId="164" fontId="13" fillId="0" borderId="14" xfId="4" applyNumberFormat="1" applyFont="1" applyBorder="1" applyAlignment="1">
      <alignment horizontal="center"/>
    </xf>
    <xf numFmtId="164" fontId="13" fillId="0" borderId="15" xfId="4" applyNumberFormat="1" applyFont="1" applyBorder="1" applyAlignment="1">
      <alignment horizontal="center"/>
    </xf>
    <xf numFmtId="2" fontId="13" fillId="0" borderId="13" xfId="4" applyNumberFormat="1" applyFont="1" applyBorder="1" applyAlignment="1">
      <alignment horizontal="center"/>
    </xf>
    <xf numFmtId="2" fontId="13" fillId="5" borderId="14" xfId="4" applyNumberFormat="1" applyFont="1" applyFill="1" applyBorder="1" applyAlignment="1">
      <alignment horizontal="center"/>
    </xf>
    <xf numFmtId="2" fontId="13" fillId="0" borderId="14" xfId="4" applyNumberFormat="1" applyFont="1" applyBorder="1" applyAlignment="1">
      <alignment horizontal="center"/>
    </xf>
    <xf numFmtId="2" fontId="13" fillId="0" borderId="15" xfId="4" applyNumberFormat="1" applyFont="1" applyBorder="1" applyAlignment="1">
      <alignment horizontal="center"/>
    </xf>
    <xf numFmtId="2" fontId="13" fillId="5" borderId="13" xfId="4" applyNumberFormat="1" applyFont="1" applyFill="1" applyBorder="1" applyAlignment="1">
      <alignment horizontal="center"/>
    </xf>
    <xf numFmtId="2" fontId="13" fillId="5" borderId="15" xfId="4" applyNumberFormat="1" applyFont="1" applyFill="1" applyBorder="1" applyAlignment="1">
      <alignment horizontal="center"/>
    </xf>
    <xf numFmtId="2" fontId="13" fillId="0" borderId="12" xfId="4" applyNumberFormat="1" applyFont="1" applyBorder="1" applyAlignment="1">
      <alignment horizontal="center"/>
    </xf>
    <xf numFmtId="173" fontId="9" fillId="0" borderId="2" xfId="5" applyNumberFormat="1" applyFont="1" applyBorder="1" applyAlignment="1">
      <alignment horizontal="center"/>
    </xf>
    <xf numFmtId="173" fontId="9" fillId="0" borderId="3" xfId="5" applyNumberFormat="1" applyFont="1" applyBorder="1" applyAlignment="1">
      <alignment horizontal="center"/>
    </xf>
    <xf numFmtId="173" fontId="9" fillId="0" borderId="6" xfId="5" applyNumberFormat="1" applyFont="1" applyBorder="1" applyAlignment="1">
      <alignment horizontal="center"/>
    </xf>
    <xf numFmtId="173" fontId="9" fillId="0" borderId="7" xfId="5" applyNumberFormat="1" applyFont="1" applyBorder="1" applyAlignment="1">
      <alignment horizontal="center"/>
    </xf>
    <xf numFmtId="0" fontId="20" fillId="0" borderId="0" xfId="0" applyFont="1"/>
    <xf numFmtId="0" fontId="22" fillId="0" borderId="0" xfId="0" applyFont="1" applyAlignment="1">
      <alignment wrapText="1"/>
    </xf>
    <xf numFmtId="0" fontId="22" fillId="0" borderId="0" xfId="0" applyFont="1"/>
    <xf numFmtId="0" fontId="23" fillId="6" borderId="0" xfId="0" applyFont="1" applyFill="1" applyAlignment="1">
      <alignment wrapText="1"/>
    </xf>
    <xf numFmtId="0" fontId="24" fillId="7" borderId="0" xfId="0" applyFont="1" applyFill="1"/>
    <xf numFmtId="0" fontId="25" fillId="0" borderId="0" xfId="0" applyFont="1"/>
    <xf numFmtId="14" fontId="26" fillId="8" borderId="17" xfId="0" applyNumberFormat="1" applyFont="1" applyFill="1" applyBorder="1"/>
    <xf numFmtId="0" fontId="22" fillId="6" borderId="0" xfId="0" applyFont="1" applyFill="1"/>
    <xf numFmtId="0" fontId="27" fillId="0" borderId="0" xfId="0" applyFont="1"/>
    <xf numFmtId="0" fontId="23" fillId="0" borderId="0" xfId="0" applyFont="1" applyAlignment="1">
      <alignment wrapText="1"/>
    </xf>
    <xf numFmtId="0" fontId="22" fillId="9" borderId="18" xfId="0" applyFont="1" applyFill="1" applyBorder="1"/>
    <xf numFmtId="8" fontId="28" fillId="9" borderId="19" xfId="0" applyNumberFormat="1" applyFont="1" applyFill="1" applyBorder="1"/>
    <xf numFmtId="0" fontId="22" fillId="10" borderId="20" xfId="0" applyFont="1" applyFill="1" applyBorder="1"/>
    <xf numFmtId="2" fontId="22" fillId="10" borderId="21" xfId="0" applyNumberFormat="1" applyFont="1" applyFill="1" applyBorder="1"/>
    <xf numFmtId="0" fontId="29" fillId="11" borderId="0" xfId="0" applyFont="1" applyFill="1" applyAlignment="1">
      <alignment wrapText="1"/>
    </xf>
    <xf numFmtId="0" fontId="22" fillId="12" borderId="20" xfId="0" applyFont="1" applyFill="1" applyBorder="1"/>
    <xf numFmtId="10" fontId="22" fillId="12" borderId="21" xfId="0" applyNumberFormat="1" applyFont="1" applyFill="1" applyBorder="1"/>
    <xf numFmtId="0" fontId="22" fillId="12" borderId="22" xfId="0" applyFont="1" applyFill="1" applyBorder="1"/>
    <xf numFmtId="10" fontId="22" fillId="12" borderId="23" xfId="0" applyNumberFormat="1" applyFont="1" applyFill="1" applyBorder="1"/>
    <xf numFmtId="0" fontId="31" fillId="0" borderId="0" xfId="7" applyFont="1" applyAlignment="1">
      <alignment horizontal="center"/>
    </xf>
    <xf numFmtId="0" fontId="13" fillId="0" borderId="0" xfId="7" applyFont="1"/>
    <xf numFmtId="0" fontId="18" fillId="0" borderId="0" xfId="7" applyFont="1"/>
    <xf numFmtId="0" fontId="18" fillId="0" borderId="18" xfId="7" applyFont="1" applyBorder="1"/>
    <xf numFmtId="10" fontId="18" fillId="0" borderId="26" xfId="7" applyNumberFormat="1" applyFont="1" applyBorder="1"/>
    <xf numFmtId="10" fontId="18" fillId="0" borderId="19" xfId="7" applyNumberFormat="1" applyFont="1" applyBorder="1"/>
    <xf numFmtId="14" fontId="13" fillId="0" borderId="0" xfId="7" applyNumberFormat="1" applyFont="1"/>
    <xf numFmtId="3" fontId="9" fillId="0" borderId="0" xfId="7" applyNumberFormat="1" applyFont="1"/>
    <xf numFmtId="0" fontId="13" fillId="0" borderId="20" xfId="7" applyFont="1" applyBorder="1"/>
    <xf numFmtId="14" fontId="13" fillId="0" borderId="21" xfId="7" applyNumberFormat="1" applyFont="1" applyBorder="1" applyAlignment="1">
      <alignment horizontal="right"/>
    </xf>
    <xf numFmtId="3" fontId="13" fillId="0" borderId="0" xfId="7" applyNumberFormat="1" applyFont="1"/>
    <xf numFmtId="0" fontId="13" fillId="0" borderId="21" xfId="7" applyFont="1" applyBorder="1"/>
    <xf numFmtId="4" fontId="0" fillId="0" borderId="0" xfId="2" applyNumberFormat="1" applyFont="1"/>
    <xf numFmtId="0" fontId="32" fillId="0" borderId="21" xfId="7" applyFont="1" applyBorder="1"/>
    <xf numFmtId="167" fontId="33" fillId="0" borderId="0" xfId="7" applyNumberFormat="1" applyFont="1"/>
    <xf numFmtId="0" fontId="13" fillId="0" borderId="18" xfId="7" applyFont="1" applyBorder="1"/>
    <xf numFmtId="0" fontId="13" fillId="0" borderId="26" xfId="7" applyFont="1" applyBorder="1"/>
    <xf numFmtId="10" fontId="13" fillId="0" borderId="19" xfId="7" applyNumberFormat="1" applyFont="1" applyBorder="1"/>
    <xf numFmtId="0" fontId="13" fillId="0" borderId="22" xfId="7" applyFont="1" applyBorder="1"/>
    <xf numFmtId="0" fontId="13" fillId="0" borderId="23" xfId="7" applyFont="1" applyBorder="1"/>
    <xf numFmtId="0" fontId="13" fillId="0" borderId="27" xfId="7" applyFont="1" applyBorder="1"/>
    <xf numFmtId="10" fontId="13" fillId="0" borderId="23" xfId="8" applyNumberFormat="1" applyFont="1" applyBorder="1"/>
    <xf numFmtId="2" fontId="18" fillId="0" borderId="0" xfId="7" applyNumberFormat="1" applyFont="1"/>
    <xf numFmtId="0" fontId="18" fillId="0" borderId="0" xfId="7" applyFont="1" applyAlignment="1">
      <alignment horizontal="centerContinuous"/>
    </xf>
    <xf numFmtId="174" fontId="18" fillId="0" borderId="7" xfId="7" applyNumberFormat="1" applyFont="1" applyBorder="1"/>
    <xf numFmtId="2" fontId="13" fillId="0" borderId="0" xfId="7" applyNumberFormat="1" applyFont="1"/>
    <xf numFmtId="0" fontId="18" fillId="0" borderId="7" xfId="7" applyFont="1" applyBorder="1"/>
    <xf numFmtId="0" fontId="13" fillId="0" borderId="7" xfId="7" applyFont="1" applyBorder="1"/>
    <xf numFmtId="37" fontId="13" fillId="0" borderId="7" xfId="7" applyNumberFormat="1" applyFont="1" applyBorder="1"/>
    <xf numFmtId="37" fontId="13" fillId="0" borderId="0" xfId="7" applyNumberFormat="1" applyFont="1"/>
    <xf numFmtId="0" fontId="34" fillId="0" borderId="0" xfId="7" applyFont="1"/>
    <xf numFmtId="9" fontId="13" fillId="0" borderId="0" xfId="4" applyFont="1"/>
    <xf numFmtId="10" fontId="18" fillId="0" borderId="28" xfId="7" applyNumberFormat="1" applyFont="1" applyBorder="1"/>
    <xf numFmtId="164" fontId="18" fillId="0" borderId="0" xfId="7" applyNumberFormat="1" applyFont="1"/>
    <xf numFmtId="175" fontId="13" fillId="0" borderId="0" xfId="7" applyNumberFormat="1" applyFont="1"/>
    <xf numFmtId="4" fontId="13" fillId="0" borderId="0" xfId="7" applyNumberFormat="1" applyFont="1"/>
    <xf numFmtId="3" fontId="13" fillId="0" borderId="7" xfId="7" applyNumberFormat="1" applyFont="1" applyBorder="1"/>
    <xf numFmtId="0" fontId="18" fillId="0" borderId="29" xfId="7" applyFont="1" applyBorder="1"/>
    <xf numFmtId="2" fontId="18" fillId="0" borderId="29" xfId="7" applyNumberFormat="1" applyFont="1" applyBorder="1"/>
    <xf numFmtId="0" fontId="13" fillId="0" borderId="0" xfId="7" applyFont="1" applyAlignment="1">
      <alignment horizontal="centerContinuous"/>
    </xf>
    <xf numFmtId="167" fontId="35" fillId="0" borderId="0" xfId="7" applyNumberFormat="1" applyFont="1" applyAlignment="1">
      <alignment horizontal="right" vertical="center"/>
    </xf>
    <xf numFmtId="10" fontId="36" fillId="0" borderId="0" xfId="7" applyNumberFormat="1" applyFont="1" applyAlignment="1">
      <alignment horizontal="center"/>
    </xf>
    <xf numFmtId="164" fontId="37" fillId="0" borderId="0" xfId="7" applyNumberFormat="1" applyFont="1" applyAlignment="1">
      <alignment horizontal="center"/>
    </xf>
    <xf numFmtId="10" fontId="9" fillId="0" borderId="0" xfId="2" applyNumberFormat="1" applyFont="1"/>
    <xf numFmtId="164" fontId="36" fillId="0" borderId="0" xfId="7" applyNumberFormat="1" applyFont="1" applyAlignment="1">
      <alignment horizontal="right" vertical="center"/>
    </xf>
    <xf numFmtId="167" fontId="36" fillId="0" borderId="30" xfId="7" applyNumberFormat="1" applyFont="1" applyBorder="1" applyAlignment="1">
      <alignment horizontal="center"/>
    </xf>
    <xf numFmtId="167" fontId="36" fillId="0" borderId="31" xfId="7" applyNumberFormat="1" applyFont="1" applyBorder="1" applyAlignment="1">
      <alignment horizontal="center"/>
    </xf>
    <xf numFmtId="167" fontId="36" fillId="5" borderId="31" xfId="7" applyNumberFormat="1" applyFont="1" applyFill="1" applyBorder="1" applyAlignment="1">
      <alignment horizontal="center"/>
    </xf>
    <xf numFmtId="167" fontId="36" fillId="0" borderId="32" xfId="7" applyNumberFormat="1" applyFont="1" applyBorder="1" applyAlignment="1">
      <alignment horizontal="center"/>
    </xf>
    <xf numFmtId="167" fontId="36" fillId="0" borderId="33" xfId="7" applyNumberFormat="1" applyFont="1" applyBorder="1" applyAlignment="1">
      <alignment horizontal="center"/>
    </xf>
    <xf numFmtId="167" fontId="36" fillId="0" borderId="0" xfId="7" applyNumberFormat="1" applyFont="1" applyAlignment="1">
      <alignment horizontal="center"/>
    </xf>
    <xf numFmtId="167" fontId="36" fillId="5" borderId="0" xfId="7" applyNumberFormat="1" applyFont="1" applyFill="1" applyAlignment="1">
      <alignment horizontal="center"/>
    </xf>
    <xf numFmtId="167" fontId="36" fillId="0" borderId="34" xfId="7" applyNumberFormat="1" applyFont="1" applyBorder="1" applyAlignment="1">
      <alignment horizontal="center"/>
    </xf>
    <xf numFmtId="0" fontId="38" fillId="0" borderId="0" xfId="7" applyFont="1" applyAlignment="1">
      <alignment horizontal="center"/>
    </xf>
    <xf numFmtId="164" fontId="37" fillId="0" borderId="0" xfId="7" applyNumberFormat="1" applyFont="1" applyAlignment="1">
      <alignment horizontal="right" vertical="center"/>
    </xf>
    <xf numFmtId="167" fontId="36" fillId="5" borderId="33" xfId="7" applyNumberFormat="1" applyFont="1" applyFill="1" applyBorder="1" applyAlignment="1">
      <alignment horizontal="center" vertical="center"/>
    </xf>
    <xf numFmtId="167" fontId="36" fillId="5" borderId="0" xfId="7" applyNumberFormat="1" applyFont="1" applyFill="1" applyAlignment="1">
      <alignment horizontal="center" vertical="center"/>
    </xf>
    <xf numFmtId="167" fontId="36" fillId="5" borderId="34" xfId="7" applyNumberFormat="1" applyFont="1" applyFill="1" applyBorder="1" applyAlignment="1">
      <alignment horizontal="center" vertical="center"/>
    </xf>
    <xf numFmtId="167" fontId="36" fillId="0" borderId="35" xfId="7" applyNumberFormat="1" applyFont="1" applyBorder="1" applyAlignment="1">
      <alignment horizontal="center"/>
    </xf>
    <xf numFmtId="167" fontId="36" fillId="0" borderId="36" xfId="7" applyNumberFormat="1" applyFont="1" applyBorder="1" applyAlignment="1">
      <alignment horizontal="center"/>
    </xf>
    <xf numFmtId="167" fontId="36" fillId="5" borderId="36" xfId="7" applyNumberFormat="1" applyFont="1" applyFill="1" applyBorder="1" applyAlignment="1">
      <alignment horizontal="center"/>
    </xf>
    <xf numFmtId="167" fontId="36" fillId="0" borderId="37" xfId="7" applyNumberFormat="1" applyFont="1" applyBorder="1" applyAlignment="1">
      <alignment horizontal="center"/>
    </xf>
    <xf numFmtId="10" fontId="13" fillId="0" borderId="0" xfId="7" applyNumberFormat="1" applyFont="1"/>
    <xf numFmtId="4" fontId="13" fillId="0" borderId="0" xfId="7" applyNumberFormat="1" applyFont="1" applyAlignment="1">
      <alignment horizontal="center"/>
    </xf>
    <xf numFmtId="4" fontId="18" fillId="0" borderId="29" xfId="7" applyNumberFormat="1" applyFont="1" applyBorder="1"/>
    <xf numFmtId="4" fontId="18" fillId="0" borderId="0" xfId="7" applyNumberFormat="1" applyFont="1"/>
    <xf numFmtId="0" fontId="13" fillId="0" borderId="0" xfId="7" applyFont="1" applyAlignment="1">
      <alignment horizontal="centerContinuous" vertical="center"/>
    </xf>
    <xf numFmtId="0" fontId="38" fillId="0" borderId="0" xfId="7" applyFont="1" applyAlignment="1">
      <alignment horizontal="centerContinuous" vertical="center"/>
    </xf>
    <xf numFmtId="10" fontId="37" fillId="0" borderId="0" xfId="7" applyNumberFormat="1" applyFont="1" applyAlignment="1">
      <alignment horizontal="right" vertical="center"/>
    </xf>
    <xf numFmtId="0" fontId="40" fillId="0" borderId="0" xfId="2" applyFont="1"/>
    <xf numFmtId="0" fontId="40" fillId="0" borderId="0" xfId="2" applyFont="1" applyAlignment="1">
      <alignment wrapText="1"/>
    </xf>
    <xf numFmtId="0" fontId="41" fillId="0" borderId="0" xfId="2" applyFont="1"/>
    <xf numFmtId="0" fontId="42" fillId="0" borderId="0" xfId="2" applyFont="1"/>
    <xf numFmtId="0" fontId="42" fillId="0" borderId="0" xfId="2" applyFont="1" applyAlignment="1">
      <alignment wrapText="1"/>
    </xf>
    <xf numFmtId="0" fontId="43" fillId="0" borderId="0" xfId="2" applyFont="1"/>
    <xf numFmtId="0" fontId="43" fillId="0" borderId="0" xfId="2" applyFont="1" applyAlignment="1">
      <alignment wrapText="1"/>
    </xf>
    <xf numFmtId="0" fontId="0" fillId="0" borderId="0" xfId="2" applyFont="1"/>
    <xf numFmtId="0" fontId="45" fillId="0" borderId="0" xfId="2" applyFont="1" applyAlignment="1">
      <alignment wrapText="1"/>
    </xf>
    <xf numFmtId="0" fontId="46" fillId="0" borderId="0" xfId="2" applyFont="1"/>
    <xf numFmtId="0" fontId="42" fillId="0" borderId="20" xfId="2" applyFont="1" applyBorder="1"/>
    <xf numFmtId="0" fontId="49" fillId="6" borderId="0" xfId="2" applyFont="1" applyFill="1"/>
    <xf numFmtId="0" fontId="50" fillId="0" borderId="0" xfId="2" applyFont="1"/>
    <xf numFmtId="0" fontId="19" fillId="0" borderId="21" xfId="9" applyBorder="1"/>
    <xf numFmtId="0" fontId="42" fillId="0" borderId="9" xfId="2" applyFont="1" applyBorder="1" applyAlignment="1">
      <alignment wrapText="1"/>
    </xf>
    <xf numFmtId="10" fontId="49" fillId="2" borderId="0" xfId="2" applyNumberFormat="1" applyFont="1" applyFill="1"/>
    <xf numFmtId="0" fontId="46" fillId="0" borderId="21" xfId="2" applyFont="1" applyBorder="1"/>
    <xf numFmtId="10" fontId="49" fillId="6" borderId="0" xfId="2" applyNumberFormat="1" applyFont="1" applyFill="1"/>
    <xf numFmtId="0" fontId="53" fillId="0" borderId="0" xfId="2" applyFont="1"/>
    <xf numFmtId="10" fontId="43" fillId="0" borderId="0" xfId="2" applyNumberFormat="1" applyFont="1"/>
    <xf numFmtId="0" fontId="42" fillId="0" borderId="21" xfId="2" applyFont="1" applyBorder="1"/>
    <xf numFmtId="0" fontId="43" fillId="0" borderId="20" xfId="2" applyFont="1" applyBorder="1"/>
    <xf numFmtId="8" fontId="49" fillId="6" borderId="0" xfId="2" applyNumberFormat="1" applyFont="1" applyFill="1"/>
    <xf numFmtId="14" fontId="42" fillId="0" borderId="9" xfId="2" applyNumberFormat="1" applyFont="1" applyBorder="1" applyAlignment="1">
      <alignment wrapText="1"/>
    </xf>
    <xf numFmtId="0" fontId="46" fillId="0" borderId="2" xfId="2" applyFont="1" applyBorder="1"/>
    <xf numFmtId="0" fontId="46" fillId="0" borderId="3" xfId="2" applyFont="1" applyBorder="1"/>
    <xf numFmtId="0" fontId="46" fillId="0" borderId="4" xfId="2" applyFont="1" applyBorder="1"/>
    <xf numFmtId="0" fontId="42" fillId="13" borderId="0" xfId="2" applyFont="1" applyFill="1" applyAlignment="1">
      <alignment wrapText="1"/>
    </xf>
    <xf numFmtId="0" fontId="46" fillId="0" borderId="11" xfId="2" applyFont="1" applyBorder="1" applyAlignment="1">
      <alignment wrapText="1"/>
    </xf>
    <xf numFmtId="0" fontId="54" fillId="0" borderId="0" xfId="2" applyFont="1"/>
    <xf numFmtId="0" fontId="55" fillId="0" borderId="0" xfId="2" applyFont="1"/>
    <xf numFmtId="0" fontId="55" fillId="0" borderId="16" xfId="2" applyFont="1" applyBorder="1"/>
    <xf numFmtId="10" fontId="46" fillId="0" borderId="0" xfId="2" applyNumberFormat="1" applyFont="1"/>
    <xf numFmtId="0" fontId="46" fillId="0" borderId="16" xfId="2" applyFont="1" applyBorder="1"/>
    <xf numFmtId="176" fontId="43" fillId="0" borderId="0" xfId="2" applyNumberFormat="1" applyFont="1"/>
    <xf numFmtId="0" fontId="42" fillId="0" borderId="7" xfId="2" applyFont="1" applyBorder="1"/>
    <xf numFmtId="0" fontId="46" fillId="0" borderId="11" xfId="2" applyFont="1" applyBorder="1"/>
    <xf numFmtId="9" fontId="46" fillId="0" borderId="0" xfId="2" applyNumberFormat="1" applyFont="1"/>
    <xf numFmtId="0" fontId="46" fillId="0" borderId="6" xfId="2" applyFont="1" applyBorder="1"/>
    <xf numFmtId="10" fontId="46" fillId="0" borderId="7" xfId="2" applyNumberFormat="1" applyFont="1" applyBorder="1"/>
    <xf numFmtId="0" fontId="46" fillId="0" borderId="7" xfId="2" applyFont="1" applyBorder="1"/>
    <xf numFmtId="0" fontId="46" fillId="0" borderId="8" xfId="2" applyFont="1" applyBorder="1"/>
    <xf numFmtId="10" fontId="53" fillId="0" borderId="0" xfId="2" applyNumberFormat="1" applyFont="1"/>
    <xf numFmtId="176" fontId="49" fillId="0" borderId="0" xfId="2" applyNumberFormat="1" applyFont="1"/>
    <xf numFmtId="0" fontId="57" fillId="0" borderId="0" xfId="2" applyFont="1"/>
    <xf numFmtId="0" fontId="50" fillId="0" borderId="21" xfId="2" applyFont="1" applyBorder="1"/>
    <xf numFmtId="10" fontId="42" fillId="0" borderId="0" xfId="2" applyNumberFormat="1" applyFont="1"/>
    <xf numFmtId="10" fontId="58" fillId="0" borderId="0" xfId="2" applyNumberFormat="1" applyFont="1"/>
    <xf numFmtId="0" fontId="42" fillId="0" borderId="22" xfId="2" applyFont="1" applyBorder="1"/>
    <xf numFmtId="0" fontId="43" fillId="0" borderId="27" xfId="2" applyFont="1" applyBorder="1" applyAlignment="1">
      <alignment wrapText="1"/>
    </xf>
    <xf numFmtId="10" fontId="43" fillId="0" borderId="27" xfId="2" applyNumberFormat="1" applyFont="1" applyBorder="1"/>
    <xf numFmtId="0" fontId="42" fillId="0" borderId="27" xfId="2" applyFont="1" applyBorder="1"/>
    <xf numFmtId="0" fontId="42" fillId="0" borderId="23" xfId="2" applyFont="1" applyBorder="1"/>
    <xf numFmtId="0" fontId="42" fillId="0" borderId="5" xfId="2" applyFont="1" applyBorder="1" applyAlignment="1">
      <alignment wrapText="1"/>
    </xf>
    <xf numFmtId="0" fontId="13" fillId="0" borderId="0" xfId="2" quotePrefix="1" applyFont="1" applyAlignment="1">
      <alignment horizontal="center"/>
    </xf>
    <xf numFmtId="0" fontId="13" fillId="0" borderId="11" xfId="2" quotePrefix="1" applyFont="1" applyBorder="1" applyAlignment="1">
      <alignment horizontal="center"/>
    </xf>
    <xf numFmtId="0" fontId="0" fillId="14" borderId="0" xfId="0" applyFill="1"/>
    <xf numFmtId="3" fontId="0" fillId="14" borderId="0" xfId="0" applyNumberFormat="1" applyFill="1" applyAlignment="1">
      <alignment horizontal="right" vertical="center" wrapText="1"/>
    </xf>
    <xf numFmtId="0" fontId="0" fillId="14" borderId="0" xfId="0" applyFill="1" applyAlignment="1">
      <alignment horizontal="right" vertical="center" wrapText="1"/>
    </xf>
    <xf numFmtId="164" fontId="0" fillId="14" borderId="0" xfId="1" applyNumberFormat="1" applyFont="1" applyFill="1"/>
    <xf numFmtId="9" fontId="0" fillId="14" borderId="0" xfId="1" applyFont="1" applyFill="1"/>
    <xf numFmtId="0" fontId="2" fillId="0" borderId="11" xfId="0" applyFont="1" applyBorder="1" applyAlignment="1">
      <alignment horizontal="left" vertical="center" wrapText="1"/>
    </xf>
    <xf numFmtId="0" fontId="0" fillId="0" borderId="16" xfId="0" applyBorder="1" applyAlignment="1">
      <alignment horizontal="right" vertical="center" wrapText="1"/>
    </xf>
    <xf numFmtId="0" fontId="7" fillId="0" borderId="16" xfId="0" applyFont="1" applyBorder="1" applyAlignment="1">
      <alignment horizontal="right" vertical="center" wrapText="1"/>
    </xf>
    <xf numFmtId="10" fontId="0" fillId="0" borderId="16" xfId="0" applyNumberFormat="1" applyBorder="1" applyAlignment="1">
      <alignment horizontal="right" vertical="center" wrapText="1"/>
    </xf>
    <xf numFmtId="0" fontId="2" fillId="0" borderId="6" xfId="0" applyFont="1" applyBorder="1" applyAlignment="1">
      <alignment horizontal="left" vertical="center" wrapText="1"/>
    </xf>
    <xf numFmtId="166" fontId="0" fillId="0" borderId="7" xfId="0" applyNumberFormat="1" applyBorder="1" applyAlignment="1">
      <alignment horizontal="right" vertical="center" wrapText="1"/>
    </xf>
    <xf numFmtId="166" fontId="0" fillId="0" borderId="8" xfId="0" applyNumberFormat="1" applyBorder="1" applyAlignment="1">
      <alignment horizontal="right" vertical="center" wrapText="1"/>
    </xf>
    <xf numFmtId="0" fontId="0" fillId="0" borderId="16" xfId="0" applyBorder="1"/>
    <xf numFmtId="0" fontId="21" fillId="15" borderId="0" xfId="0" applyFont="1" applyFill="1" applyAlignment="1">
      <alignment wrapText="1"/>
    </xf>
    <xf numFmtId="0" fontId="21" fillId="15" borderId="0" xfId="0" applyFont="1" applyFill="1"/>
    <xf numFmtId="0" fontId="14" fillId="16" borderId="0" xfId="7" applyFont="1" applyFill="1" applyAlignment="1">
      <alignment horizontal="centerContinuous"/>
    </xf>
    <xf numFmtId="0" fontId="14" fillId="16" borderId="18" xfId="7" applyFont="1" applyFill="1" applyBorder="1" applyAlignment="1">
      <alignment horizontal="centerContinuous"/>
    </xf>
    <xf numFmtId="0" fontId="14" fillId="16" borderId="26" xfId="7" applyFont="1" applyFill="1" applyBorder="1" applyAlignment="1">
      <alignment horizontal="centerContinuous"/>
    </xf>
    <xf numFmtId="0" fontId="14" fillId="16" borderId="19" xfId="7" applyFont="1" applyFill="1" applyBorder="1" applyAlignment="1">
      <alignment horizontal="centerContinuous"/>
    </xf>
    <xf numFmtId="0" fontId="47" fillId="15" borderId="0" xfId="2" applyFont="1" applyFill="1" applyAlignment="1">
      <alignment wrapText="1"/>
    </xf>
    <xf numFmtId="0" fontId="48" fillId="16" borderId="9" xfId="2" applyFont="1" applyFill="1" applyBorder="1" applyAlignment="1">
      <alignment wrapText="1"/>
    </xf>
    <xf numFmtId="0" fontId="59" fillId="16" borderId="0" xfId="0" applyFont="1" applyFill="1" applyAlignment="1">
      <alignment horizontal="center" vertical="center" wrapText="1"/>
    </xf>
    <xf numFmtId="0" fontId="59" fillId="16" borderId="0" xfId="0" applyFont="1" applyFill="1" applyAlignment="1">
      <alignment horizontal="right" vertical="center" wrapText="1"/>
    </xf>
    <xf numFmtId="0" fontId="60" fillId="16" borderId="0" xfId="0" applyFont="1" applyFill="1"/>
    <xf numFmtId="3" fontId="2" fillId="0" borderId="0" xfId="0" applyNumberFormat="1" applyFont="1"/>
    <xf numFmtId="0" fontId="59" fillId="16" borderId="0" xfId="0" applyFont="1" applyFill="1" applyAlignment="1">
      <alignment horizontal="left" vertical="center" wrapText="1"/>
    </xf>
    <xf numFmtId="0" fontId="59" fillId="16" borderId="0" xfId="0" applyFont="1" applyFill="1" applyAlignment="1">
      <alignment vertical="center" wrapText="1"/>
    </xf>
    <xf numFmtId="0" fontId="59" fillId="16" borderId="2" xfId="0" applyFont="1" applyFill="1" applyBorder="1" applyAlignment="1">
      <alignment horizontal="left" vertical="center" wrapText="1"/>
    </xf>
    <xf numFmtId="0" fontId="59" fillId="16" borderId="3" xfId="0" applyFont="1" applyFill="1" applyBorder="1" applyAlignment="1">
      <alignment horizontal="right" vertical="center" wrapText="1"/>
    </xf>
    <xf numFmtId="0" fontId="59" fillId="16" borderId="4" xfId="0" applyFont="1" applyFill="1" applyBorder="1" applyAlignment="1">
      <alignment horizontal="right" vertical="center" wrapText="1"/>
    </xf>
    <xf numFmtId="0" fontId="11" fillId="16" borderId="0" xfId="2" applyFont="1" applyFill="1"/>
    <xf numFmtId="0" fontId="11" fillId="16" borderId="0" xfId="2" applyFont="1" applyFill="1" applyAlignment="1">
      <alignment horizontal="center"/>
    </xf>
    <xf numFmtId="0" fontId="14" fillId="16" borderId="0" xfId="2" applyFont="1" applyFill="1"/>
    <xf numFmtId="3" fontId="0" fillId="0" borderId="0" xfId="0" applyNumberFormat="1" applyAlignment="1">
      <alignment horizontal="right" wrapText="1"/>
    </xf>
    <xf numFmtId="165" fontId="0" fillId="0" borderId="0" xfId="0" applyNumberForma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11" xfId="0" applyBorder="1" applyAlignment="1">
      <alignment horizontal="right" vertical="center" wrapText="1"/>
    </xf>
    <xf numFmtId="4" fontId="0" fillId="0" borderId="16" xfId="0" applyNumberForma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4" fontId="0" fillId="0" borderId="16" xfId="0" applyNumberFormat="1" applyBorder="1"/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horizontal="right" vertical="center" wrapText="1"/>
    </xf>
    <xf numFmtId="9" fontId="0" fillId="0" borderId="0" xfId="1" applyFont="1" applyBorder="1" applyAlignment="1">
      <alignment vertical="center" wrapText="1"/>
    </xf>
    <xf numFmtId="9" fontId="0" fillId="0" borderId="16" xfId="0" applyNumberFormat="1" applyBorder="1"/>
    <xf numFmtId="9" fontId="0" fillId="0" borderId="0" xfId="1" applyFont="1" applyBorder="1"/>
    <xf numFmtId="9" fontId="0" fillId="0" borderId="16" xfId="1" applyFont="1" applyBorder="1"/>
    <xf numFmtId="0" fontId="0" fillId="0" borderId="16" xfId="0" applyBorder="1" applyAlignment="1">
      <alignment vertical="center" wrapText="1"/>
    </xf>
    <xf numFmtId="3" fontId="2" fillId="0" borderId="16" xfId="0" applyNumberFormat="1" applyFont="1" applyBorder="1" applyAlignment="1">
      <alignment vertical="center" wrapText="1"/>
    </xf>
    <xf numFmtId="164" fontId="0" fillId="0" borderId="0" xfId="1" applyNumberFormat="1" applyFont="1" applyBorder="1" applyAlignment="1">
      <alignment vertical="center" wrapText="1"/>
    </xf>
    <xf numFmtId="164" fontId="0" fillId="0" borderId="16" xfId="1" applyNumberFormat="1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11" xfId="0" applyBorder="1" applyAlignment="1">
      <alignment horizontal="left" vertical="center" wrapText="1"/>
    </xf>
    <xf numFmtId="164" fontId="0" fillId="0" borderId="0" xfId="1" applyNumberFormat="1" applyFont="1" applyBorder="1" applyAlignment="1">
      <alignment horizontal="right" vertical="center" wrapText="1"/>
    </xf>
    <xf numFmtId="164" fontId="0" fillId="0" borderId="0" xfId="1" applyNumberFormat="1" applyFont="1" applyBorder="1"/>
    <xf numFmtId="164" fontId="0" fillId="0" borderId="16" xfId="1" applyNumberFormat="1" applyFont="1" applyBorder="1"/>
    <xf numFmtId="165" fontId="0" fillId="0" borderId="0" xfId="0" applyNumberFormat="1" applyAlignment="1">
      <alignment horizontal="right" vertical="center" wrapText="1"/>
    </xf>
    <xf numFmtId="9" fontId="0" fillId="0" borderId="0" xfId="1" applyFont="1" applyBorder="1" applyAlignment="1">
      <alignment horizontal="right" vertical="center" wrapText="1"/>
    </xf>
    <xf numFmtId="0" fontId="2" fillId="0" borderId="7" xfId="0" applyFont="1" applyBorder="1"/>
    <xf numFmtId="0" fontId="2" fillId="0" borderId="8" xfId="0" applyFont="1" applyBorder="1"/>
    <xf numFmtId="0" fontId="0" fillId="0" borderId="13" xfId="0" applyBorder="1"/>
    <xf numFmtId="0" fontId="0" fillId="0" borderId="14" xfId="0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59" fillId="16" borderId="11" xfId="0" applyFont="1" applyFill="1" applyBorder="1" applyAlignment="1">
      <alignment horizontal="left" vertical="center" wrapText="1"/>
    </xf>
    <xf numFmtId="0" fontId="59" fillId="16" borderId="16" xfId="0" applyFont="1" applyFill="1" applyBorder="1" applyAlignment="1">
      <alignment horizontal="right" vertical="center" wrapText="1"/>
    </xf>
    <xf numFmtId="10" fontId="0" fillId="0" borderId="0" xfId="1" applyNumberFormat="1" applyFont="1" applyAlignment="1">
      <alignment horizontal="right" vertical="center" wrapText="1"/>
    </xf>
    <xf numFmtId="0" fontId="0" fillId="0" borderId="2" xfId="0" applyBorder="1"/>
    <xf numFmtId="0" fontId="2" fillId="0" borderId="3" xfId="0" applyFont="1" applyBorder="1" applyAlignment="1">
      <alignment vertical="center" wrapText="1"/>
    </xf>
    <xf numFmtId="0" fontId="2" fillId="0" borderId="16" xfId="0" applyFont="1" applyBorder="1"/>
    <xf numFmtId="0" fontId="0" fillId="0" borderId="6" xfId="0" applyBorder="1"/>
    <xf numFmtId="4" fontId="2" fillId="0" borderId="7" xfId="0" applyNumberFormat="1" applyFont="1" applyBorder="1" applyAlignment="1">
      <alignment horizontal="right" vertical="center" wrapText="1"/>
    </xf>
    <xf numFmtId="167" fontId="61" fillId="17" borderId="18" xfId="7" applyNumberFormat="1" applyFont="1" applyFill="1" applyBorder="1" applyAlignment="1">
      <alignment horizontal="center" vertical="center"/>
    </xf>
    <xf numFmtId="167" fontId="61" fillId="17" borderId="26" xfId="7" applyNumberFormat="1" applyFont="1" applyFill="1" applyBorder="1" applyAlignment="1">
      <alignment horizontal="center" vertical="center"/>
    </xf>
    <xf numFmtId="167" fontId="61" fillId="17" borderId="19" xfId="7" applyNumberFormat="1" applyFont="1" applyFill="1" applyBorder="1" applyAlignment="1">
      <alignment horizontal="center" vertical="center"/>
    </xf>
    <xf numFmtId="167" fontId="61" fillId="17" borderId="20" xfId="7" applyNumberFormat="1" applyFont="1" applyFill="1" applyBorder="1" applyAlignment="1">
      <alignment horizontal="center" vertical="center"/>
    </xf>
    <xf numFmtId="167" fontId="39" fillId="17" borderId="28" xfId="7" applyNumberFormat="1" applyFont="1" applyFill="1" applyBorder="1" applyAlignment="1">
      <alignment horizontal="center" vertical="center"/>
    </xf>
    <xf numFmtId="167" fontId="61" fillId="17" borderId="21" xfId="7" applyNumberFormat="1" applyFont="1" applyFill="1" applyBorder="1" applyAlignment="1">
      <alignment horizontal="center" vertical="center"/>
    </xf>
    <xf numFmtId="167" fontId="61" fillId="17" borderId="22" xfId="7" applyNumberFormat="1" applyFont="1" applyFill="1" applyBorder="1" applyAlignment="1">
      <alignment horizontal="center" vertical="center"/>
    </xf>
    <xf numFmtId="167" fontId="61" fillId="17" borderId="27" xfId="7" applyNumberFormat="1" applyFont="1" applyFill="1" applyBorder="1" applyAlignment="1">
      <alignment horizontal="center" vertical="center"/>
    </xf>
    <xf numFmtId="167" fontId="61" fillId="17" borderId="23" xfId="7" applyNumberFormat="1" applyFont="1" applyFill="1" applyBorder="1" applyAlignment="1">
      <alignment horizontal="center" vertical="center"/>
    </xf>
    <xf numFmtId="167" fontId="14" fillId="17" borderId="0" xfId="7" applyNumberFormat="1" applyFont="1" applyFill="1" applyAlignment="1">
      <alignment horizontal="centerContinuous"/>
    </xf>
    <xf numFmtId="0" fontId="59" fillId="16" borderId="2" xfId="0" applyFont="1" applyFill="1" applyBorder="1" applyAlignment="1">
      <alignment horizontal="center" vertical="center" wrapText="1"/>
    </xf>
    <xf numFmtId="166" fontId="0" fillId="0" borderId="16" xfId="0" applyNumberFormat="1" applyBorder="1" applyAlignment="1">
      <alignment horizontal="right" vertical="center" wrapText="1"/>
    </xf>
    <xf numFmtId="164" fontId="0" fillId="0" borderId="16" xfId="1" applyNumberFormat="1" applyFont="1" applyBorder="1" applyAlignment="1">
      <alignment horizontal="right" vertical="center" wrapText="1"/>
    </xf>
    <xf numFmtId="166" fontId="0" fillId="0" borderId="0" xfId="1" applyNumberFormat="1" applyFont="1" applyBorder="1" applyAlignment="1">
      <alignment horizontal="right" vertical="center" wrapText="1"/>
    </xf>
    <xf numFmtId="166" fontId="0" fillId="0" borderId="16" xfId="1" applyNumberFormat="1" applyFont="1" applyBorder="1" applyAlignment="1">
      <alignment horizontal="right" vertical="center" wrapText="1"/>
    </xf>
    <xf numFmtId="166" fontId="0" fillId="0" borderId="16" xfId="0" applyNumberFormat="1" applyBorder="1"/>
    <xf numFmtId="9" fontId="0" fillId="0" borderId="16" xfId="1" applyFont="1" applyBorder="1" applyAlignment="1">
      <alignment horizontal="right" vertical="center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horizontal="right" vertical="center" wrapText="1"/>
    </xf>
    <xf numFmtId="9" fontId="0" fillId="0" borderId="7" xfId="1" applyFont="1" applyBorder="1" applyAlignment="1">
      <alignment horizontal="right" vertical="center" wrapText="1"/>
    </xf>
    <xf numFmtId="9" fontId="0" fillId="0" borderId="8" xfId="1" applyFont="1" applyBorder="1" applyAlignment="1">
      <alignment horizontal="right" vertical="center" wrapText="1"/>
    </xf>
    <xf numFmtId="166" fontId="2" fillId="0" borderId="0" xfId="0" applyNumberFormat="1" applyFont="1" applyAlignment="1">
      <alignment horizontal="right" vertical="center" wrapText="1"/>
    </xf>
    <xf numFmtId="166" fontId="2" fillId="0" borderId="16" xfId="0" applyNumberFormat="1" applyFont="1" applyBorder="1" applyAlignment="1">
      <alignment horizontal="right" vertical="center" wrapText="1"/>
    </xf>
    <xf numFmtId="3" fontId="0" fillId="0" borderId="0" xfId="0" applyNumberFormat="1" applyAlignment="1">
      <alignment vertical="center" wrapText="1"/>
    </xf>
    <xf numFmtId="0" fontId="59" fillId="16" borderId="3" xfId="0" applyFont="1" applyFill="1" applyBorder="1" applyAlignment="1">
      <alignment vertical="center" wrapText="1"/>
    </xf>
    <xf numFmtId="0" fontId="59" fillId="16" borderId="4" xfId="0" applyFont="1" applyFill="1" applyBorder="1" applyAlignment="1">
      <alignment vertical="center" wrapText="1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right" vertical="center" wrapText="1"/>
    </xf>
    <xf numFmtId="0" fontId="2" fillId="14" borderId="0" xfId="0" applyFont="1" applyFill="1"/>
    <xf numFmtId="3" fontId="0" fillId="0" borderId="16" xfId="0" applyNumberFormat="1" applyBorder="1" applyAlignment="1">
      <alignment horizontal="right" vertical="center" wrapText="1"/>
    </xf>
    <xf numFmtId="3" fontId="2" fillId="0" borderId="16" xfId="0" applyNumberFormat="1" applyFont="1" applyBorder="1" applyAlignment="1">
      <alignment horizontal="right" vertical="center" wrapText="1"/>
    </xf>
    <xf numFmtId="1" fontId="0" fillId="0" borderId="16" xfId="0" applyNumberFormat="1" applyBorder="1" applyAlignment="1">
      <alignment horizontal="right" vertical="center" wrapText="1"/>
    </xf>
    <xf numFmtId="1" fontId="2" fillId="0" borderId="16" xfId="0" applyNumberFormat="1" applyFont="1" applyBorder="1" applyAlignment="1">
      <alignment horizontal="right" vertical="center" wrapText="1"/>
    </xf>
    <xf numFmtId="4" fontId="0" fillId="0" borderId="16" xfId="0" applyNumberFormat="1" applyBorder="1" applyAlignment="1">
      <alignment horizontal="right" vertical="center" wrapText="1"/>
    </xf>
    <xf numFmtId="4" fontId="2" fillId="0" borderId="16" xfId="0" applyNumberFormat="1" applyFont="1" applyBorder="1" applyAlignment="1">
      <alignment horizontal="right" vertical="center" wrapText="1"/>
    </xf>
    <xf numFmtId="10" fontId="0" fillId="0" borderId="16" xfId="1" applyNumberFormat="1" applyFont="1" applyBorder="1" applyAlignment="1">
      <alignment horizontal="right" vertical="center" wrapText="1"/>
    </xf>
    <xf numFmtId="0" fontId="2" fillId="0" borderId="16" xfId="0" applyFont="1" applyBorder="1" applyAlignment="1">
      <alignment horizontal="right" vertical="center" wrapText="1"/>
    </xf>
    <xf numFmtId="10" fontId="49" fillId="0" borderId="0" xfId="2" applyNumberFormat="1" applyFont="1"/>
    <xf numFmtId="177" fontId="0" fillId="0" borderId="16" xfId="1" applyNumberFormat="1" applyFont="1" applyBorder="1" applyAlignment="1">
      <alignment horizontal="right" vertical="center" wrapText="1"/>
    </xf>
    <xf numFmtId="0" fontId="18" fillId="0" borderId="24" xfId="7" applyFont="1" applyBorder="1" applyAlignment="1">
      <alignment horizontal="center"/>
    </xf>
    <xf numFmtId="0" fontId="18" fillId="0" borderId="25" xfId="7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0">
    <cellStyle name="Comma 2" xfId="3" xr:uid="{778AD8FB-E099-4539-AD77-77276372B06A}"/>
    <cellStyle name="Currency 2" xfId="5" xr:uid="{D446064E-1282-46BD-99C6-06445EA75A3F}"/>
    <cellStyle name="Hyperlink 2" xfId="9" xr:uid="{CBA0C71A-6E0C-494D-AB3C-1505C89C47FE}"/>
    <cellStyle name="Normal" xfId="0" builtinId="0"/>
    <cellStyle name="Normal 2" xfId="2" xr:uid="{229A014B-7225-4075-B295-C5C7CE77B6F9}"/>
    <cellStyle name="Normal 3" xfId="7" xr:uid="{28B04E0E-5FD3-4CFA-9DAE-1F68D6C70442}"/>
    <cellStyle name="Normal_PiranhaWeb Comps Model 3" xfId="6" xr:uid="{97C20C81-9D37-4288-B4ED-7BF397BD7C85}"/>
    <cellStyle name="Percent" xfId="1" builtinId="5"/>
    <cellStyle name="Percent 2" xfId="8" xr:uid="{B1C44408-3CC9-47BB-A718-CA42165B51DC}"/>
    <cellStyle name="Percent 3" xfId="4" xr:uid="{3223D0D0-6CCA-490E-9048-51B8B4B3A00C}"/>
  </cellStyles>
  <dxfs count="4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BD3"/>
      <color rgb="FF00A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data">
      <tp>
        <v>1267500270</v>
        <stp/>
        <stp>99</stp>
        <stp>446842578</stp>
        <tr r="O15" s="9"/>
      </tp>
      <tp>
        <v>263.60000000000002</v>
        <stp/>
        <stp>89</stp>
        <stp>446842578</stp>
        <tr r="C10" s="9"/>
      </tp>
      <tp>
        <v>3.4970500000000002</v>
        <stp/>
        <stp>59</stp>
        <stp>446842578</stp>
        <tr r="H16" s="9"/>
      </tp>
      <tp>
        <v>5.99871</v>
        <stp/>
        <stp>49</stp>
        <stp>446842578</stp>
        <tr r="E41" s="9"/>
      </tp>
      <tp>
        <v>6107100000</v>
        <stp/>
        <stp>79</stp>
        <stp>446842578</stp>
        <tr r="J40" s="9"/>
      </tp>
      <tp>
        <v>1610364360</v>
        <stp/>
        <stp>69</stp>
        <stp>446842578</stp>
        <tr r="O17" s="9"/>
      </tp>
      <tp>
        <v>1703198930</v>
        <stp/>
        <stp>19</stp>
        <stp>446842578</stp>
        <tr r="P17" s="9"/>
      </tp>
      <tp t="s">
        <v>Clorox Co</v>
        <stp/>
        <stp>39</stp>
        <stp>446842578</stp>
        <tr r="A6" s="9"/>
      </tp>
      <tp>
        <v>3947439390</v>
        <stp/>
        <stp>29</stp>
        <stp>446842578</stp>
        <tr r="K18" s="9"/>
      </tp>
      <tp>
        <v>821000000</v>
        <stp/>
        <stp>98</stp>
        <stp>446842578</stp>
        <tr r="J39" s="9"/>
      </tp>
      <tp t="s">
        <v>Sherwin-Williams Co</v>
        <stp/>
        <stp>88</stp>
        <stp>446842578</stp>
        <tr r="A9" s="9"/>
      </tp>
      <tp>
        <v>1196561200</v>
        <stp/>
        <stp>58</stp>
        <stp>446842578</stp>
        <tr r="K15" s="9"/>
      </tp>
      <tp>
        <v>40.93</v>
        <stp/>
        <stp>48</stp>
        <stp>446842578</stp>
        <tr r="C8" s="9"/>
      </tp>
      <tp>
        <v>11.376200000000001</v>
        <stp/>
        <stp>78</stp>
        <stp>446842578</stp>
        <tr r="H18" s="9"/>
      </tp>
      <tp>
        <v>41.83</v>
        <stp/>
        <stp>68</stp>
        <stp>446842578</stp>
        <tr r="D8" s="9"/>
      </tp>
      <tp>
        <v>291.87650000000002</v>
        <stp/>
        <stp>18</stp>
        <stp>446842578</stp>
        <tr r="L10" s="9"/>
      </tp>
      <tp>
        <v>12.56396</v>
        <stp/>
        <stp>38</stp>
        <stp>446842578</stp>
        <tr r="I18" s="9"/>
      </tp>
      <tp>
        <v>1850000000</v>
        <stp/>
        <stp>28</stp>
        <stp>446842578</stp>
        <tr r="H8" s="9"/>
      </tp>
      <tp>
        <v>0.99902480263682203</v>
        <stp/>
        <stp>95</stp>
        <stp>446842578</stp>
        <tr r="K10" s="9"/>
      </tp>
      <tp>
        <v>210400000</v>
        <stp/>
        <stp>85</stp>
        <stp>446842578</stp>
        <tr r="H9" s="9"/>
      </tp>
      <tp>
        <v>2204600000</v>
        <stp/>
        <stp>55</stp>
        <stp>446842578</stp>
        <tr r="G7" s="9"/>
      </tp>
      <tp>
        <v>2.3464999999999998</v>
        <stp/>
        <stp>45</stp>
        <stp>446842578</stp>
        <tr r="J17" s="9"/>
      </tp>
      <tp>
        <v>7071631060</v>
        <stp/>
        <stp>75</stp>
        <stp>446842578</stp>
        <tr r="E17" s="9"/>
      </tp>
      <tp>
        <v>84.61</v>
        <stp/>
        <stp>65</stp>
        <stp>446842578</stp>
        <tr r="C7" s="9"/>
      </tp>
      <tp>
        <v>167000000</v>
        <stp/>
        <stp>15</stp>
        <stp>446842578</stp>
        <tr r="H6" s="9"/>
      </tp>
      <tp>
        <v>46.607999999999997</v>
        <stp/>
        <stp>35</stp>
        <stp>446842578</stp>
        <tr r="L8" s="9"/>
      </tp>
      <tp>
        <v>9.5839300000000005</v>
        <stp/>
        <stp>25</stp>
        <stp>446842578</stp>
        <tr r="E40" s="9"/>
      </tp>
      <tp>
        <v>24694036230</v>
        <stp/>
        <stp>94</stp>
        <stp>446842578</stp>
        <tr r="E18" s="9"/>
      </tp>
      <tp>
        <v>1256800000</v>
        <stp/>
        <stp>84</stp>
        <stp>446842578</stp>
        <tr r="H10" s="9"/>
      </tp>
      <tp>
        <v>418975324</v>
        <stp/>
        <stp>54</stp>
        <stp>446842578</stp>
        <tr r="E8" s="9"/>
      </tp>
      <tp t="s">
        <v>Dupont De Nemours Inc</v>
        <stp/>
        <stp>44</stp>
        <stp>446842578</stp>
        <tr r="A8" s="9"/>
      </tp>
      <tp>
        <v>964100000</v>
        <stp/>
        <stp>74</stp>
        <stp>446842578</stp>
        <tr r="H7" s="9"/>
      </tp>
      <tp>
        <v>3599217260</v>
        <stp/>
        <stp>64</stp>
        <stp>446842578</stp>
        <tr r="N19" s="9"/>
      </tp>
      <tp>
        <v>166.35</v>
        <stp/>
        <stp>14</stp>
        <stp>446842578</stp>
        <tr r="D6" s="9"/>
      </tp>
      <tp>
        <v>104.01</v>
        <stp/>
        <stp>34</stp>
        <stp>446842578</stp>
        <tr r="C6" s="9"/>
      </tp>
      <tp>
        <v>116.46</v>
        <stp/>
        <stp>24</stp>
        <stp>446842578</stp>
        <tr r="D7" s="9"/>
      </tp>
      <tp>
        <v>7104000000</v>
        <stp/>
        <stp>97</stp>
        <stp>446842578</stp>
        <tr r="J39" s="9"/>
      </tp>
      <tp>
        <v>121980379</v>
        <stp/>
        <stp>87</stp>
        <stp>446842578</stp>
        <tr r="E6" s="9"/>
      </tp>
      <tp>
        <v>95000000</v>
        <stp/>
        <stp>57</stp>
        <stp>446842578</stp>
        <tr r="O40" s="9"/>
      </tp>
      <tp>
        <v>379.65</v>
        <stp/>
        <stp>47</stp>
        <stp>446842578</stp>
        <tr r="D9" s="9"/>
      </tp>
      <tp>
        <v>50.554944046999999</v>
        <stp/>
        <stp>77</stp>
        <stp>446842578</stp>
        <tr r="K40" s="9"/>
      </tp>
      <tp>
        <v>1.7697799999999999</v>
        <stp/>
        <stp>67</stp>
        <stp>446842578</stp>
        <tr r="H17" s="9"/>
      </tp>
      <tp>
        <v>1.7027099999999999</v>
        <stp/>
        <stp>17</stp>
        <stp>446842578</stp>
        <tr r="N40" s="9"/>
      </tp>
      <tp>
        <v>4051200000</v>
        <stp/>
        <stp>37</stp>
        <stp>446842578</stp>
        <tr r="J9" s="9"/>
      </tp>
      <tp t="s">
        <v>NULL</v>
        <stp/>
        <stp>27</stp>
        <stp>446842578</stp>
        <tr r="Q17" s="9"/>
      </tp>
      <tp>
        <v>1.25882981346084</v>
        <stp/>
        <stp>96</stp>
        <stp>446842578</stp>
        <tr r="K9" s="9"/>
      </tp>
      <tp>
        <v>1240479850</v>
        <stp/>
        <stp>86</stp>
        <stp>446842578</stp>
        <tr r="M16" s="9"/>
      </tp>
      <tp>
        <v>1403300000</v>
        <stp/>
        <stp>56</stp>
        <stp>446842578</stp>
        <tr r="O40" s="9"/>
      </tp>
      <tp>
        <v>4.55</v>
        <stp/>
        <stp>46</stp>
        <stp>446842578</stp>
        <tr r="F41" s="9"/>
      </tp>
      <tp>
        <v>12.449540000000001</v>
        <stp/>
        <stp>76</stp>
        <stp>446842578</stp>
        <tr r="D41" s="9"/>
      </tp>
      <tp>
        <v>1478530680</v>
        <stp/>
        <stp>66</stp>
        <stp>446842578</stp>
        <tr r="P16" s="9"/>
      </tp>
      <tp>
        <v>6107100000</v>
        <stp/>
        <stp>16</stp>
        <stp>446842578</stp>
        <tr r="C16" s="9"/>
      </tp>
      <tp>
        <v>240130071</v>
        <stp/>
        <stp>36</stp>
        <stp>446842578</stp>
        <tr r="E7" s="9"/>
      </tp>
      <tp>
        <v>328.69</v>
        <stp/>
        <stp>26</stp>
        <stp>446842578</stp>
        <tr r="C9" s="9"/>
      </tp>
      <tp>
        <v>6434608430</v>
        <stp/>
        <stp>91</stp>
        <stp>446842578</stp>
        <tr r="E16" s="9"/>
      </tp>
      <tp>
        <v>0.57248628113829003</v>
        <stp/>
        <stp>81</stp>
        <stp>446842578</stp>
        <tr r="K6" s="9"/>
      </tp>
      <tp>
        <v>1.05072688689768</v>
        <stp/>
        <stp>51</stp>
        <stp>446842578</stp>
        <tr r="K8" s="9"/>
      </tp>
      <tp>
        <v>7353600460</v>
        <stp/>
        <stp>41</stp>
        <stp>446842578</stp>
        <tr r="F17" s="9"/>
      </tp>
      <tp>
        <v>0.69986190930000003</v>
        <stp/>
        <stp>71</stp>
        <stp>446842578</stp>
        <tr r="H40" s="9"/>
      </tp>
      <tp>
        <v>6660107000</v>
        <stp/>
        <stp>61</stp>
        <stp>446842578</stp>
        <tr r="F16" s="9"/>
      </tp>
      <tp>
        <v>4.0008100000000004</v>
        <stp/>
        <stp>11</stp>
        <stp>446842578</stp>
        <tr r="J16" s="9"/>
      </tp>
      <tp>
        <v>2.1564000000000001</v>
        <stp/>
        <stp>31</stp>
        <stp>446842578</stp>
        <tr r="I17" s="9"/>
      </tp>
      <tp>
        <v>7.585</v>
        <stp/>
        <stp>21</stp>
        <stp>446842578</stp>
        <tr r="Q18" s="9"/>
      </tp>
      <tp t="s">
        <v>Ecolab Inc</v>
        <stp/>
        <stp>90</stp>
        <stp>446842578</stp>
        <tr r="A10" s="9"/>
      </tp>
      <tp>
        <v>600800000</v>
        <stp/>
        <stp>80</stp>
        <stp>446842578</stp>
        <tr r="J40" s="9"/>
      </tp>
      <tp>
        <v>8757300000</v>
        <stp/>
        <stp>50</stp>
        <stp>446842578</stp>
        <tr r="J10" s="9"/>
      </tp>
      <tp>
        <v>36.589700000000001</v>
        <stp/>
        <stp>40</stp>
        <stp>446842578</stp>
        <tr r="C41" s="9"/>
      </tp>
      <tp>
        <v>3.9106100000000001</v>
        <stp/>
        <stp>70</stp>
        <stp>446842578</stp>
        <tr r="G17" s="9"/>
      </tp>
      <tp>
        <v>321000000</v>
        <stp/>
        <stp>60</stp>
        <stp>446842578</stp>
        <tr r="J6" s="9"/>
      </tp>
      <tp>
        <v>3.7478099999999999</v>
        <stp/>
        <stp>10</stp>
        <stp>446842578</stp>
        <tr r="I16" s="9"/>
      </tp>
      <tp>
        <v>247893513</v>
        <stp/>
        <stp>30</stp>
        <stp>446842578</stp>
        <tr r="E9" s="9"/>
      </tp>
      <tp>
        <v>0.458691347655445</v>
        <stp/>
        <stp>20</stp>
        <stp>446842578</stp>
        <tr r="K7" s="9"/>
      </tp>
      <tp t="s">
        <v>Church &amp; Dwight Co Inc</v>
        <stp/>
        <stp>93</stp>
        <stp>446842578</stp>
        <tr r="A7" s="9"/>
      </tp>
      <tp>
        <v>9.73</v>
        <stp/>
        <stp>83</stp>
        <stp>446842578</stp>
        <tr r="F40" s="9"/>
      </tp>
      <tp>
        <v>7564900000</v>
        <stp/>
        <stp>53</stp>
        <stp>446842578</stp>
        <tr r="G10" s="9"/>
      </tp>
      <tp>
        <v>3934657860</v>
        <stp/>
        <stp>43</stp>
        <stp>446842578</stp>
        <tr r="L18" s="9"/>
      </tp>
      <tp>
        <v>20.67</v>
        <stp/>
        <stp>73</stp>
        <stp>446842578</stp>
        <tr r="G40" s="9"/>
      </tp>
      <tp>
        <v>1399681780</v>
        <stp/>
        <stp>63</stp>
        <stp>446842578</stp>
        <tr r="O16" s="9"/>
      </tp>
      <tp>
        <v>4360800000</v>
        <stp/>
        <stp>13</stp>
        <stp>446842578</stp>
        <tr r="J7" s="9"/>
      </tp>
      <tp>
        <v>1145838700</v>
        <stp/>
        <stp>33</stp>
        <stp>446842578</stp>
        <tr r="K16" s="9"/>
      </tp>
      <tp>
        <v>386.14591000000001</v>
        <stp/>
        <stp>23</stp>
        <stp>446842578</stp>
        <tr r="L9" s="9"/>
      </tp>
      <tp>
        <v>11.29786</v>
        <stp/>
        <stp>92</stp>
        <stp>446842578</stp>
        <tr r="G18" s="9"/>
      </tp>
      <tp>
        <v>4.9866700000000002</v>
        <stp/>
        <stp>82</stp>
        <stp>446842578</stp>
        <tr r="Q16" s="9"/>
      </tp>
      <tp>
        <v>97.655000000000001</v>
        <stp/>
        <stp>52</stp>
        <stp>446842578</stp>
        <tr r="L7" s="9"/>
      </tp>
      <tp>
        <v>128.66833</v>
        <stp/>
        <stp>42</stp>
        <stp>446842578</stp>
        <tr r="L6" s="9"/>
      </tp>
      <tp>
        <v>23350000000</v>
        <stp/>
        <stp>72</stp>
        <stp>446842578</stp>
        <tr r="J8" s="9"/>
      </tp>
      <tp>
        <v>14.117000000000001</v>
        <stp/>
        <stp>62</stp>
        <stp>446842578</stp>
        <tr r="J18" s="9"/>
      </tp>
      <tp>
        <v>1375564670</v>
        <stp/>
        <stp>12</stp>
        <stp>446842578</stp>
        <tr r="N16" s="9"/>
      </tp>
      <tp>
        <v>6199006000</v>
        <stp/>
        <stp>32</stp>
        <stp>446842578</stp>
        <tr r="D16" s="9"/>
      </tp>
      <tp>
        <v>286.04000000000002</v>
        <stp/>
        <stp>22</stp>
        <stp>446842578</stp>
        <tr r="D10" s="9"/>
      </tp>
      <tp>
        <v>0.88190000000000002</v>
        <stp/>
        <stp>8</stp>
        <stp>446842578</stp>
        <tr r="M41" s="9"/>
      </tp>
      <tp>
        <v>283235653</v>
        <stp/>
        <stp>9</stp>
        <stp>446842578</stp>
        <tr r="E10" s="9"/>
      </tp>
      <tp>
        <v>3.4401600000000001</v>
        <stp/>
        <stp>1</stp>
        <stp>446842578</stp>
        <tr r="G16" s="9"/>
      </tp>
      <tp>
        <v>7171000000</v>
        <stp/>
        <stp>2</stp>
        <stp>446842578</stp>
        <tr r="G8" s="9"/>
      </tp>
      <tp>
        <v>1164990050</v>
        <stp/>
        <stp>3</stp>
        <stp>446842578</stp>
        <tr r="L16" s="9"/>
      </tp>
      <tp>
        <v>2524000000</v>
        <stp/>
        <stp>4</stp>
        <stp>446842578</stp>
        <tr r="G6" s="9"/>
      </tp>
      <tp>
        <v>5.4084461112</v>
        <stp/>
        <stp>5</stp>
        <stp>446842578</stp>
        <tr r="I40" s="9"/>
      </tp>
      <tp>
        <v>13.215769999999999</v>
        <stp/>
        <stp>6</stp>
        <stp>446842578</stp>
        <tr r="D40" s="9"/>
      </tp>
      <tp>
        <v>10077700000</v>
        <stp/>
        <stp>7</stp>
        <stp>446842578</stp>
        <tr r="G9" s="9"/>
      </tp>
      <tp>
        <v>3847837710</v>
        <stp/>
        <stp>180</stp>
        <stp>446842578</stp>
        <tr r="O19" s="9"/>
      </tp>
      <tp>
        <v>0.71172661999999998</v>
        <stp/>
        <stp>190</stp>
        <stp>446842578</stp>
        <tr r="H43" s="9"/>
      </tp>
      <tp>
        <v>7104000000</v>
        <stp/>
        <stp>100</stp>
        <stp>446842578</stp>
        <tr r="C15" s="9"/>
      </tp>
      <tp>
        <v>1349339700</v>
        <stp/>
        <stp>110</stp>
        <stp>446842578</stp>
        <tr r="M17" s="9"/>
      </tp>
      <tp>
        <v>1417139600</v>
        <stp/>
        <stp>120</stp>
        <stp>446842578</stp>
        <tr r="N15" s="9"/>
      </tp>
      <tp>
        <v>16916095550</v>
        <stp/>
        <stp>130</stp>
        <stp>446842578</stp>
        <tr r="E19" s="9"/>
      </tp>
      <tp>
        <v>0.56540000000000001</v>
        <stp/>
        <stp>140</stp>
        <stp>446842578</stp>
        <tr r="M39" s="9"/>
      </tp>
      <tp>
        <v>4213793090</v>
        <stp/>
        <stp>150</stp>
        <stp>446842578</stp>
        <tr r="P19" s="9"/>
      </tp>
      <tp>
        <v>74.159000000000006</v>
        <stp/>
        <stp>160</stp>
        <stp>446842578</stp>
        <tr r="G42" s="9"/>
      </tp>
      <tp>
        <v>59.186490101799997</v>
        <stp/>
        <stp>170</stp>
        <stp>446842578</stp>
        <tr r="L42" s="9"/>
      </tp>
      <tp>
        <v>3554300000</v>
        <stp/>
        <stp>181</stp>
        <stp>446842578</stp>
        <tr r="O43" s="9"/>
      </tp>
      <tp>
        <v>13.41939</v>
        <stp/>
        <stp>191</stp>
        <stp>446842578</stp>
        <tr r="E43" s="9"/>
      </tp>
      <tp>
        <v>2891047330</v>
        <stp/>
        <stp>101</stp>
        <stp>446842578</stp>
        <tr r="L19" s="9"/>
      </tp>
      <tp>
        <v>83.333333333300004</v>
        <stp/>
        <stp>111</stp>
        <stp>446842578</stp>
        <tr r="L39" s="9"/>
      </tp>
      <tp>
        <v>12386000000</v>
        <stp/>
        <stp>121</stp>
        <stp>446842578</stp>
        <tr r="J41" s="9"/>
      </tp>
      <tp>
        <v>6.75739</v>
        <stp/>
        <stp>131</stp>
        <stp>446842578</stp>
        <tr r="I15" s="9"/>
      </tp>
      <tp>
        <v>25775462720</v>
        <stp/>
        <stp>141</stp>
        <stp>446842578</stp>
        <tr r="F18" s="9"/>
      </tp>
      <tp>
        <v>1.3255600000000001</v>
        <stp/>
        <stp>151</stp>
        <stp>446842578</stp>
        <tr r="N41" s="9"/>
      </tp>
      <tp>
        <v>1187864310</v>
        <stp/>
        <stp>161</stp>
        <stp>446842578</stp>
        <tr r="M15" s="9"/>
      </tp>
      <tp>
        <v>6809496730</v>
        <stp/>
        <stp>171</stp>
        <stp>446842578</stp>
        <tr r="E15" s="9"/>
      </tp>
      <tp>
        <v>340300000</v>
        <stp/>
        <stp>182</stp>
        <stp>446842578</stp>
        <tr r="O43" s="9"/>
      </tp>
      <tp>
        <v>1.2572399999999999</v>
        <stp/>
        <stp>192</stp>
        <stp>446842578</stp>
        <tr r="N43" s="9"/>
      </tp>
      <tp>
        <v>23516492910</v>
        <stp/>
        <stp>102</stp>
        <stp>446842578</stp>
        <tr r="D18" s="9"/>
      </tp>
      <tp>
        <v>15741400000</v>
        <stp/>
        <stp>112</stp>
        <stp>446842578</stp>
        <tr r="C19" s="9"/>
      </tp>
      <tp>
        <v>2199000000</v>
        <stp/>
        <stp>122</stp>
        <stp>446842578</stp>
        <tr r="J41" s="9"/>
      </tp>
      <tp>
        <v>17.190931404200001</v>
        <stp/>
        <stp>132</stp>
        <stp>446842578</stp>
        <tr r="L41" s="9"/>
      </tp>
      <tp>
        <v>23098500000</v>
        <stp/>
        <stp>142</stp>
        <stp>446842578</stp>
        <tr r="C18" s="9"/>
      </tp>
      <tp>
        <v>6.6308199999999999</v>
        <stp/>
        <stp>152</stp>
        <stp>446842578</stp>
        <tr r="G19" s="9"/>
      </tp>
      <tp>
        <v>6495471160</v>
        <stp/>
        <stp>162</stp>
        <stp>446842578</stp>
        <tr r="D15" s="9"/>
      </tp>
      <tp>
        <v>0.3294674682</v>
        <stp/>
        <stp>172</stp>
        <stp>446842578</stp>
        <tr r="H41" s="9"/>
      </tp>
      <tp>
        <v>6.0054690929000003</v>
        <stp/>
        <stp>183</stp>
        <stp>446842578</stp>
        <tr r="I43" s="9"/>
      </tp>
      <tp>
        <v>86.383931120300005</v>
        <stp/>
        <stp>193</stp>
        <stp>446842578</stp>
        <tr r="K43" s="9"/>
      </tp>
      <tp>
        <v>48.46678</v>
        <stp/>
        <stp>103</stp>
        <stp>446842578</stp>
        <tr r="C42" s="9"/>
      </tp>
      <tp>
        <v>0.99162856590000004</v>
        <stp/>
        <stp>113</stp>
        <stp>446842578</stp>
        <tr r="H42" s="9"/>
      </tp>
      <tp>
        <v>7.1611700000000003</v>
        <stp/>
        <stp>123</stp>
        <stp>446842578</stp>
        <tr r="J15" s="9"/>
      </tp>
      <tp>
        <v>5.9315600000000002</v>
        <stp/>
        <stp>133</stp>
        <stp>446842578</stp>
        <tr r="H15" s="9"/>
      </tp>
      <tp>
        <v>4527493610</v>
        <stp/>
        <stp>143</stp>
        <stp>446842578</stp>
        <tr r="O18" s="9"/>
      </tp>
      <tp>
        <v>4387400000</v>
        <stp/>
        <stp>153</stp>
        <stp>446842578</stp>
        <tr r="O42" s="9"/>
      </tp>
      <tp>
        <v>3131683120</v>
        <stp/>
        <stp>163</stp>
        <stp>446842578</stp>
        <tr r="N17" s="9"/>
      </tp>
      <tp>
        <v>786.29283489099998</v>
        <stp/>
        <stp>173</stp>
        <stp>446842578</stp>
        <tr r="K39" s="9"/>
      </tp>
      <tp>
        <v>8.6189999999999998</v>
        <stp/>
        <stp>184</stp>
        <stp>446842578</stp>
        <tr r="F43" s="9"/>
      </tp>
      <tp>
        <v>17.80274</v>
        <stp/>
        <stp>194</stp>
        <stp>446842578</stp>
        <tr r="D43" s="9"/>
      </tp>
      <tp>
        <v>1.2560113154000001</v>
        <stp/>
        <stp>104</stp>
        <stp>446842578</stp>
        <tr r="H39" s="9"/>
      </tp>
      <tp>
        <v>7.52163</v>
        <stp/>
        <stp>114</stp>
        <stp>446842578</stp>
        <tr r="H19" s="9"/>
      </tp>
      <tp>
        <v>4341544590</v>
        <stp/>
        <stp>124</stp>
        <stp>446842578</stp>
        <tr r="M18" s="9"/>
      </tp>
      <tp>
        <v>12.71</v>
        <stp/>
        <stp>134</stp>
        <stp>446842578</stp>
        <tr r="Q19" s="9"/>
      </tp>
      <tp>
        <v>30.7109207709</v>
        <stp/>
        <stp>144</stp>
        <stp>446842578</stp>
        <tr r="K41" s="9"/>
      </tp>
      <tp>
        <v>416400000</v>
        <stp/>
        <stp>154</stp>
        <stp>446842578</stp>
        <tr r="O42" s="9"/>
      </tp>
      <tp>
        <v>6847633830</v>
        <stp/>
        <stp>164</stp>
        <stp>446842578</stp>
        <tr r="D17" s="9"/>
      </tp>
      <tp>
        <v>16.96</v>
        <stp/>
        <stp>174</stp>
        <stp>446842578</stp>
        <tr r="F39" s="9"/>
      </tp>
      <tp>
        <v>15741400000</v>
        <stp/>
        <stp>185</stp>
        <stp>446842578</stp>
        <tr r="J43" s="9"/>
      </tp>
      <tp>
        <v>22.699000000000002</v>
        <stp/>
        <stp>195</stp>
        <stp>446842578</stp>
        <tr r="G43" s="9"/>
      </tp>
      <tp>
        <v>16057811230</v>
        <stp/>
        <stp>105</stp>
        <stp>446842578</stp>
        <tr r="D19" s="9"/>
      </tp>
      <tp>
        <v>0.45717000000000002</v>
        <stp/>
        <stp>115</stp>
        <stp>446842578</stp>
        <tr r="M42" s="9"/>
      </tp>
      <tp>
        <v>295.68</v>
        <stp/>
        <stp>125</stp>
        <stp>446842578</stp>
        <tr r="G39" s="9"/>
      </tp>
      <tp>
        <v>1360847860</v>
        <stp/>
        <stp>135</stp>
        <stp>446842578</stp>
        <tr r="L17" s="9"/>
      </tp>
      <tp>
        <v>7.18</v>
        <stp/>
        <stp>145</stp>
        <stp>446842578</stp>
        <tr r="G41" s="9"/>
      </tp>
      <tp>
        <v>4920607700</v>
        <stp/>
        <stp>155</stp>
        <stp>446842578</stp>
        <tr r="P18" s="9"/>
      </tp>
      <tp>
        <v>248.75839257499999</v>
        <stp/>
        <stp>165</stp>
        <stp>446842578</stp>
        <tr r="K42" s="9"/>
      </tp>
      <tp>
        <v>2630693390</v>
        <stp/>
        <stp>175</stp>
        <stp>446842578</stp>
        <tr r="K19" s="9"/>
      </tp>
      <tp>
        <v>3028300000</v>
        <stp/>
        <stp>186</stp>
        <stp>446842578</stp>
        <tr r="J43" s="9"/>
      </tp>
      <tp>
        <v>45.686169999999997</v>
        <stp/>
        <stp>106</stp>
        <stp>446842578</stp>
        <tr r="C40" s="9"/>
      </tp>
      <tp>
        <v>0.79322000000000004</v>
        <stp/>
        <stp>116</stp>
        <stp>446842578</stp>
        <tr r="N42" s="9"/>
      </tp>
      <tp>
        <v>14.750310000000001</v>
        <stp/>
        <stp>126</stp>
        <stp>446842578</stp>
        <tr r="D42" s="9"/>
      </tp>
      <tp>
        <v>0.83794000000000002</v>
        <stp/>
        <stp>136</stp>
        <stp>446842578</stp>
        <tr r="N39" s="9"/>
      </tp>
      <tp>
        <v>9.6447199999999995</v>
        <stp/>
        <stp>146</stp>
        <stp>446842578</stp>
        <tr r="J19" s="9"/>
      </tp>
      <tp>
        <v>2535126640</v>
        <stp/>
        <stp>156</stp>
        <stp>446842578</stp>
        <tr r="K17" s="9"/>
      </tp>
      <tp>
        <v>11.608549999999999</v>
        <stp/>
        <stp>166</stp>
        <stp>446842578</stp>
        <tr r="E42" s="9"/>
      </tp>
      <tp>
        <v>17774871390</v>
        <stp/>
        <stp>176</stp>
        <stp>446842578</stp>
        <tr r="F19" s="9"/>
      </tp>
      <tp>
        <v>43.496769999999998</v>
        <stp/>
        <stp>187</stp>
        <stp>446842578</stp>
        <tr r="C43" s="9"/>
      </tp>
      <tp>
        <v>11.40203</v>
        <stp/>
        <stp>107</stp>
        <stp>446842578</stp>
        <tr r="E39" s="9"/>
      </tp>
      <tp>
        <v>1530000000</v>
        <stp/>
        <stp>117</stp>
        <stp>446842578</stp>
        <tr r="O39" s="9"/>
      </tp>
      <tp>
        <v>7.0497100000000001</v>
        <stp/>
        <stp>127</stp>
        <stp>446842578</stp>
        <tr r="G15" s="9"/>
      </tp>
      <tp>
        <v>1401825740</v>
        <stp/>
        <stp>137</stp>
        <stp>446842578</stp>
        <tr r="P15" s="9"/>
      </tp>
      <tp>
        <v>12.359</v>
        <stp/>
        <stp>147</stp>
        <stp>446842578</stp>
        <tr r="F42" s="9"/>
      </tp>
      <tp>
        <v>23098500000</v>
        <stp/>
        <stp>157</stp>
        <stp>446842578</stp>
        <tr r="J42" s="9"/>
      </tp>
      <tp>
        <v>8.4816699999999994</v>
        <stp/>
        <stp>167</stp>
        <stp>446842578</stp>
        <tr r="I19" s="9"/>
      </tp>
      <tp>
        <v>33.579066012699997</v>
        <stp/>
        <stp>177</stp>
        <stp>446842578</stp>
        <tr r="L40" s="9"/>
      </tp>
      <tp>
        <v>42.492096783100003</v>
        <stp/>
        <stp>188</stp>
        <stp>446842578</stp>
        <tr r="L43" s="9"/>
      </tp>
      <tp>
        <v>45.15766</v>
        <stp/>
        <stp>108</stp>
        <stp>446842578</stp>
        <tr r="C39" s="9"/>
      </tp>
      <tp>
        <v>88000000</v>
        <stp/>
        <stp>118</stp>
        <stp>446842578</stp>
        <tr r="O39" s="9"/>
      </tp>
      <tp>
        <v>-2.895</v>
        <stp/>
        <stp>128</stp>
        <stp>446842578</stp>
        <tr r="Q15" s="9"/>
      </tp>
      <tp>
        <v>3.6726677578000002</v>
        <stp/>
        <stp>138</stp>
        <stp>446842578</stp>
        <tr r="I41" s="9"/>
      </tp>
      <tp>
        <v>1.23664</v>
        <stp/>
        <stp>148</stp>
        <stp>446842578</stp>
        <tr r="M40" s="9"/>
      </tp>
      <tp>
        <v>2443800000</v>
        <stp/>
        <stp>158</stp>
        <stp>446842578</stp>
        <tr r="J42" s="9"/>
      </tp>
      <tp>
        <v>1052143560</v>
        <stp/>
        <stp>168</stp>
        <stp>446842578</stp>
        <tr r="L15" s="9"/>
      </tp>
      <tp>
        <v>3070000000</v>
        <stp/>
        <stp>178</stp>
        <stp>446842578</stp>
        <tr r="O41" s="9"/>
      </tp>
      <tp>
        <v>0.95159000000000005</v>
        <stp/>
        <stp>189</stp>
        <stp>446842578</stp>
        <tr r="M43" s="9"/>
      </tp>
      <tp>
        <v>4501339720</v>
        <stp/>
        <stp>109</stp>
        <stp>446842578</stp>
        <tr r="N18" s="9"/>
      </tp>
      <tp>
        <v>3217370290</v>
        <stp/>
        <stp>119</stp>
        <stp>446842578</stp>
        <tr r="M19" s="9"/>
      </tp>
      <tp>
        <v>7005841250</v>
        <stp/>
        <stp>129</stp>
        <stp>446842578</stp>
        <tr r="F15" s="9"/>
      </tp>
      <tp>
        <v>12386000000</v>
        <stp/>
        <stp>139</stp>
        <stp>446842578</stp>
        <tr r="C17" s="9"/>
      </tp>
      <tp>
        <v>15.17455</v>
        <stp/>
        <stp>149</stp>
        <stp>446842578</stp>
        <tr r="D39" s="9"/>
      </tp>
      <tp>
        <v>6.7172413792999999</v>
        <stp/>
        <stp>159</stp>
        <stp>446842578</stp>
        <tr r="I39" s="9"/>
      </tp>
      <tp>
        <v>5.1553303450000003</v>
        <stp/>
        <stp>169</stp>
        <stp>446842578</stp>
        <tr r="I42" s="9"/>
      </tp>
      <tp>
        <v>366000000</v>
        <stp/>
        <stp>179</stp>
        <stp>446842578</stp>
        <tr r="O41" s="9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2</xdr:row>
      <xdr:rowOff>88490</xdr:rowOff>
    </xdr:from>
    <xdr:to>
      <xdr:col>4</xdr:col>
      <xdr:colOff>1370495</xdr:colOff>
      <xdr:row>9</xdr:row>
      <xdr:rowOff>521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101098-1314-A86E-50CA-34F706B25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" y="454250"/>
          <a:ext cx="4167035" cy="151223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hyperlink" Target="http://www.wsj.com/mdc/public/page/2_3021-peyield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47D1-7FC5-4B80-833C-6B1CB46ABBEE}">
  <dimension ref="C3:I23"/>
  <sheetViews>
    <sheetView tabSelected="1" zoomScale="63" workbookViewId="0">
      <selection activeCell="E16" sqref="E16"/>
    </sheetView>
  </sheetViews>
  <sheetFormatPr defaultRowHeight="14.4"/>
  <cols>
    <col min="4" max="4" width="32.109375" bestFit="1" customWidth="1"/>
    <col min="5" max="5" width="20.109375" bestFit="1" customWidth="1"/>
    <col min="8" max="8" width="46.109375" bestFit="1" customWidth="1"/>
    <col min="9" max="9" width="3.109375" bestFit="1" customWidth="1"/>
  </cols>
  <sheetData>
    <row r="3" spans="3:9" ht="18">
      <c r="C3" s="190"/>
      <c r="D3" s="190"/>
      <c r="E3" s="190"/>
      <c r="F3" s="190"/>
      <c r="G3" s="190"/>
      <c r="H3" s="190"/>
      <c r="I3" s="190"/>
    </row>
    <row r="4" spans="3:9" ht="18">
      <c r="C4" s="190"/>
      <c r="D4" s="190"/>
      <c r="E4" s="190"/>
      <c r="F4" s="190"/>
      <c r="G4" s="190"/>
      <c r="H4" s="190"/>
      <c r="I4" s="190"/>
    </row>
    <row r="5" spans="3:9" ht="18">
      <c r="C5" s="190"/>
      <c r="D5" s="190"/>
      <c r="E5" s="190"/>
      <c r="F5" s="190"/>
      <c r="G5" s="190"/>
      <c r="H5" s="190"/>
      <c r="I5" s="190"/>
    </row>
    <row r="6" spans="3:9" ht="18">
      <c r="C6" s="190"/>
      <c r="D6" s="190"/>
      <c r="E6" s="190"/>
      <c r="F6" s="190"/>
      <c r="G6" s="190"/>
      <c r="H6" s="190"/>
      <c r="I6" s="190"/>
    </row>
    <row r="7" spans="3:9" ht="18">
      <c r="C7" s="190"/>
      <c r="D7" s="190"/>
      <c r="E7" s="190"/>
      <c r="F7" s="190"/>
      <c r="G7" s="190"/>
      <c r="H7" s="347" t="s">
        <v>273</v>
      </c>
      <c r="I7" s="348" t="s">
        <v>274</v>
      </c>
    </row>
    <row r="8" spans="3:9" ht="18">
      <c r="C8" s="190"/>
      <c r="D8" s="190"/>
      <c r="E8" s="190"/>
      <c r="F8" s="190"/>
      <c r="G8" s="190"/>
      <c r="H8" s="191"/>
      <c r="I8" s="192"/>
    </row>
    <row r="9" spans="3:9" ht="18">
      <c r="C9" s="190"/>
      <c r="D9" s="190"/>
      <c r="E9" s="190"/>
      <c r="F9" s="190"/>
      <c r="G9" s="190"/>
      <c r="H9" s="347" t="s">
        <v>275</v>
      </c>
      <c r="I9" s="348" t="s">
        <v>274</v>
      </c>
    </row>
    <row r="10" spans="3:9" ht="18">
      <c r="C10" s="190"/>
      <c r="D10" s="190"/>
      <c r="E10" s="190"/>
      <c r="F10" s="190"/>
      <c r="G10" s="190"/>
      <c r="H10" s="193" t="s">
        <v>276</v>
      </c>
      <c r="I10" s="194"/>
    </row>
    <row r="11" spans="3:9" ht="18">
      <c r="C11" s="190"/>
      <c r="D11" s="195" t="s">
        <v>277</v>
      </c>
      <c r="E11" s="196">
        <f ca="1">TODAY()</f>
        <v>46005</v>
      </c>
      <c r="F11" s="190"/>
      <c r="G11" s="190"/>
      <c r="H11" s="197" t="s">
        <v>438</v>
      </c>
      <c r="I11" s="194">
        <v>2</v>
      </c>
    </row>
    <row r="12" spans="3:9" ht="18">
      <c r="C12" s="190"/>
      <c r="D12" s="195" t="s">
        <v>278</v>
      </c>
      <c r="E12" s="198" t="s">
        <v>442</v>
      </c>
      <c r="F12" s="190"/>
      <c r="G12" s="190"/>
      <c r="H12" s="197" t="s">
        <v>441</v>
      </c>
      <c r="I12" s="194">
        <v>2</v>
      </c>
    </row>
    <row r="13" spans="3:9" ht="18">
      <c r="C13" s="190"/>
      <c r="D13" s="195" t="s">
        <v>279</v>
      </c>
      <c r="E13" s="198" t="s">
        <v>443</v>
      </c>
      <c r="F13" s="190"/>
      <c r="G13" s="190"/>
      <c r="H13" s="197" t="s">
        <v>439</v>
      </c>
      <c r="I13" s="194">
        <v>2</v>
      </c>
    </row>
    <row r="14" spans="3:9" ht="18">
      <c r="C14" s="190"/>
      <c r="D14" s="195" t="s">
        <v>280</v>
      </c>
      <c r="E14" s="198" t="s">
        <v>382</v>
      </c>
      <c r="F14" s="190"/>
      <c r="G14" s="190"/>
      <c r="H14" s="197" t="s">
        <v>440</v>
      </c>
      <c r="I14" s="194">
        <v>2</v>
      </c>
    </row>
    <row r="15" spans="3:9" ht="18">
      <c r="C15" s="190"/>
      <c r="D15" s="195" t="s">
        <v>281</v>
      </c>
      <c r="E15" s="199" t="str">
        <f ca="1">IF(E23&gt;Ke!D38,"BUY","SELL")</f>
        <v>SELL</v>
      </c>
      <c r="F15" s="190"/>
      <c r="G15" s="190"/>
      <c r="H15" s="197" t="s">
        <v>6</v>
      </c>
      <c r="I15" s="194">
        <v>2</v>
      </c>
    </row>
    <row r="16" spans="3:9" ht="18.600000000000001" thickBot="1">
      <c r="C16" s="190"/>
      <c r="D16" s="192"/>
      <c r="E16" s="192"/>
      <c r="F16" s="190"/>
      <c r="G16" s="4"/>
      <c r="H16" s="197" t="s">
        <v>477</v>
      </c>
      <c r="I16" s="194">
        <v>2</v>
      </c>
    </row>
    <row r="17" spans="3:9" ht="18">
      <c r="C17" s="190"/>
      <c r="D17" s="200" t="s">
        <v>282</v>
      </c>
      <c r="E17" s="201">
        <f>DCF!B6</f>
        <v>280.06</v>
      </c>
      <c r="F17" s="190"/>
      <c r="G17" s="190"/>
      <c r="H17" s="347" t="s">
        <v>283</v>
      </c>
      <c r="I17" s="348" t="s">
        <v>274</v>
      </c>
    </row>
    <row r="18" spans="3:9" ht="18">
      <c r="C18" s="190"/>
      <c r="D18" s="202" t="s">
        <v>284</v>
      </c>
      <c r="E18" s="203">
        <f ca="1">DCF!B24</f>
        <v>135.22597997519173</v>
      </c>
      <c r="F18" s="190"/>
      <c r="G18" s="190"/>
      <c r="H18" s="204" t="s">
        <v>149</v>
      </c>
      <c r="I18" s="197">
        <v>1</v>
      </c>
    </row>
    <row r="19" spans="3:9" ht="18">
      <c r="C19" s="190"/>
      <c r="D19" s="202" t="s">
        <v>285</v>
      </c>
      <c r="E19" s="203">
        <f ca="1">DCF!B46</f>
        <v>140.65169141052635</v>
      </c>
      <c r="F19" s="190"/>
      <c r="G19" s="190"/>
      <c r="H19" s="204" t="s">
        <v>286</v>
      </c>
      <c r="I19" s="197">
        <v>2</v>
      </c>
    </row>
    <row r="20" spans="3:9" ht="18">
      <c r="C20" s="190"/>
      <c r="D20" s="205" t="s">
        <v>287</v>
      </c>
      <c r="E20" s="206">
        <f ca="1">E18/E17-1</f>
        <v>-0.51715353861604041</v>
      </c>
      <c r="F20" s="190"/>
      <c r="G20" s="190"/>
      <c r="H20" s="204" t="s">
        <v>151</v>
      </c>
      <c r="I20" s="197">
        <v>3</v>
      </c>
    </row>
    <row r="21" spans="3:9" ht="18.600000000000001" thickBot="1">
      <c r="C21" s="190"/>
      <c r="D21" s="207" t="s">
        <v>288</v>
      </c>
      <c r="E21" s="208">
        <f ca="1">E19/E17-1</f>
        <v>-0.49778014921614533</v>
      </c>
      <c r="F21" s="190"/>
      <c r="G21" s="190"/>
      <c r="H21" s="190"/>
      <c r="I21" s="190"/>
    </row>
    <row r="22" spans="3:9" ht="18.600000000000001" thickBot="1">
      <c r="C22" s="190"/>
      <c r="D22" s="207" t="s">
        <v>289</v>
      </c>
      <c r="E22" s="208">
        <v>9.2999999999999992E-3</v>
      </c>
      <c r="F22" s="190"/>
      <c r="G22" s="190"/>
      <c r="H22" s="190"/>
      <c r="I22" s="190"/>
    </row>
    <row r="23" spans="3:9" ht="18.600000000000001" thickBot="1">
      <c r="D23" s="207" t="s">
        <v>82</v>
      </c>
      <c r="E23" s="208">
        <f ca="1">E21+E22</f>
        <v>-0.48848014921614535</v>
      </c>
    </row>
  </sheetData>
  <dataValidations count="1">
    <dataValidation type="list" allowBlank="1" showInputMessage="1" showErrorMessage="1" sqref="I11:I16" xr:uid="{1BBE1DF0-0F5D-45A4-822A-750A33A70E80}">
      <formula1>$I$18:$I$20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D49E-6822-40ED-967E-BDCD21F92417}">
  <dimension ref="A1:L56"/>
  <sheetViews>
    <sheetView zoomScale="75" workbookViewId="0">
      <selection activeCell="G40" sqref="G40"/>
    </sheetView>
  </sheetViews>
  <sheetFormatPr defaultRowHeight="14.4"/>
  <cols>
    <col min="1" max="1" width="27.77734375" customWidth="1"/>
    <col min="7" max="7" width="11.109375" customWidth="1"/>
  </cols>
  <sheetData>
    <row r="1" spans="1:12" ht="16.2" thickBot="1">
      <c r="A1" s="209" t="e" vm="1">
        <v>#VALUE!</v>
      </c>
      <c r="B1" s="210"/>
      <c r="C1" s="210"/>
      <c r="D1" s="210"/>
      <c r="E1" s="210"/>
      <c r="F1" s="210"/>
      <c r="G1" s="210"/>
      <c r="H1" s="210"/>
      <c r="I1" s="210"/>
    </row>
    <row r="2" spans="1:12" ht="15" thickBot="1">
      <c r="A2" s="211"/>
      <c r="B2" s="210"/>
      <c r="C2" s="210"/>
      <c r="D2" s="210"/>
      <c r="E2" s="210"/>
      <c r="F2" s="210"/>
      <c r="G2" s="210"/>
      <c r="H2" s="450" t="s">
        <v>290</v>
      </c>
      <c r="I2" s="451"/>
    </row>
    <row r="3" spans="1:12">
      <c r="A3" s="212" t="s">
        <v>291</v>
      </c>
      <c r="B3" s="213">
        <f>Ke!D38</f>
        <v>9.9113048607831544E-2</v>
      </c>
      <c r="C3" s="214"/>
      <c r="D3" s="210"/>
      <c r="E3" s="210"/>
      <c r="F3" s="210"/>
      <c r="G3" s="215">
        <f ca="1">TODAY()</f>
        <v>46005</v>
      </c>
      <c r="H3" s="210" t="s">
        <v>292</v>
      </c>
      <c r="I3" s="216">
        <f>Schedules!B21</f>
        <v>282</v>
      </c>
    </row>
    <row r="4" spans="1:12">
      <c r="A4" s="217" t="s">
        <v>293</v>
      </c>
      <c r="B4" s="216">
        <f>I3</f>
        <v>282</v>
      </c>
      <c r="C4" s="218"/>
      <c r="D4" s="219"/>
      <c r="E4" s="210"/>
      <c r="F4" s="210"/>
      <c r="G4" s="215">
        <f ca="1">G3+365</f>
        <v>46370</v>
      </c>
      <c r="H4" s="210" t="s">
        <v>294</v>
      </c>
      <c r="I4" s="216">
        <f>Schedules!C21</f>
        <v>281.23836454814642</v>
      </c>
    </row>
    <row r="5" spans="1:12">
      <c r="A5" s="217"/>
      <c r="B5" s="210"/>
      <c r="C5" s="220"/>
      <c r="D5" s="210"/>
      <c r="E5" s="210"/>
      <c r="F5" s="210"/>
      <c r="G5" s="215">
        <f ca="1">G4+366</f>
        <v>46736</v>
      </c>
      <c r="H5" s="210" t="s">
        <v>295</v>
      </c>
      <c r="I5" s="216">
        <f>Schedules!D21</f>
        <v>280.60261644756639</v>
      </c>
    </row>
    <row r="6" spans="1:12" ht="15" thickBot="1">
      <c r="A6" s="217" t="s">
        <v>296</v>
      </c>
      <c r="B6" s="221">
        <v>280.06</v>
      </c>
      <c r="C6" s="222" t="s">
        <v>297</v>
      </c>
      <c r="D6" s="210"/>
      <c r="E6" s="210"/>
      <c r="F6" s="210"/>
      <c r="G6" s="210"/>
      <c r="H6" s="210"/>
      <c r="I6" s="210"/>
    </row>
    <row r="7" spans="1:12" ht="15" thickBot="1">
      <c r="A7" s="217"/>
      <c r="B7" s="223"/>
      <c r="C7" s="220"/>
      <c r="D7" s="210"/>
      <c r="E7" s="210"/>
      <c r="F7" s="210"/>
      <c r="G7" s="350" t="s">
        <v>298</v>
      </c>
      <c r="H7" s="351"/>
      <c r="I7" s="352"/>
    </row>
    <row r="8" spans="1:12">
      <c r="A8" s="217" t="s">
        <v>299</v>
      </c>
      <c r="B8" s="420">
        <f ca="1">B24</f>
        <v>135.22597997519173</v>
      </c>
      <c r="C8" s="220"/>
      <c r="D8" s="210"/>
      <c r="E8" s="210"/>
      <c r="F8" s="210"/>
      <c r="G8" s="224" t="s">
        <v>298</v>
      </c>
      <c r="H8" s="225"/>
      <c r="I8" s="226">
        <f ca="1">B8/$B$6-1</f>
        <v>-0.51715353861604041</v>
      </c>
    </row>
    <row r="9" spans="1:12" ht="15" thickBot="1">
      <c r="A9" s="227" t="s">
        <v>300</v>
      </c>
      <c r="B9" s="420">
        <f ca="1">B46</f>
        <v>140.65169141052635</v>
      </c>
      <c r="C9" s="228"/>
      <c r="D9" s="210"/>
      <c r="E9" s="210"/>
      <c r="F9" s="210"/>
      <c r="G9" s="227" t="s">
        <v>301</v>
      </c>
      <c r="H9" s="229"/>
      <c r="I9" s="230">
        <f ca="1">B9/B6-1</f>
        <v>-0.49778014921614533</v>
      </c>
    </row>
    <row r="10" spans="1:12">
      <c r="A10" s="210"/>
      <c r="B10" s="231"/>
      <c r="C10" s="210"/>
      <c r="D10" s="210"/>
      <c r="E10" s="210"/>
      <c r="F10" s="210"/>
      <c r="G10" s="210"/>
      <c r="H10" s="210"/>
      <c r="I10" s="210"/>
    </row>
    <row r="11" spans="1:12">
      <c r="A11" s="210"/>
      <c r="B11" s="210"/>
      <c r="C11" s="210"/>
      <c r="D11" s="210"/>
      <c r="E11" s="210"/>
      <c r="F11" s="210"/>
      <c r="G11" s="210"/>
      <c r="H11" s="210"/>
      <c r="I11" s="210"/>
    </row>
    <row r="12" spans="1:12">
      <c r="A12" s="349" t="s">
        <v>302</v>
      </c>
      <c r="B12" s="349"/>
      <c r="C12" s="349"/>
      <c r="D12" s="349"/>
      <c r="E12" s="349"/>
      <c r="F12" s="349"/>
      <c r="G12" s="349"/>
      <c r="H12" s="349"/>
      <c r="I12" s="349"/>
      <c r="J12" s="43"/>
      <c r="K12" s="43"/>
      <c r="L12" s="43"/>
    </row>
    <row r="13" spans="1:12">
      <c r="A13" s="232"/>
      <c r="B13" s="232"/>
      <c r="C13" s="232"/>
      <c r="D13" s="232"/>
      <c r="E13" s="232"/>
      <c r="F13" s="232"/>
      <c r="G13" s="232"/>
      <c r="H13" s="232"/>
      <c r="I13" s="232"/>
      <c r="J13" s="43"/>
      <c r="K13" s="43"/>
      <c r="L13" s="43"/>
    </row>
    <row r="14" spans="1:12">
      <c r="A14" s="210"/>
      <c r="B14" s="210"/>
      <c r="C14" s="233">
        <v>46022</v>
      </c>
      <c r="D14" s="233">
        <v>46387</v>
      </c>
      <c r="E14" s="233">
        <v>46752</v>
      </c>
      <c r="F14" s="233">
        <v>47118</v>
      </c>
      <c r="G14" s="233">
        <v>47483</v>
      </c>
      <c r="H14" s="233"/>
      <c r="I14" s="233"/>
      <c r="J14" s="43"/>
      <c r="K14" s="43"/>
      <c r="L14" s="43"/>
    </row>
    <row r="15" spans="1:12">
      <c r="A15" s="211" t="s">
        <v>303</v>
      </c>
      <c r="B15" s="210"/>
      <c r="C15" s="234">
        <f ca="1">MAX((C14-$G$3)/365,0)</f>
        <v>4.6575342465753428E-2</v>
      </c>
      <c r="D15" s="234">
        <f ca="1">MAX((D14-$G$3)/365,0)</f>
        <v>1.0465753424657533</v>
      </c>
      <c r="E15" s="234">
        <f t="shared" ref="E15:G15" ca="1" si="0">MAX((E14-$G$3)/365,0)</f>
        <v>2.0465753424657533</v>
      </c>
      <c r="F15" s="234">
        <f t="shared" ca="1" si="0"/>
        <v>3.0493150684931507</v>
      </c>
      <c r="G15" s="234">
        <f t="shared" ca="1" si="0"/>
        <v>4.0493150684931507</v>
      </c>
      <c r="H15" s="234"/>
      <c r="I15" s="234"/>
      <c r="J15" s="43"/>
      <c r="K15" s="43"/>
      <c r="L15" s="43"/>
    </row>
    <row r="16" spans="1:12">
      <c r="A16" s="235" t="s">
        <v>304</v>
      </c>
      <c r="B16" s="236"/>
      <c r="C16" s="237">
        <f>'Cash flow'!F49</f>
        <v>2706.2239073147202</v>
      </c>
      <c r="D16" s="237">
        <f>'Cash flow'!G49</f>
        <v>2337.3470889310852</v>
      </c>
      <c r="E16" s="237">
        <f>'Cash flow'!H49</f>
        <v>2579.8435137686679</v>
      </c>
      <c r="F16" s="237">
        <f>'Cash flow'!I49</f>
        <v>2748.9917998951105</v>
      </c>
      <c r="G16" s="237">
        <f>'Cash flow'!J49</f>
        <v>3134.4488927484836</v>
      </c>
      <c r="H16" s="237"/>
      <c r="I16" s="237"/>
      <c r="J16" s="43"/>
      <c r="K16" s="43"/>
      <c r="L16" s="43"/>
    </row>
    <row r="17" spans="1:12">
      <c r="A17" s="211" t="s">
        <v>305</v>
      </c>
      <c r="B17" s="210"/>
      <c r="C17" s="238">
        <f ca="1">(C16*C15)/((1+$B$3)^C15)</f>
        <v>125.48974047504109</v>
      </c>
      <c r="D17" s="238">
        <f ca="1">D16/((1+$B$3)^D15)</f>
        <v>2117.2360624071498</v>
      </c>
      <c r="E17" s="238">
        <f t="shared" ref="E17:G17" ca="1" si="1">E16/((1+$B$3)^E15)</f>
        <v>2126.1655344046139</v>
      </c>
      <c r="F17" s="238">
        <f t="shared" ca="1" si="1"/>
        <v>2060.7359424362298</v>
      </c>
      <c r="G17" s="238">
        <f t="shared" ca="1" si="1"/>
        <v>2137.803239313524</v>
      </c>
      <c r="H17" s="238"/>
      <c r="I17" s="238"/>
      <c r="J17" s="43"/>
      <c r="K17" s="43"/>
      <c r="L17" s="43"/>
    </row>
    <row r="18" spans="1:12" ht="15" thickBot="1">
      <c r="A18" s="239"/>
      <c r="B18" s="210"/>
      <c r="C18" s="210"/>
      <c r="D18" s="240"/>
      <c r="E18" s="240"/>
      <c r="F18" s="240"/>
      <c r="G18" s="240"/>
      <c r="H18" s="240"/>
      <c r="I18" s="210"/>
      <c r="J18" s="43"/>
      <c r="K18" s="43"/>
      <c r="L18" s="43"/>
    </row>
    <row r="19" spans="1:12" ht="15" thickBot="1">
      <c r="A19" s="211" t="s">
        <v>306</v>
      </c>
      <c r="B19" s="241">
        <v>2.5000000000000001E-2</v>
      </c>
      <c r="C19" s="242"/>
      <c r="D19" s="242"/>
      <c r="E19" s="242"/>
      <c r="F19" s="242"/>
      <c r="G19" s="242"/>
      <c r="H19" s="210"/>
      <c r="I19" s="210"/>
      <c r="J19" s="43"/>
      <c r="K19" s="43"/>
      <c r="L19" s="43"/>
    </row>
    <row r="20" spans="1:12">
      <c r="A20" s="211"/>
      <c r="B20" s="242"/>
      <c r="C20" s="242"/>
      <c r="D20" s="242"/>
      <c r="E20" s="242"/>
      <c r="F20" s="242"/>
      <c r="G20" s="242"/>
      <c r="H20" s="210"/>
      <c r="I20" s="210"/>
      <c r="J20" s="43"/>
      <c r="K20" s="43"/>
      <c r="L20" s="43"/>
    </row>
    <row r="21" spans="1:12">
      <c r="A21" s="210" t="s">
        <v>307</v>
      </c>
      <c r="B21" s="219">
        <f>G16*(1+B19)/(B3-B19)</f>
        <v>43350.127614743629</v>
      </c>
      <c r="C21" s="243"/>
      <c r="D21" s="244" t="s">
        <v>308</v>
      </c>
      <c r="E21" s="219"/>
      <c r="F21" s="244"/>
      <c r="G21" s="244"/>
      <c r="H21" s="210"/>
      <c r="I21" s="210"/>
      <c r="J21" s="43"/>
      <c r="K21" s="43"/>
      <c r="L21" s="43"/>
    </row>
    <row r="22" spans="1:12">
      <c r="A22" s="236" t="s">
        <v>309</v>
      </c>
      <c r="B22" s="245">
        <f ca="1">B21/(1+B3)^(G15)</f>
        <v>29566.295833967517</v>
      </c>
      <c r="C22" s="219"/>
      <c r="D22" s="244"/>
      <c r="E22" s="219"/>
      <c r="F22" s="244"/>
      <c r="G22" s="244"/>
      <c r="H22" s="210"/>
      <c r="I22" s="210"/>
      <c r="J22" s="43"/>
      <c r="K22" s="43"/>
      <c r="L22" s="43"/>
    </row>
    <row r="23" spans="1:12">
      <c r="A23" s="210" t="s">
        <v>310</v>
      </c>
      <c r="B23" s="219">
        <f ca="1">SUM(C17:G17)+B22</f>
        <v>38133.726353004073</v>
      </c>
      <c r="C23" s="219"/>
      <c r="D23" s="244"/>
      <c r="E23" s="219"/>
      <c r="F23" s="244"/>
      <c r="G23" s="244"/>
      <c r="H23" s="210"/>
      <c r="I23" s="210"/>
      <c r="J23" s="43"/>
      <c r="K23" s="43"/>
      <c r="L23" s="43"/>
    </row>
    <row r="24" spans="1:12" ht="15" thickBot="1">
      <c r="A24" s="246" t="s">
        <v>311</v>
      </c>
      <c r="B24" s="247">
        <f ca="1">B23/B4</f>
        <v>135.22597997519173</v>
      </c>
      <c r="C24" s="231"/>
      <c r="D24" s="231"/>
      <c r="E24" s="234"/>
      <c r="F24" s="231"/>
      <c r="G24" s="231"/>
      <c r="H24" s="210"/>
      <c r="I24" s="210"/>
      <c r="J24" s="43"/>
      <c r="K24" s="43"/>
      <c r="L24" s="43"/>
    </row>
    <row r="25" spans="1:12">
      <c r="A25" s="210"/>
      <c r="B25" s="210"/>
      <c r="C25" s="248" t="s">
        <v>306</v>
      </c>
      <c r="D25" s="248"/>
      <c r="E25" s="248"/>
      <c r="F25" s="248"/>
      <c r="G25" s="248"/>
      <c r="H25" s="248"/>
      <c r="I25" s="248"/>
      <c r="J25" s="43"/>
      <c r="K25" s="43"/>
      <c r="L25" s="43"/>
    </row>
    <row r="26" spans="1:12" ht="16.2" thickBot="1">
      <c r="A26" s="210"/>
      <c r="B26" s="249">
        <f ca="1">B24</f>
        <v>135.22597997519173</v>
      </c>
      <c r="C26" s="250">
        <f>D26-L27</f>
        <v>9.9999999999999985E-3</v>
      </c>
      <c r="D26" s="250">
        <f>E26-L27</f>
        <v>1.4999999999999999E-2</v>
      </c>
      <c r="E26" s="250">
        <f>F26-L27</f>
        <v>0.02</v>
      </c>
      <c r="F26" s="251">
        <v>2.5000000000000001E-2</v>
      </c>
      <c r="G26" s="250">
        <f>F26+L27</f>
        <v>3.0000000000000002E-2</v>
      </c>
      <c r="H26" s="250">
        <f>G26+L27</f>
        <v>3.5000000000000003E-2</v>
      </c>
      <c r="I26" s="250">
        <f>H26+L27</f>
        <v>0.04</v>
      </c>
      <c r="J26" s="43"/>
      <c r="K26" s="43"/>
      <c r="L26" s="252">
        <v>5.0000000000000001E-3</v>
      </c>
    </row>
    <row r="27" spans="1:12" ht="16.2" thickTop="1">
      <c r="A27" s="210"/>
      <c r="B27" s="253">
        <f>B28+L27</f>
        <v>0.11411304860783156</v>
      </c>
      <c r="C27" s="254">
        <f t="dataTable" ref="C27:I33" dt2D="1" dtr="1" r1="B19" r2="B3" ca="1"/>
        <v>98.981907088121815</v>
      </c>
      <c r="D27" s="255">
        <v>102.85576768893229</v>
      </c>
      <c r="E27" s="255">
        <v>107.14124608962437</v>
      </c>
      <c r="F27" s="256">
        <v>111.90762806926945</v>
      </c>
      <c r="G27" s="255">
        <v>117.24067384942283</v>
      </c>
      <c r="H27" s="255">
        <v>123.24782407555571</v>
      </c>
      <c r="I27" s="257">
        <v>130.06551311219144</v>
      </c>
      <c r="J27" s="43"/>
      <c r="K27" s="43"/>
      <c r="L27" s="252">
        <v>5.0000000000000001E-3</v>
      </c>
    </row>
    <row r="28" spans="1:12" ht="16.2" thickBot="1">
      <c r="A28" s="210"/>
      <c r="B28" s="253">
        <f>B29+L27</f>
        <v>0.10911304860783155</v>
      </c>
      <c r="C28" s="258">
        <v>104.16942698258899</v>
      </c>
      <c r="D28" s="259">
        <v>108.51408885688504</v>
      </c>
      <c r="E28" s="259">
        <v>113.3462957026719</v>
      </c>
      <c r="F28" s="260">
        <v>118.75299211051423</v>
      </c>
      <c r="G28" s="259">
        <v>124.84310250669164</v>
      </c>
      <c r="H28" s="259">
        <v>131.75494544667563</v>
      </c>
      <c r="I28" s="261">
        <v>139.66686624159613</v>
      </c>
      <c r="J28" s="43"/>
      <c r="K28" s="43"/>
      <c r="L28" s="43"/>
    </row>
    <row r="29" spans="1:12" ht="16.2" thickBot="1">
      <c r="A29" s="210"/>
      <c r="B29" s="253">
        <f>B30+L27</f>
        <v>0.10411304860783155</v>
      </c>
      <c r="C29" s="258">
        <v>109.91159041057178</v>
      </c>
      <c r="D29" s="259">
        <v>114.81083478579232</v>
      </c>
      <c r="E29" s="411">
        <v>120.29253865526597</v>
      </c>
      <c r="F29" s="412">
        <v>126.46713756113834</v>
      </c>
      <c r="G29" s="413">
        <v>133.47486896147132</v>
      </c>
      <c r="H29" s="259">
        <v>141.4965523638491</v>
      </c>
      <c r="I29" s="261">
        <v>150.7694137364783</v>
      </c>
      <c r="J29" s="43"/>
      <c r="K29" s="43"/>
      <c r="L29" s="43"/>
    </row>
    <row r="30" spans="1:12" ht="16.2" thickBot="1">
      <c r="A30" s="262" t="s">
        <v>312</v>
      </c>
      <c r="B30" s="263">
        <f>Ke!D38</f>
        <v>9.9113048607831544E-2</v>
      </c>
      <c r="C30" s="264">
        <v>116.30183502757323</v>
      </c>
      <c r="D30" s="265">
        <v>121.85993450432083</v>
      </c>
      <c r="E30" s="414">
        <v>128.12058552908167</v>
      </c>
      <c r="F30" s="415">
        <v>135.22597997519173</v>
      </c>
      <c r="G30" s="416">
        <v>143.35945733606783</v>
      </c>
      <c r="H30" s="265">
        <v>152.76154967275443</v>
      </c>
      <c r="I30" s="266">
        <v>163.75416940704861</v>
      </c>
      <c r="J30" s="43"/>
      <c r="K30" s="43"/>
      <c r="L30" s="43"/>
    </row>
    <row r="31" spans="1:12" ht="16.2" thickBot="1">
      <c r="A31" s="210"/>
      <c r="B31" s="253">
        <f>B30-L27</f>
        <v>9.411304860783154E-2</v>
      </c>
      <c r="C31" s="258">
        <v>123.45581780438661</v>
      </c>
      <c r="D31" s="259">
        <v>129.80412080635571</v>
      </c>
      <c r="E31" s="417">
        <v>137.0089940238561</v>
      </c>
      <c r="F31" s="418">
        <v>145.25634378704942</v>
      </c>
      <c r="G31" s="419">
        <v>154.79006971582507</v>
      </c>
      <c r="H31" s="259">
        <v>165.93659115308893</v>
      </c>
      <c r="I31" s="261">
        <v>179.14297092841193</v>
      </c>
      <c r="J31" s="43"/>
      <c r="K31" s="43"/>
      <c r="L31" s="43"/>
    </row>
    <row r="32" spans="1:12" ht="15.6">
      <c r="A32" s="210"/>
      <c r="B32" s="253">
        <f>B31-L27</f>
        <v>8.9113048607831535E-2</v>
      </c>
      <c r="C32" s="258">
        <v>131.5184364804897</v>
      </c>
      <c r="D32" s="259">
        <v>138.82464648308431</v>
      </c>
      <c r="E32" s="259">
        <v>147.18799549918884</v>
      </c>
      <c r="F32" s="260">
        <v>156.85581360508218</v>
      </c>
      <c r="G32" s="259">
        <v>168.15911124275061</v>
      </c>
      <c r="H32" s="259">
        <v>181.55123919555908</v>
      </c>
      <c r="I32" s="261">
        <v>197.6701634545274</v>
      </c>
      <c r="J32" s="43"/>
      <c r="K32" s="43"/>
      <c r="L32" s="43"/>
    </row>
    <row r="33" spans="1:12" ht="16.2" thickBot="1">
      <c r="A33" s="210"/>
      <c r="B33" s="253">
        <f>B32-L27</f>
        <v>8.4113048607831531E-2</v>
      </c>
      <c r="C33" s="267">
        <v>140.67369321342923</v>
      </c>
      <c r="D33" s="268">
        <v>149.15521809673288</v>
      </c>
      <c r="E33" s="268">
        <v>158.95964449033343</v>
      </c>
      <c r="F33" s="269">
        <v>170.42266008285091</v>
      </c>
      <c r="G33" s="268">
        <v>184.00402159884291</v>
      </c>
      <c r="H33" s="268">
        <v>200.35070962193879</v>
      </c>
      <c r="I33" s="270">
        <v>220.4030331744263</v>
      </c>
      <c r="J33" s="43"/>
      <c r="K33" s="43"/>
      <c r="L33" s="43"/>
    </row>
    <row r="34" spans="1:12" ht="15" thickTop="1">
      <c r="A34" s="210"/>
      <c r="B34" s="271"/>
      <c r="C34" s="234"/>
      <c r="D34" s="234"/>
      <c r="E34" s="234"/>
      <c r="F34" s="234"/>
      <c r="G34" s="234"/>
      <c r="H34" s="234"/>
      <c r="I34" s="234"/>
      <c r="J34" s="43"/>
      <c r="K34" s="43"/>
      <c r="L34" s="43"/>
    </row>
    <row r="35" spans="1:12">
      <c r="A35" s="271"/>
      <c r="B35" s="234"/>
      <c r="C35" s="234"/>
      <c r="D35" s="234"/>
      <c r="E35" s="234"/>
      <c r="F35" s="234"/>
      <c r="G35" s="234"/>
      <c r="H35" s="234"/>
      <c r="I35" s="210"/>
      <c r="J35" s="43"/>
      <c r="K35" s="43"/>
      <c r="L35" s="43"/>
    </row>
    <row r="36" spans="1:12">
      <c r="A36" s="349" t="s">
        <v>313</v>
      </c>
      <c r="B36" s="349"/>
      <c r="C36" s="349"/>
      <c r="D36" s="349"/>
      <c r="E36" s="349"/>
      <c r="F36" s="349"/>
      <c r="G36" s="349"/>
      <c r="H36" s="349"/>
      <c r="I36" s="349"/>
      <c r="J36" s="43"/>
      <c r="K36" s="43"/>
      <c r="L36" s="43"/>
    </row>
    <row r="37" spans="1:12">
      <c r="A37" s="232"/>
      <c r="B37" s="232"/>
      <c r="C37" s="232"/>
      <c r="D37" s="232"/>
      <c r="E37" s="232"/>
      <c r="F37" s="232"/>
      <c r="G37" s="232"/>
      <c r="H37" s="232"/>
      <c r="I37" s="232"/>
      <c r="J37" s="43"/>
      <c r="K37" s="43"/>
      <c r="L37" s="43"/>
    </row>
    <row r="38" spans="1:12">
      <c r="A38" s="210"/>
      <c r="B38" s="210"/>
      <c r="C38" s="233">
        <f>C14</f>
        <v>46022</v>
      </c>
      <c r="D38" s="233">
        <f t="shared" ref="D38:G38" si="2">D14</f>
        <v>46387</v>
      </c>
      <c r="E38" s="233">
        <f t="shared" si="2"/>
        <v>46752</v>
      </c>
      <c r="F38" s="233">
        <f t="shared" si="2"/>
        <v>47118</v>
      </c>
      <c r="G38" s="233">
        <f t="shared" si="2"/>
        <v>47483</v>
      </c>
      <c r="H38" s="233"/>
      <c r="I38" s="233"/>
      <c r="J38" s="43"/>
      <c r="K38" s="43"/>
      <c r="L38" s="43"/>
    </row>
    <row r="39" spans="1:12">
      <c r="A39" s="211" t="s">
        <v>314</v>
      </c>
      <c r="B39" s="210"/>
      <c r="C39" s="234">
        <f t="shared" ref="C39" ca="1" si="3">MAX((C38-$G$4)/365,0)</f>
        <v>0</v>
      </c>
      <c r="D39" s="234">
        <f ca="1">MAX((D38-$G$4)/365,0)</f>
        <v>4.6575342465753428E-2</v>
      </c>
      <c r="E39" s="234">
        <f t="shared" ref="E39:G39" ca="1" si="4">MAX((E38-$G$4)/365,0)</f>
        <v>1.0465753424657533</v>
      </c>
      <c r="F39" s="234">
        <f t="shared" ca="1" si="4"/>
        <v>2.0493150684931507</v>
      </c>
      <c r="G39" s="234">
        <f t="shared" ca="1" si="4"/>
        <v>3.0493150684931507</v>
      </c>
      <c r="H39" s="234"/>
      <c r="I39" s="234"/>
      <c r="J39" s="43"/>
      <c r="K39" s="43"/>
      <c r="L39" s="43"/>
    </row>
    <row r="40" spans="1:12">
      <c r="A40" s="235" t="s">
        <v>304</v>
      </c>
      <c r="B40" s="236"/>
      <c r="C40" s="245">
        <v>0</v>
      </c>
      <c r="D40" s="245">
        <f ca="1">D16*D39</f>
        <v>108.86274112829713</v>
      </c>
      <c r="E40" s="245">
        <f t="shared" ref="E40:G40" si="5">E16</f>
        <v>2579.8435137686679</v>
      </c>
      <c r="F40" s="245">
        <f t="shared" si="5"/>
        <v>2748.9917998951105</v>
      </c>
      <c r="G40" s="245">
        <f t="shared" si="5"/>
        <v>3134.4488927484836</v>
      </c>
      <c r="H40" s="245"/>
      <c r="I40" s="245"/>
      <c r="J40" s="43"/>
      <c r="K40" s="43"/>
      <c r="L40" s="43"/>
    </row>
    <row r="41" spans="1:12">
      <c r="A41" s="211" t="s">
        <v>305</v>
      </c>
      <c r="B41" s="210"/>
      <c r="C41" s="238">
        <f ca="1">(C40*C39)/((1+$B$3)^C39)</f>
        <v>0</v>
      </c>
      <c r="D41" s="238">
        <f ca="1">D40/((1+$B$3)^D39)</f>
        <v>108.38463099718076</v>
      </c>
      <c r="E41" s="238">
        <f ca="1">E40/((1+$B$3)^E39)</f>
        <v>2336.8962823643546</v>
      </c>
      <c r="F41" s="238">
        <f ca="1">F40/((1+$B$3)^F39)</f>
        <v>2264.9817640668175</v>
      </c>
      <c r="G41" s="238">
        <f ca="1">G40/((1+$B$3)^G39)</f>
        <v>2349.6874356855851</v>
      </c>
      <c r="H41" s="238"/>
      <c r="I41" s="238"/>
      <c r="J41" s="43"/>
      <c r="K41" s="43"/>
      <c r="L41" s="43"/>
    </row>
    <row r="42" spans="1:12">
      <c r="A42" s="211"/>
      <c r="B42" s="272"/>
      <c r="C42" s="219"/>
      <c r="D42" s="219"/>
      <c r="E42" s="219"/>
      <c r="F42" s="219"/>
      <c r="G42" s="219"/>
      <c r="H42" s="219"/>
      <c r="I42" s="219"/>
      <c r="J42" s="43"/>
      <c r="K42" s="43"/>
      <c r="L42" s="43"/>
    </row>
    <row r="43" spans="1:12">
      <c r="A43" s="210" t="s">
        <v>315</v>
      </c>
      <c r="B43" s="219">
        <f>G40*(1+B19)/(B3-B19)</f>
        <v>43350.127614743629</v>
      </c>
      <c r="C43" s="244"/>
      <c r="D43" s="219"/>
      <c r="E43" s="219"/>
      <c r="F43" s="244"/>
      <c r="G43" s="210"/>
      <c r="H43" s="210"/>
      <c r="I43" s="210"/>
      <c r="J43" s="43"/>
      <c r="K43" s="43"/>
      <c r="L43" s="43"/>
    </row>
    <row r="44" spans="1:12">
      <c r="A44" s="236" t="s">
        <v>309</v>
      </c>
      <c r="B44" s="245">
        <f ca="1">B43/(1+B3)^G39</f>
        <v>32496.701550113066</v>
      </c>
      <c r="C44" s="244"/>
      <c r="D44" s="219"/>
      <c r="E44" s="219"/>
      <c r="F44" s="244"/>
      <c r="G44" s="210"/>
      <c r="H44" s="210"/>
      <c r="I44" s="210"/>
      <c r="J44" s="43"/>
      <c r="K44" s="43"/>
      <c r="L44" s="43"/>
    </row>
    <row r="45" spans="1:12">
      <c r="A45" s="210" t="s">
        <v>310</v>
      </c>
      <c r="B45" s="219">
        <f ca="1">SUM(D41:H41)+B44</f>
        <v>39556.651663227007</v>
      </c>
      <c r="C45" s="244"/>
      <c r="D45" s="219"/>
      <c r="E45" s="219"/>
      <c r="F45" s="244"/>
      <c r="G45" s="210"/>
      <c r="H45" s="210"/>
      <c r="I45" s="210"/>
      <c r="J45" s="43"/>
      <c r="K45" s="43"/>
      <c r="L45" s="43"/>
    </row>
    <row r="46" spans="1:12" ht="15" thickBot="1">
      <c r="A46" s="246" t="s">
        <v>311</v>
      </c>
      <c r="B46" s="273">
        <f ca="1">B45/I4</f>
        <v>140.65169141052635</v>
      </c>
      <c r="C46" s="274"/>
      <c r="D46" s="274"/>
      <c r="E46" s="274"/>
      <c r="F46" s="274"/>
      <c r="G46" s="210"/>
      <c r="H46" s="210"/>
      <c r="I46" s="210"/>
      <c r="J46" s="43"/>
      <c r="K46" s="43"/>
      <c r="L46" s="43"/>
    </row>
    <row r="47" spans="1:12">
      <c r="A47" s="210"/>
      <c r="B47" s="210"/>
      <c r="C47" s="248" t="s">
        <v>306</v>
      </c>
      <c r="D47" s="248"/>
      <c r="E47" s="248"/>
      <c r="F47" s="248"/>
      <c r="G47" s="248"/>
      <c r="H47" s="248"/>
      <c r="I47" s="248"/>
      <c r="J47" s="43"/>
      <c r="K47" s="43"/>
      <c r="L47" s="43"/>
    </row>
    <row r="48" spans="1:12" ht="16.2" thickBot="1">
      <c r="A48" s="210"/>
      <c r="B48" s="249">
        <f ca="1">B46</f>
        <v>140.65169141052635</v>
      </c>
      <c r="C48" s="250">
        <f>D48-$L$26</f>
        <v>9.9999999999999985E-3</v>
      </c>
      <c r="D48" s="250">
        <f>E48-$L$26</f>
        <v>1.4999999999999999E-2</v>
      </c>
      <c r="E48" s="250">
        <f>F48-$L$26</f>
        <v>0.02</v>
      </c>
      <c r="F48" s="251">
        <v>2.5000000000000001E-2</v>
      </c>
      <c r="G48" s="250">
        <f>F48+$L$26</f>
        <v>3.0000000000000002E-2</v>
      </c>
      <c r="H48" s="250">
        <f>G48+$L$26</f>
        <v>3.5000000000000003E-2</v>
      </c>
      <c r="I48" s="250">
        <f>H48+$L$26</f>
        <v>0.04</v>
      </c>
      <c r="J48" s="43"/>
      <c r="K48" s="43"/>
      <c r="L48" s="43"/>
    </row>
    <row r="49" spans="1:12" ht="16.2" thickTop="1">
      <c r="A49" s="275"/>
      <c r="B49" s="253">
        <f>B50+$L$27</f>
        <v>0.11411304860783156</v>
      </c>
      <c r="C49" s="254">
        <f t="dataTable" ref="C49:I55" dt2D="1" dtr="1" r1="B19" r2="B3" ca="1"/>
        <v>102.19482441903158</v>
      </c>
      <c r="D49" s="255">
        <v>106.52243121450329</v>
      </c>
      <c r="E49" s="255">
        <v>111.30986869865079</v>
      </c>
      <c r="F49" s="256">
        <v>116.63453810998955</v>
      </c>
      <c r="G49" s="255">
        <v>122.59224478480503</v>
      </c>
      <c r="H49" s="255">
        <v>129.30301391640288</v>
      </c>
      <c r="I49" s="257">
        <v>136.91926045820793</v>
      </c>
      <c r="J49" s="43"/>
      <c r="K49" s="43"/>
      <c r="L49" s="43"/>
    </row>
    <row r="50" spans="1:12" ht="16.2" thickBot="1">
      <c r="A50" s="275"/>
      <c r="B50" s="253">
        <f>B51+$L$27</f>
        <v>0.10911304860783155</v>
      </c>
      <c r="C50" s="258">
        <v>107.46817621127481</v>
      </c>
      <c r="D50" s="259">
        <v>112.29994720374305</v>
      </c>
      <c r="E50" s="259">
        <v>117.67392509721545</v>
      </c>
      <c r="F50" s="260">
        <v>123.68680242215743</v>
      </c>
      <c r="G50" s="259">
        <v>130.45971585122538</v>
      </c>
      <c r="H50" s="259">
        <v>138.14649175880325</v>
      </c>
      <c r="I50" s="261">
        <v>146.94547094237825</v>
      </c>
      <c r="J50" s="43"/>
      <c r="K50" s="43"/>
      <c r="L50" s="43"/>
    </row>
    <row r="51" spans="1:12" ht="16.2" thickBot="1">
      <c r="A51" s="275"/>
      <c r="B51" s="253">
        <f>B52+$L$27</f>
        <v>0.10411304860783155</v>
      </c>
      <c r="C51" s="258">
        <v>113.30355255717579</v>
      </c>
      <c r="D51" s="259">
        <v>118.72752144483695</v>
      </c>
      <c r="E51" s="411">
        <v>124.79633307419333</v>
      </c>
      <c r="F51" s="412">
        <v>131.63225098198924</v>
      </c>
      <c r="G51" s="413">
        <v>139.39053250000018</v>
      </c>
      <c r="H51" s="259">
        <v>148.271363474921</v>
      </c>
      <c r="I51" s="261">
        <v>158.53737752376546</v>
      </c>
      <c r="J51" s="43"/>
      <c r="K51" s="43"/>
      <c r="L51" s="43"/>
    </row>
    <row r="52" spans="1:12" ht="16.2" thickBot="1">
      <c r="A52" s="276" t="s">
        <v>312</v>
      </c>
      <c r="B52" s="277">
        <f>Ke!D38</f>
        <v>9.9113048607831544E-2</v>
      </c>
      <c r="C52" s="264">
        <v>119.7955878717939</v>
      </c>
      <c r="D52" s="265">
        <v>125.92111156052525</v>
      </c>
      <c r="E52" s="414">
        <v>132.82091001132474</v>
      </c>
      <c r="F52" s="415">
        <v>140.65169141052635</v>
      </c>
      <c r="G52" s="416">
        <v>149.61551230906136</v>
      </c>
      <c r="H52" s="265">
        <v>159.97746059245446</v>
      </c>
      <c r="I52" s="266">
        <v>172.09231259633347</v>
      </c>
      <c r="J52" s="43"/>
      <c r="K52" s="43"/>
      <c r="L52" s="43"/>
    </row>
    <row r="53" spans="1:12" ht="16.2" thickBot="1">
      <c r="A53" s="275"/>
      <c r="B53" s="253">
        <f>B52-$L$27</f>
        <v>9.411304860783154E-2</v>
      </c>
      <c r="C53" s="258">
        <v>127.06141903432419</v>
      </c>
      <c r="D53" s="259">
        <v>134.02599034279658</v>
      </c>
      <c r="E53" s="417">
        <v>141.93028433699001</v>
      </c>
      <c r="F53" s="418">
        <v>150.97825440298351</v>
      </c>
      <c r="G53" s="419">
        <v>161.43747697723606</v>
      </c>
      <c r="H53" s="259">
        <v>173.66605890962984</v>
      </c>
      <c r="I53" s="261">
        <v>188.15446213226679</v>
      </c>
      <c r="J53" s="43"/>
      <c r="K53" s="43"/>
      <c r="L53" s="43"/>
    </row>
    <row r="54" spans="1:12" ht="15.6">
      <c r="A54" s="275"/>
      <c r="B54" s="253">
        <f>B53-$L$27</f>
        <v>8.9113048607831535E-2</v>
      </c>
      <c r="C54" s="258">
        <v>135.24779626701851</v>
      </c>
      <c r="D54" s="259">
        <v>143.22663444160119</v>
      </c>
      <c r="E54" s="259">
        <v>152.35993452103443</v>
      </c>
      <c r="F54" s="260">
        <v>162.91779641397613</v>
      </c>
      <c r="G54" s="259">
        <v>175.26170422090632</v>
      </c>
      <c r="H54" s="259">
        <v>189.88674534493882</v>
      </c>
      <c r="I54" s="261">
        <v>207.48961853979506</v>
      </c>
      <c r="J54" s="43"/>
      <c r="K54" s="43"/>
      <c r="L54" s="43"/>
    </row>
    <row r="55" spans="1:12" ht="16.2" thickBot="1">
      <c r="A55" s="275"/>
      <c r="B55" s="253">
        <f>B54-$L$27</f>
        <v>8.4113048607831531E-2</v>
      </c>
      <c r="C55" s="267">
        <v>144.54107240632723</v>
      </c>
      <c r="D55" s="268">
        <v>153.76090545159829</v>
      </c>
      <c r="E55" s="268">
        <v>164.41879724551305</v>
      </c>
      <c r="F55" s="269">
        <v>176.87965675043543</v>
      </c>
      <c r="G55" s="268">
        <v>191.64326204874843</v>
      </c>
      <c r="H55" s="268">
        <v>209.41291272946083</v>
      </c>
      <c r="I55" s="270">
        <v>231.21077076412104</v>
      </c>
      <c r="J55" s="43"/>
      <c r="K55" s="43"/>
      <c r="L55" s="43"/>
    </row>
    <row r="56" spans="1:12" ht="15" thickTop="1"/>
  </sheetData>
  <mergeCells count="1"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9491-DAE4-48B1-BA99-9CF2150BE5A1}">
  <dimension ref="A1"/>
  <sheetViews>
    <sheetView workbookViewId="0"/>
  </sheetViews>
  <sheetFormatPr defaultRowHeight="14.4"/>
  <sheetData/>
  <pageMargins left="0.7" right="0.7" top="0.75" bottom="0.75" header="0.3" footer="0.3"/>
  <customProperties>
    <customPr name="REFI_OFFICE_FUNCTION_CLICK_THROUGH_WORKSHEET_CURRENT_NAME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6AEFF-8DB9-4EA1-9F2A-B169B09A6D74}">
  <dimension ref="A1:M40"/>
  <sheetViews>
    <sheetView topLeftCell="A12" zoomScale="84" workbookViewId="0">
      <selection activeCell="D33" sqref="D33"/>
    </sheetView>
  </sheetViews>
  <sheetFormatPr defaultColWidth="9.6640625" defaultRowHeight="14.4"/>
  <cols>
    <col min="2" max="2" width="20.21875" customWidth="1"/>
    <col min="7" max="7" width="22.109375" customWidth="1"/>
    <col min="10" max="10" width="10.5546875" customWidth="1"/>
  </cols>
  <sheetData>
    <row r="1" spans="1:13">
      <c r="A1" s="278" t="e" vm="1">
        <v>#VALUE!</v>
      </c>
      <c r="B1" s="279"/>
      <c r="C1" s="280"/>
      <c r="D1" s="278" t="s">
        <v>268</v>
      </c>
      <c r="E1" s="281"/>
      <c r="F1" s="281"/>
      <c r="G1" s="282" t="s">
        <v>316</v>
      </c>
    </row>
    <row r="2" spans="1:13">
      <c r="A2" s="283" t="s">
        <v>291</v>
      </c>
      <c r="B2" s="284"/>
      <c r="C2" s="281"/>
      <c r="D2" s="283"/>
      <c r="E2" s="281"/>
      <c r="F2" s="281"/>
      <c r="G2" s="282" t="s">
        <v>317</v>
      </c>
    </row>
    <row r="3" spans="1:13">
      <c r="A3" s="281" t="s">
        <v>318</v>
      </c>
      <c r="B3" s="282"/>
      <c r="C3" s="281"/>
      <c r="D3" s="283"/>
      <c r="E3" s="281"/>
      <c r="F3" s="281"/>
      <c r="G3" s="282" t="s">
        <v>319</v>
      </c>
    </row>
    <row r="4" spans="1:13" ht="28.8">
      <c r="A4" s="281"/>
      <c r="B4" s="285"/>
      <c r="C4" s="286" t="s">
        <v>320</v>
      </c>
      <c r="D4" s="283">
        <v>1.08</v>
      </c>
      <c r="E4" s="281"/>
      <c r="F4" s="281"/>
      <c r="G4" s="287"/>
    </row>
    <row r="5" spans="1:13" ht="28.2">
      <c r="A5" s="353" t="s">
        <v>321</v>
      </c>
      <c r="B5" s="353"/>
      <c r="C5" s="353" t="s">
        <v>274</v>
      </c>
      <c r="D5" s="353" t="s">
        <v>274</v>
      </c>
      <c r="E5" s="353" t="s">
        <v>274</v>
      </c>
      <c r="F5" s="353" t="s">
        <v>322</v>
      </c>
      <c r="G5" s="354" t="s">
        <v>323</v>
      </c>
    </row>
    <row r="6" spans="1:13" ht="28.8">
      <c r="A6" s="288" t="s">
        <v>274</v>
      </c>
      <c r="B6" s="282" t="s">
        <v>324</v>
      </c>
      <c r="C6" s="281"/>
      <c r="D6" s="289">
        <v>22.05</v>
      </c>
      <c r="E6" s="290"/>
      <c r="F6" s="291" t="s">
        <v>325</v>
      </c>
      <c r="G6" s="292" t="s">
        <v>326</v>
      </c>
    </row>
    <row r="7" spans="1:13" ht="30.6">
      <c r="A7" s="288" t="s">
        <v>274</v>
      </c>
      <c r="B7" s="282" t="s">
        <v>327</v>
      </c>
      <c r="C7" s="281"/>
      <c r="D7" s="293">
        <v>0.1111</v>
      </c>
      <c r="E7" s="290"/>
      <c r="F7" s="294" t="s">
        <v>328</v>
      </c>
      <c r="G7" s="292" t="s">
        <v>329</v>
      </c>
    </row>
    <row r="8" spans="1:13" ht="16.2">
      <c r="A8" s="288" t="s">
        <v>274</v>
      </c>
      <c r="B8" s="282" t="s">
        <v>330</v>
      </c>
      <c r="C8" s="281"/>
      <c r="D8" s="295">
        <v>3.9600000000000003E-2</v>
      </c>
      <c r="E8" s="290"/>
      <c r="F8" s="294" t="s">
        <v>331</v>
      </c>
      <c r="G8" s="292" t="s">
        <v>332</v>
      </c>
    </row>
    <row r="9" spans="1:13" ht="32.4">
      <c r="A9" s="288" t="s">
        <v>274</v>
      </c>
      <c r="B9" s="282" t="s">
        <v>333</v>
      </c>
      <c r="C9" s="296"/>
      <c r="D9" s="297">
        <f>((1+D7)/D6)+D7</f>
        <v>0.16149002267573698</v>
      </c>
      <c r="E9" s="281"/>
      <c r="F9" s="298" t="s">
        <v>274</v>
      </c>
      <c r="G9" s="292" t="s">
        <v>334</v>
      </c>
    </row>
    <row r="10" spans="1:13" ht="30.6">
      <c r="A10" s="288" t="s">
        <v>274</v>
      </c>
      <c r="B10" s="282" t="s">
        <v>335</v>
      </c>
      <c r="C10" s="296"/>
      <c r="D10" s="297">
        <f>(D8-D9)*-1</f>
        <v>0.12189002267573698</v>
      </c>
      <c r="E10" s="281"/>
      <c r="F10" s="298" t="s">
        <v>274</v>
      </c>
      <c r="G10" s="292" t="s">
        <v>336</v>
      </c>
    </row>
    <row r="11" spans="1:13">
      <c r="A11" s="288" t="s">
        <v>274</v>
      </c>
      <c r="B11" s="282"/>
      <c r="C11" s="281"/>
      <c r="D11" s="283"/>
      <c r="E11" s="281"/>
      <c r="F11" s="298" t="s">
        <v>274</v>
      </c>
      <c r="G11" s="292" t="s">
        <v>274</v>
      </c>
    </row>
    <row r="12" spans="1:13">
      <c r="A12" s="288" t="s">
        <v>274</v>
      </c>
      <c r="B12" s="282"/>
      <c r="C12" s="281"/>
      <c r="D12" s="283"/>
      <c r="E12" s="281"/>
      <c r="F12" s="298" t="s">
        <v>274</v>
      </c>
      <c r="G12" s="292" t="s">
        <v>274</v>
      </c>
      <c r="M12" s="287"/>
    </row>
    <row r="13" spans="1:13">
      <c r="A13" s="353" t="s">
        <v>217</v>
      </c>
      <c r="B13" s="353" t="s">
        <v>274</v>
      </c>
      <c r="C13" s="353" t="s">
        <v>274</v>
      </c>
      <c r="D13" s="353" t="s">
        <v>274</v>
      </c>
      <c r="E13" s="353" t="s">
        <v>274</v>
      </c>
      <c r="F13" s="353" t="s">
        <v>274</v>
      </c>
      <c r="G13" s="354" t="s">
        <v>274</v>
      </c>
      <c r="H13" s="296"/>
      <c r="I13" s="296"/>
      <c r="J13" s="296"/>
      <c r="K13" s="296"/>
      <c r="L13" s="296"/>
      <c r="M13" s="287"/>
    </row>
    <row r="14" spans="1:13">
      <c r="A14" s="299" t="s">
        <v>337</v>
      </c>
      <c r="B14" s="284"/>
      <c r="C14" s="296"/>
      <c r="D14" s="283"/>
      <c r="E14" s="281"/>
      <c r="F14" s="298" t="s">
        <v>274</v>
      </c>
      <c r="G14" s="292" t="s">
        <v>274</v>
      </c>
      <c r="H14" s="296"/>
      <c r="I14" s="296"/>
      <c r="J14" s="296"/>
      <c r="K14" s="296"/>
      <c r="L14" s="296"/>
      <c r="M14" s="287"/>
    </row>
    <row r="15" spans="1:13">
      <c r="A15" s="288" t="s">
        <v>274</v>
      </c>
      <c r="B15" s="282" t="s">
        <v>338</v>
      </c>
      <c r="C15" s="296"/>
      <c r="D15" s="300">
        <v>280.11</v>
      </c>
      <c r="E15" s="290"/>
      <c r="F15" s="294" t="s">
        <v>339</v>
      </c>
      <c r="G15" s="301"/>
      <c r="H15" s="296"/>
      <c r="I15" s="296"/>
      <c r="J15" s="296"/>
      <c r="K15" s="296"/>
      <c r="L15" s="296"/>
      <c r="M15" s="287"/>
    </row>
    <row r="16" spans="1:13">
      <c r="A16" s="288" t="s">
        <v>274</v>
      </c>
      <c r="B16" s="282" t="s">
        <v>340</v>
      </c>
      <c r="C16" s="296"/>
      <c r="D16" s="300">
        <v>7.53</v>
      </c>
      <c r="E16" s="290"/>
      <c r="F16" s="294" t="s">
        <v>339</v>
      </c>
      <c r="G16" s="292" t="s">
        <v>274</v>
      </c>
      <c r="H16" s="296">
        <v>33.06</v>
      </c>
      <c r="I16" s="296"/>
      <c r="J16" s="296"/>
      <c r="K16" s="296"/>
      <c r="L16" s="296"/>
      <c r="M16" s="296"/>
    </row>
    <row r="17" spans="1:13">
      <c r="A17" s="288" t="s">
        <v>274</v>
      </c>
      <c r="B17" s="282" t="s">
        <v>341</v>
      </c>
      <c r="C17" s="296"/>
      <c r="D17" s="283">
        <v>37.479999999999997</v>
      </c>
      <c r="E17" s="281"/>
      <c r="F17" s="294" t="s">
        <v>339</v>
      </c>
      <c r="G17" s="292" t="s">
        <v>342</v>
      </c>
      <c r="H17" s="296"/>
      <c r="I17" s="302" t="s">
        <v>274</v>
      </c>
      <c r="J17" s="303" t="s">
        <v>207</v>
      </c>
      <c r="K17" s="303" t="s">
        <v>274</v>
      </c>
      <c r="L17" s="303" t="s">
        <v>274</v>
      </c>
      <c r="M17" s="304" t="s">
        <v>274</v>
      </c>
    </row>
    <row r="18" spans="1:13" ht="29.4">
      <c r="A18" s="288" t="s">
        <v>274</v>
      </c>
      <c r="B18" s="305" t="s">
        <v>343</v>
      </c>
      <c r="C18" s="296"/>
      <c r="D18" s="295">
        <f>'Comps no formula'!Q19</f>
        <v>0.12345</v>
      </c>
      <c r="E18" s="290"/>
      <c r="F18" s="294" t="s">
        <v>344</v>
      </c>
      <c r="G18" s="292" t="s">
        <v>345</v>
      </c>
      <c r="H18" s="296"/>
      <c r="I18" s="306" t="s">
        <v>346</v>
      </c>
      <c r="J18" s="307" t="s">
        <v>347</v>
      </c>
      <c r="K18" s="307" t="s">
        <v>348</v>
      </c>
      <c r="L18" s="308" t="s">
        <v>349</v>
      </c>
      <c r="M18" s="309" t="s">
        <v>350</v>
      </c>
    </row>
    <row r="19" spans="1:13" ht="28.8">
      <c r="A19" s="288" t="s">
        <v>274</v>
      </c>
      <c r="B19" s="282" t="s">
        <v>351</v>
      </c>
      <c r="C19" s="296"/>
      <c r="D19" s="297">
        <f>((1+D18)/(D17))+D18</f>
        <v>0.1534246531483458</v>
      </c>
      <c r="E19" s="281"/>
      <c r="F19" s="298" t="s">
        <v>274</v>
      </c>
      <c r="G19" s="292" t="s">
        <v>352</v>
      </c>
      <c r="H19" s="296"/>
      <c r="I19" s="112" t="s">
        <v>269</v>
      </c>
      <c r="J19">
        <v>5.2365144999999993</v>
      </c>
      <c r="K19" s="310">
        <v>0.24</v>
      </c>
      <c r="L19" s="318">
        <f>E23/(1+((1-K19)*J19))</f>
        <v>0.10442289140793228</v>
      </c>
      <c r="M19" s="319">
        <f>L19*(1+((1-$K$26)*$J$26))</f>
        <v>0.17596514286772516</v>
      </c>
    </row>
    <row r="20" spans="1:13">
      <c r="A20" s="288" t="s">
        <v>274</v>
      </c>
      <c r="B20" s="282" t="s">
        <v>353</v>
      </c>
      <c r="C20" s="296"/>
      <c r="D20" s="312">
        <f>(D19-D8)/D10</f>
        <v>0.93383076522311093</v>
      </c>
      <c r="E20" s="281"/>
      <c r="F20" s="298" t="s">
        <v>274</v>
      </c>
      <c r="G20" s="292" t="s">
        <v>354</v>
      </c>
      <c r="H20" s="296"/>
      <c r="I20" s="112" t="s">
        <v>270</v>
      </c>
      <c r="J20" s="296">
        <v>0.50554940000000004</v>
      </c>
      <c r="K20" s="310">
        <v>0.23</v>
      </c>
      <c r="L20" s="318">
        <f t="shared" ref="L20:L22" si="0">E24/(1+((1-K20)*J20))</f>
        <v>0.29511837398805113</v>
      </c>
      <c r="M20" s="319">
        <f>L20*(1+((1-$K$26)*$J$26))</f>
        <v>0.49730998770020041</v>
      </c>
    </row>
    <row r="21" spans="1:13">
      <c r="A21" s="288" t="s">
        <v>274</v>
      </c>
      <c r="B21" s="282"/>
      <c r="C21" s="296"/>
      <c r="D21" s="283"/>
      <c r="E21" s="281"/>
      <c r="F21" s="298" t="s">
        <v>274</v>
      </c>
      <c r="G21" s="292" t="s">
        <v>274</v>
      </c>
      <c r="H21" s="296"/>
      <c r="I21" s="112" t="s">
        <v>271</v>
      </c>
      <c r="J21" s="296">
        <v>0.30139119999999997</v>
      </c>
      <c r="K21" s="310">
        <v>0.23</v>
      </c>
      <c r="L21" s="318">
        <f t="shared" si="0"/>
        <v>0.88468911436892717</v>
      </c>
      <c r="M21" s="319">
        <f>L21*(1+((1-$K$26)*$J$26))</f>
        <v>1.4908076601259865</v>
      </c>
    </row>
    <row r="22" spans="1:13">
      <c r="A22" s="299" t="s">
        <v>355</v>
      </c>
      <c r="B22" s="284"/>
      <c r="C22" s="296"/>
      <c r="D22" s="313" t="s">
        <v>356</v>
      </c>
      <c r="E22" s="313" t="s">
        <v>357</v>
      </c>
      <c r="F22" s="298" t="s">
        <v>274</v>
      </c>
      <c r="G22" s="292" t="s">
        <v>274</v>
      </c>
      <c r="H22" s="296"/>
      <c r="I22" s="333" t="s">
        <v>272</v>
      </c>
      <c r="J22" s="296">
        <v>2.4875838999999997</v>
      </c>
      <c r="K22" s="310">
        <v>0.222</v>
      </c>
      <c r="L22" s="318">
        <f t="shared" si="0"/>
        <v>0.41221796690326629</v>
      </c>
      <c r="M22" s="319">
        <f>L22*(1+((1-$K$26)*$J$26))</f>
        <v>0.69463689867973144</v>
      </c>
    </row>
    <row r="23" spans="1:13">
      <c r="A23" s="288" t="s">
        <v>274</v>
      </c>
      <c r="B23" s="44" t="s">
        <v>269</v>
      </c>
      <c r="C23" s="296"/>
      <c r="D23" s="281">
        <f>M19</f>
        <v>0.17596514286772516</v>
      </c>
      <c r="E23" s="287">
        <v>0.52</v>
      </c>
      <c r="F23" s="298" t="s">
        <v>358</v>
      </c>
      <c r="G23" s="292" t="s">
        <v>274</v>
      </c>
      <c r="H23" s="296"/>
      <c r="I23" s="314" t="s">
        <v>274</v>
      </c>
      <c r="J23" s="310"/>
      <c r="K23" s="315"/>
      <c r="L23" s="287"/>
      <c r="M23" s="311"/>
    </row>
    <row r="24" spans="1:13">
      <c r="A24" s="288" t="s">
        <v>274</v>
      </c>
      <c r="B24" s="44" t="s">
        <v>270</v>
      </c>
      <c r="C24" s="296"/>
      <c r="D24" s="281">
        <f t="shared" ref="D24:D26" si="1">M20</f>
        <v>0.49730998770020041</v>
      </c>
      <c r="E24" s="281">
        <v>0.41</v>
      </c>
      <c r="F24" s="298" t="s">
        <v>358</v>
      </c>
      <c r="G24" s="292" t="s">
        <v>274</v>
      </c>
      <c r="H24" s="296"/>
      <c r="I24" s="314" t="s">
        <v>274</v>
      </c>
      <c r="J24" s="287"/>
      <c r="K24" s="287"/>
      <c r="L24" s="287"/>
      <c r="M24" s="311" t="s">
        <v>274</v>
      </c>
    </row>
    <row r="25" spans="1:13">
      <c r="A25" s="288" t="s">
        <v>274</v>
      </c>
      <c r="B25" s="44" t="s">
        <v>271</v>
      </c>
      <c r="C25" s="296"/>
      <c r="D25" s="281">
        <f t="shared" si="1"/>
        <v>1.4908076601259865</v>
      </c>
      <c r="E25" s="281">
        <v>1.0900000000000001</v>
      </c>
      <c r="F25" s="298" t="s">
        <v>358</v>
      </c>
      <c r="G25" s="292" t="s">
        <v>274</v>
      </c>
      <c r="H25" s="296"/>
      <c r="I25" s="314" t="s">
        <v>274</v>
      </c>
      <c r="J25" s="307" t="s">
        <v>347</v>
      </c>
      <c r="K25" s="307" t="s">
        <v>348</v>
      </c>
      <c r="L25" s="287" t="s">
        <v>359</v>
      </c>
      <c r="M25" s="311" t="s">
        <v>360</v>
      </c>
    </row>
    <row r="26" spans="1:13">
      <c r="A26" s="288" t="s">
        <v>274</v>
      </c>
      <c r="B26" s="332" t="s">
        <v>272</v>
      </c>
      <c r="C26" s="296"/>
      <c r="D26" s="313">
        <f t="shared" si="1"/>
        <v>0.69463689867973144</v>
      </c>
      <c r="E26" s="313">
        <v>1.21</v>
      </c>
      <c r="F26" s="298" t="s">
        <v>358</v>
      </c>
      <c r="G26" s="292" t="s">
        <v>274</v>
      </c>
      <c r="H26" s="296"/>
      <c r="I26" s="316" t="s">
        <v>268</v>
      </c>
      <c r="J26" s="389">
        <v>0.86070400000000002</v>
      </c>
      <c r="K26" s="317">
        <v>0.20399999999999999</v>
      </c>
      <c r="L26" s="318">
        <f>D30/(1+((1-K26)*J26))</f>
        <v>0.64090376584038755</v>
      </c>
      <c r="M26" s="319">
        <f>L26*(1+((1-K26)*J26))</f>
        <v>1.08</v>
      </c>
    </row>
    <row r="27" spans="1:13">
      <c r="A27" s="288" t="s">
        <v>274</v>
      </c>
      <c r="B27" s="282" t="s">
        <v>361</v>
      </c>
      <c r="C27" s="296"/>
      <c r="D27" s="283">
        <f>AVERAGE(D23:D26)</f>
        <v>0.71467992234341093</v>
      </c>
      <c r="E27" s="283">
        <f>AVERAGE(E23:E26)</f>
        <v>0.8075</v>
      </c>
      <c r="F27" s="298" t="s">
        <v>274</v>
      </c>
      <c r="G27" s="292" t="s">
        <v>274</v>
      </c>
      <c r="H27" s="296"/>
      <c r="I27" s="296"/>
      <c r="J27" s="296"/>
      <c r="K27" s="296"/>
      <c r="L27" s="296"/>
      <c r="M27" s="296"/>
    </row>
    <row r="28" spans="1:13">
      <c r="A28" s="288" t="s">
        <v>274</v>
      </c>
      <c r="B28" s="282"/>
      <c r="C28" s="296"/>
      <c r="D28" s="283"/>
      <c r="E28" s="281"/>
      <c r="F28" s="298" t="s">
        <v>274</v>
      </c>
      <c r="G28" s="292" t="s">
        <v>274</v>
      </c>
      <c r="H28" s="296"/>
      <c r="I28" s="296"/>
      <c r="J28" s="296"/>
      <c r="K28" s="320"/>
      <c r="L28" s="320"/>
      <c r="M28" s="296"/>
    </row>
    <row r="29" spans="1:13">
      <c r="A29" s="299" t="s">
        <v>362</v>
      </c>
      <c r="B29" s="284"/>
      <c r="C29" s="296"/>
      <c r="D29" s="283"/>
      <c r="E29" s="281"/>
      <c r="F29" s="298" t="s">
        <v>274</v>
      </c>
      <c r="G29" s="292" t="s">
        <v>274</v>
      </c>
      <c r="H29" s="296"/>
      <c r="I29" s="296"/>
      <c r="J29" s="296"/>
      <c r="K29" s="296"/>
      <c r="L29" s="296"/>
      <c r="M29" s="296"/>
    </row>
    <row r="30" spans="1:13" ht="28.8">
      <c r="A30" s="288" t="s">
        <v>274</v>
      </c>
      <c r="B30" s="282" t="s">
        <v>363</v>
      </c>
      <c r="C30" s="296"/>
      <c r="D30" s="321">
        <f>D4</f>
        <v>1.08</v>
      </c>
      <c r="E30" s="290"/>
      <c r="F30" s="294" t="s">
        <v>339</v>
      </c>
      <c r="G30" s="292" t="s">
        <v>364</v>
      </c>
      <c r="H30" s="296"/>
      <c r="I30" s="296"/>
      <c r="J30" s="296"/>
      <c r="K30" s="296"/>
      <c r="L30" s="296"/>
      <c r="M30" s="296"/>
    </row>
    <row r="31" spans="1:13">
      <c r="A31" s="288" t="s">
        <v>274</v>
      </c>
      <c r="B31" s="282"/>
      <c r="C31" s="281"/>
      <c r="D31" s="283"/>
      <c r="E31" s="281"/>
      <c r="F31" s="298" t="s">
        <v>274</v>
      </c>
      <c r="G31" s="292" t="s">
        <v>274</v>
      </c>
    </row>
    <row r="32" spans="1:13" ht="28.2">
      <c r="A32" s="353" t="s">
        <v>365</v>
      </c>
      <c r="B32" s="353" t="s">
        <v>274</v>
      </c>
      <c r="C32" s="353" t="s">
        <v>274</v>
      </c>
      <c r="D32" s="353" t="s">
        <v>274</v>
      </c>
      <c r="E32" s="353" t="s">
        <v>274</v>
      </c>
      <c r="F32" s="353" t="s">
        <v>274</v>
      </c>
      <c r="G32" s="354" t="s">
        <v>274</v>
      </c>
    </row>
    <row r="33" spans="1:7" ht="57.6">
      <c r="A33" s="288" t="s">
        <v>274</v>
      </c>
      <c r="B33" s="282" t="s">
        <v>366</v>
      </c>
      <c r="C33" s="296"/>
      <c r="D33" s="448">
        <v>6.5000000000000002E-2</v>
      </c>
      <c r="E33" s="322" t="s">
        <v>367</v>
      </c>
      <c r="F33" s="323" t="s">
        <v>274</v>
      </c>
      <c r="G33" s="292" t="s">
        <v>368</v>
      </c>
    </row>
    <row r="34" spans="1:7">
      <c r="A34" s="288" t="s">
        <v>274</v>
      </c>
      <c r="B34" s="282" t="s">
        <v>369</v>
      </c>
      <c r="C34" s="296"/>
      <c r="D34" s="324">
        <f>$D$8+D20*$D$33</f>
        <v>0.10029899973950221</v>
      </c>
      <c r="E34" s="325">
        <v>0.5</v>
      </c>
      <c r="F34" s="298" t="s">
        <v>274</v>
      </c>
      <c r="G34" s="292" t="s">
        <v>370</v>
      </c>
    </row>
    <row r="35" spans="1:7">
      <c r="A35" s="288" t="s">
        <v>274</v>
      </c>
      <c r="B35" s="282" t="s">
        <v>371</v>
      </c>
      <c r="C35" s="296"/>
      <c r="D35" s="324">
        <f>$D$8+D27*$D$33</f>
        <v>8.6054194952321722E-2</v>
      </c>
      <c r="E35" s="325">
        <v>0.25</v>
      </c>
      <c r="F35" s="298" t="s">
        <v>274</v>
      </c>
      <c r="G35" s="292" t="s">
        <v>274</v>
      </c>
    </row>
    <row r="36" spans="1:7">
      <c r="A36" s="288" t="s">
        <v>274</v>
      </c>
      <c r="B36" s="282" t="s">
        <v>372</v>
      </c>
      <c r="C36" s="296"/>
      <c r="D36" s="324">
        <f>$D$8+D30*$D$33</f>
        <v>0.10980000000000001</v>
      </c>
      <c r="E36" s="325">
        <v>0.25</v>
      </c>
      <c r="F36" s="298" t="s">
        <v>274</v>
      </c>
      <c r="G36" s="292" t="s">
        <v>373</v>
      </c>
    </row>
    <row r="37" spans="1:7">
      <c r="A37" s="288" t="s">
        <v>274</v>
      </c>
      <c r="B37" s="282"/>
      <c r="C37" s="296"/>
      <c r="D37" s="281"/>
      <c r="E37" s="281"/>
      <c r="F37" s="298" t="s">
        <v>274</v>
      </c>
      <c r="G37" s="292" t="s">
        <v>274</v>
      </c>
    </row>
    <row r="38" spans="1:7">
      <c r="A38" s="288" t="s">
        <v>274</v>
      </c>
      <c r="B38" s="284" t="s">
        <v>374</v>
      </c>
      <c r="C38" s="296"/>
      <c r="D38" s="297">
        <f>SUMPRODUCT(D34:D36,E34:E36)</f>
        <v>9.9113048607831544E-2</v>
      </c>
      <c r="E38" s="281"/>
      <c r="F38" s="298" t="s">
        <v>274</v>
      </c>
      <c r="G38" s="292" t="s">
        <v>274</v>
      </c>
    </row>
    <row r="39" spans="1:7">
      <c r="A39" s="288" t="s">
        <v>274</v>
      </c>
      <c r="B39" s="282"/>
      <c r="C39" s="296"/>
      <c r="D39" s="283"/>
      <c r="E39" s="281"/>
      <c r="F39" s="298" t="s">
        <v>274</v>
      </c>
      <c r="G39" s="292" t="s">
        <v>274</v>
      </c>
    </row>
    <row r="40" spans="1:7" ht="15" thickBot="1">
      <c r="A40" s="326" t="s">
        <v>274</v>
      </c>
      <c r="B40" s="327" t="s">
        <v>375</v>
      </c>
      <c r="C40" s="327" t="s">
        <v>274</v>
      </c>
      <c r="D40" s="328">
        <f>D33+D8</f>
        <v>0.1046</v>
      </c>
      <c r="E40" s="329" t="s">
        <v>274</v>
      </c>
      <c r="F40" s="330" t="s">
        <v>274</v>
      </c>
      <c r="G40" s="331" t="s">
        <v>376</v>
      </c>
    </row>
  </sheetData>
  <hyperlinks>
    <hyperlink ref="F6" r:id="rId1" xr:uid="{DA87D4CD-7528-45AE-8EEE-56350158A467}"/>
  </hyperlinks>
  <pageMargins left="0.7" right="0.7" top="0.75" bottom="0.75" header="0.3" footer="0.3"/>
  <customProperties>
    <customPr name="REFI_OFFICE_FUNCTION_CLICK_THROUGH_WORKSHEET_NAME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AA8C-172C-435B-9E00-3136C2B77080}">
  <dimension ref="A3:AM125"/>
  <sheetViews>
    <sheetView topLeftCell="A34" zoomScale="51" zoomScaleNormal="80" workbookViewId="0">
      <selection activeCell="L119" sqref="L119"/>
    </sheetView>
  </sheetViews>
  <sheetFormatPr defaultRowHeight="14.4"/>
  <cols>
    <col min="1" max="1" width="31" customWidth="1"/>
    <col min="2" max="2" width="8.44140625" customWidth="1"/>
    <col min="3" max="3" width="9.44140625" customWidth="1"/>
    <col min="4" max="4" width="9.109375" bestFit="1" customWidth="1"/>
    <col min="5" max="5" width="10.109375" bestFit="1" customWidth="1"/>
  </cols>
  <sheetData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4">
      <c r="A4" s="355" t="s">
        <v>54</v>
      </c>
      <c r="B4" s="355">
        <v>2020</v>
      </c>
      <c r="C4" s="355">
        <v>2021</v>
      </c>
      <c r="D4" s="355">
        <v>2022</v>
      </c>
      <c r="E4" s="355">
        <v>2023</v>
      </c>
      <c r="F4" s="355">
        <v>2024</v>
      </c>
      <c r="G4" s="355">
        <v>2025</v>
      </c>
      <c r="H4" s="355">
        <v>2026</v>
      </c>
      <c r="I4" s="355">
        <v>2027</v>
      </c>
      <c r="J4" s="355">
        <v>2028</v>
      </c>
      <c r="K4" s="355">
        <v>2029</v>
      </c>
    </row>
    <row r="5" spans="1:14">
      <c r="A5" s="369" t="s">
        <v>55</v>
      </c>
      <c r="B5" s="370"/>
      <c r="C5" s="370"/>
      <c r="D5" s="370"/>
      <c r="E5" s="370"/>
      <c r="F5" s="370"/>
      <c r="G5" s="371"/>
      <c r="H5" s="371"/>
      <c r="I5" s="371"/>
      <c r="J5" s="371"/>
      <c r="K5" s="372"/>
      <c r="N5" t="s">
        <v>67</v>
      </c>
    </row>
    <row r="6" spans="1:14">
      <c r="A6" s="373" t="s">
        <v>124</v>
      </c>
      <c r="B6" s="12">
        <f>B49</f>
        <v>6205.7799614345622</v>
      </c>
      <c r="C6" s="12">
        <f t="shared" ref="C6:K6" si="0">C49</f>
        <v>6237.7999999999993</v>
      </c>
      <c r="D6" s="12">
        <f t="shared" si="0"/>
        <v>7199</v>
      </c>
      <c r="E6" s="12">
        <f>E49</f>
        <v>7626.5</v>
      </c>
      <c r="F6" s="12">
        <f t="shared" si="0"/>
        <v>7777.2</v>
      </c>
      <c r="G6" s="12">
        <f t="shared" si="0"/>
        <v>8062.2430000000004</v>
      </c>
      <c r="H6" s="12">
        <f t="shared" si="0"/>
        <v>8357.9864500000003</v>
      </c>
      <c r="I6" s="12">
        <f t="shared" si="0"/>
        <v>8636.2583200500012</v>
      </c>
      <c r="J6" s="12">
        <f t="shared" si="0"/>
        <v>8924.3255246832505</v>
      </c>
      <c r="K6" s="374">
        <f t="shared" si="0"/>
        <v>9222.544233334811</v>
      </c>
    </row>
    <row r="7" spans="1:14">
      <c r="A7" s="375"/>
      <c r="B7" s="4"/>
      <c r="C7" s="4"/>
      <c r="D7" s="4"/>
      <c r="E7" s="4"/>
      <c r="F7" s="4"/>
      <c r="G7" s="6"/>
      <c r="H7" s="6"/>
      <c r="I7" s="6"/>
      <c r="J7" s="6"/>
      <c r="K7" s="376"/>
    </row>
    <row r="8" spans="1:14">
      <c r="A8" s="377" t="s">
        <v>56</v>
      </c>
      <c r="B8" s="4"/>
      <c r="C8" s="4"/>
      <c r="D8" s="4"/>
      <c r="E8" s="4"/>
      <c r="F8" s="4"/>
      <c r="K8" s="346"/>
      <c r="N8" t="s">
        <v>68</v>
      </c>
    </row>
    <row r="9" spans="1:14">
      <c r="A9" s="373" t="s">
        <v>124</v>
      </c>
      <c r="B9" s="12">
        <f>B70</f>
        <v>3553.2000000000007</v>
      </c>
      <c r="C9" s="12">
        <f t="shared" ref="C9:K9" si="1">C70</f>
        <v>4179.0161029383617</v>
      </c>
      <c r="D9" s="12">
        <f t="shared" si="1"/>
        <v>4432.0999999999995</v>
      </c>
      <c r="E9" s="12">
        <f t="shared" si="1"/>
        <v>4999.2000000000007</v>
      </c>
      <c r="F9" s="12">
        <f t="shared" si="1"/>
        <v>5382.5999999999995</v>
      </c>
      <c r="G9" s="12">
        <f t="shared" si="1"/>
        <v>5649.228000000001</v>
      </c>
      <c r="H9" s="12">
        <f t="shared" si="1"/>
        <v>5929.1351950000007</v>
      </c>
      <c r="I9" s="12">
        <f t="shared" si="1"/>
        <v>6222.986583150001</v>
      </c>
      <c r="J9" s="12">
        <f t="shared" si="1"/>
        <v>6531.4806545503761</v>
      </c>
      <c r="K9" s="374">
        <f t="shared" si="1"/>
        <v>6855.3510882553992</v>
      </c>
    </row>
    <row r="10" spans="1:14">
      <c r="A10" s="375"/>
      <c r="B10" s="4"/>
      <c r="C10" s="4"/>
      <c r="D10" s="4"/>
      <c r="E10" s="4"/>
      <c r="F10" s="12"/>
      <c r="G10" s="6"/>
      <c r="H10" s="6"/>
      <c r="I10" s="6"/>
      <c r="J10" s="6"/>
      <c r="K10" s="376"/>
    </row>
    <row r="11" spans="1:14">
      <c r="A11" s="378" t="s">
        <v>57</v>
      </c>
      <c r="B11" s="4"/>
      <c r="C11" s="4"/>
      <c r="D11" s="4"/>
      <c r="E11" s="4"/>
      <c r="F11" s="4"/>
      <c r="K11" s="346"/>
      <c r="N11" t="s">
        <v>69</v>
      </c>
    </row>
    <row r="12" spans="1:14">
      <c r="A12" s="373" t="s">
        <v>124</v>
      </c>
      <c r="B12" s="12">
        <f>B88</f>
        <v>1181.8999999999999</v>
      </c>
      <c r="C12" s="12">
        <f t="shared" ref="C12:K12" si="2">C88</f>
        <v>1181.5999999999997</v>
      </c>
      <c r="D12" s="12">
        <f t="shared" si="2"/>
        <v>1510.5000000000002</v>
      </c>
      <c r="E12" s="12">
        <f t="shared" si="2"/>
        <v>1586.0000000000002</v>
      </c>
      <c r="F12" s="12">
        <f t="shared" si="2"/>
        <v>1418.7999999999997</v>
      </c>
      <c r="G12" s="12">
        <f t="shared" si="2"/>
        <v>1489.0625</v>
      </c>
      <c r="H12" s="12">
        <f t="shared" si="2"/>
        <v>1562.8864925</v>
      </c>
      <c r="I12" s="12">
        <f t="shared" si="2"/>
        <v>1631.8981822000001</v>
      </c>
      <c r="J12" s="12">
        <f t="shared" si="2"/>
        <v>1704.0257321345</v>
      </c>
      <c r="K12" s="374">
        <f t="shared" si="2"/>
        <v>1779.4138092562225</v>
      </c>
      <c r="N12" t="s">
        <v>72</v>
      </c>
    </row>
    <row r="13" spans="1:14">
      <c r="A13" s="375"/>
      <c r="B13" s="12"/>
      <c r="C13" s="379"/>
      <c r="D13" s="379"/>
      <c r="E13" s="379"/>
      <c r="F13" s="379"/>
      <c r="G13" s="15"/>
      <c r="H13" s="15"/>
      <c r="I13" s="15"/>
      <c r="J13" s="15"/>
      <c r="K13" s="380"/>
    </row>
    <row r="14" spans="1:14">
      <c r="A14" s="377" t="s">
        <v>60</v>
      </c>
      <c r="B14" s="4"/>
      <c r="C14" s="4"/>
      <c r="D14" s="4"/>
      <c r="E14" s="4"/>
      <c r="F14" s="4"/>
      <c r="K14" s="346"/>
      <c r="N14" t="s">
        <v>70</v>
      </c>
    </row>
    <row r="15" spans="1:14">
      <c r="A15" s="373" t="s">
        <v>124</v>
      </c>
      <c r="B15" s="12">
        <f>B106</f>
        <v>1084.3</v>
      </c>
      <c r="C15" s="12">
        <f t="shared" ref="C15:K15" si="3">C106</f>
        <v>1218.5999999999999</v>
      </c>
      <c r="D15" s="12">
        <f t="shared" si="3"/>
        <v>1326.6</v>
      </c>
      <c r="E15" s="12">
        <f t="shared" si="3"/>
        <v>1066</v>
      </c>
      <c r="F15" s="12">
        <f t="shared" si="3"/>
        <v>1162.8</v>
      </c>
      <c r="G15" s="12">
        <f t="shared" si="3"/>
        <v>1218.9510000000002</v>
      </c>
      <c r="H15" s="12">
        <f t="shared" si="3"/>
        <v>1277.8363600000002</v>
      </c>
      <c r="I15" s="12">
        <f t="shared" si="3"/>
        <v>1339.590249825</v>
      </c>
      <c r="J15" s="12">
        <f t="shared" si="3"/>
        <v>1404.3534686995001</v>
      </c>
      <c r="K15" s="374">
        <f t="shared" si="3"/>
        <v>1472.2737749333387</v>
      </c>
    </row>
    <row r="16" spans="1:14">
      <c r="A16" s="375"/>
      <c r="B16" s="4"/>
      <c r="C16" s="379"/>
      <c r="D16" s="379"/>
      <c r="E16" s="379"/>
      <c r="F16" s="379"/>
      <c r="G16" s="15"/>
      <c r="H16" s="381"/>
      <c r="I16" s="381"/>
      <c r="J16" s="381"/>
      <c r="K16" s="382"/>
    </row>
    <row r="17" spans="1:39">
      <c r="A17" s="377" t="s">
        <v>61</v>
      </c>
      <c r="B17" s="4"/>
      <c r="C17" s="4"/>
      <c r="D17" s="4"/>
      <c r="E17" s="4"/>
      <c r="F17" s="4"/>
      <c r="K17" s="346"/>
      <c r="N17" t="s">
        <v>71</v>
      </c>
    </row>
    <row r="18" spans="1:39">
      <c r="A18" s="373" t="s">
        <v>124</v>
      </c>
      <c r="B18" s="4">
        <f>B124</f>
        <v>100</v>
      </c>
      <c r="C18" s="4">
        <f t="shared" ref="C18:K18" si="4">C124</f>
        <v>139.19999999999999</v>
      </c>
      <c r="D18" s="4">
        <f t="shared" si="4"/>
        <v>123.8</v>
      </c>
      <c r="E18" s="4">
        <f t="shared" si="4"/>
        <v>89.1</v>
      </c>
      <c r="F18" s="4">
        <f t="shared" si="4"/>
        <v>0</v>
      </c>
      <c r="G18" s="4">
        <f t="shared" si="4"/>
        <v>0</v>
      </c>
      <c r="H18" s="4">
        <f t="shared" si="4"/>
        <v>0</v>
      </c>
      <c r="I18" s="4">
        <f t="shared" si="4"/>
        <v>0</v>
      </c>
      <c r="J18" s="4">
        <f t="shared" si="4"/>
        <v>0</v>
      </c>
      <c r="K18" s="383">
        <f t="shared" si="4"/>
        <v>0</v>
      </c>
      <c r="N18" t="s">
        <v>73</v>
      </c>
    </row>
    <row r="19" spans="1:39">
      <c r="A19" s="375"/>
      <c r="B19" s="4"/>
      <c r="C19" s="379"/>
      <c r="D19" s="379"/>
      <c r="E19" s="379"/>
      <c r="F19" s="379"/>
      <c r="K19" s="346"/>
    </row>
    <row r="20" spans="1:39">
      <c r="A20" s="377" t="s">
        <v>63</v>
      </c>
      <c r="B20" s="4"/>
      <c r="C20" s="4"/>
      <c r="D20" s="4"/>
      <c r="E20" s="4"/>
      <c r="F20" s="4"/>
      <c r="K20" s="346"/>
    </row>
    <row r="21" spans="1:39">
      <c r="A21" s="377" t="s">
        <v>66</v>
      </c>
      <c r="B21" s="23">
        <f t="shared" ref="B21:K21" si="5">SUM(B6+B9+B12+B15+B18)</f>
        <v>12125.179961434562</v>
      </c>
      <c r="C21" s="23">
        <f t="shared" si="5"/>
        <v>12956.216102938362</v>
      </c>
      <c r="D21" s="23">
        <f t="shared" si="5"/>
        <v>14591.999999999998</v>
      </c>
      <c r="E21" s="23">
        <f t="shared" si="5"/>
        <v>15366.800000000001</v>
      </c>
      <c r="F21" s="23">
        <f t="shared" si="5"/>
        <v>15741.399999999998</v>
      </c>
      <c r="G21" s="23">
        <f t="shared" si="5"/>
        <v>16419.484500000002</v>
      </c>
      <c r="H21" s="23">
        <f t="shared" si="5"/>
        <v>17127.844497500002</v>
      </c>
      <c r="I21" s="23">
        <f t="shared" si="5"/>
        <v>17830.733335225003</v>
      </c>
      <c r="J21" s="23">
        <f t="shared" si="5"/>
        <v>18564.185380067629</v>
      </c>
      <c r="K21" s="384">
        <f t="shared" si="5"/>
        <v>19329.582905779775</v>
      </c>
    </row>
    <row r="22" spans="1:39">
      <c r="A22" s="375"/>
      <c r="B22" s="4"/>
      <c r="C22" s="385">
        <f>(C21-B21)/B21</f>
        <v>6.853804596278161E-2</v>
      </c>
      <c r="D22" s="385">
        <f t="shared" ref="D22:K22" si="6">(D21-C21)/C21</f>
        <v>0.12625475556020199</v>
      </c>
      <c r="E22" s="385">
        <f t="shared" si="6"/>
        <v>5.3097587719298449E-2</v>
      </c>
      <c r="F22" s="385">
        <f t="shared" si="6"/>
        <v>2.4377228830986069E-2</v>
      </c>
      <c r="G22" s="385">
        <f t="shared" si="6"/>
        <v>4.3076505266367957E-2</v>
      </c>
      <c r="H22" s="385">
        <f t="shared" si="6"/>
        <v>4.3141427338964242E-2</v>
      </c>
      <c r="I22" s="385">
        <f t="shared" si="6"/>
        <v>4.1037787202446573E-2</v>
      </c>
      <c r="J22" s="385">
        <f t="shared" si="6"/>
        <v>4.1134149171177158E-2</v>
      </c>
      <c r="K22" s="386">
        <f t="shared" si="6"/>
        <v>4.1229793284328714E-2</v>
      </c>
    </row>
    <row r="23" spans="1:39">
      <c r="A23" s="375" t="s">
        <v>64</v>
      </c>
      <c r="B23" s="4">
        <v>9466.67</v>
      </c>
      <c r="C23" s="4">
        <v>10153.299999999999</v>
      </c>
      <c r="D23" s="4">
        <v>11446.2</v>
      </c>
      <c r="E23" s="4">
        <v>12316.800000000001</v>
      </c>
      <c r="F23" s="4">
        <v>12473.6</v>
      </c>
      <c r="G23">
        <f>G21*0.8</f>
        <v>13135.587600000003</v>
      </c>
      <c r="H23">
        <f t="shared" ref="H23:K23" si="7">H21*0.8</f>
        <v>13702.275598000002</v>
      </c>
      <c r="I23">
        <f t="shared" si="7"/>
        <v>14264.586668180003</v>
      </c>
      <c r="J23">
        <f t="shared" si="7"/>
        <v>14851.348304054103</v>
      </c>
      <c r="K23" s="346">
        <f t="shared" si="7"/>
        <v>15463.66632462382</v>
      </c>
    </row>
    <row r="24" spans="1:39">
      <c r="A24" s="387" t="s">
        <v>65</v>
      </c>
      <c r="B24" s="388">
        <v>2323.6000000000004</v>
      </c>
      <c r="C24" s="388">
        <v>2579.7999999999997</v>
      </c>
      <c r="D24" s="388">
        <v>2741.6000000000004</v>
      </c>
      <c r="E24" s="388">
        <v>3003.3999999999996</v>
      </c>
      <c r="F24" s="388">
        <v>3267.8</v>
      </c>
      <c r="G24" s="389">
        <f>G21*0.2</f>
        <v>3283.8969000000006</v>
      </c>
      <c r="H24" s="389">
        <f t="shared" ref="H24:K24" si="8">H21*0.2</f>
        <v>3425.5688995000005</v>
      </c>
      <c r="I24" s="389">
        <f t="shared" si="8"/>
        <v>3566.1466670450009</v>
      </c>
      <c r="J24" s="389">
        <f t="shared" si="8"/>
        <v>3712.8370760135258</v>
      </c>
      <c r="K24" s="390">
        <f t="shared" si="8"/>
        <v>3865.9165811559551</v>
      </c>
    </row>
    <row r="25" spans="1:39">
      <c r="A25" s="4"/>
      <c r="B25" s="12"/>
      <c r="C25" s="12"/>
      <c r="D25" s="12"/>
      <c r="E25" s="12"/>
      <c r="F25" s="12"/>
    </row>
    <row r="26" spans="1:39">
      <c r="A26" s="5"/>
      <c r="B26" s="5"/>
      <c r="C26" s="5"/>
      <c r="D26" s="4"/>
      <c r="E26" s="4"/>
      <c r="F26" s="4"/>
    </row>
    <row r="27" spans="1:39">
      <c r="A27" s="399" t="s">
        <v>87</v>
      </c>
      <c r="B27" s="400"/>
      <c r="C27" s="400"/>
      <c r="D27" s="400"/>
      <c r="E27" s="400"/>
      <c r="F27" s="401"/>
      <c r="G27" s="401"/>
      <c r="H27" s="401"/>
      <c r="I27" s="401"/>
      <c r="J27" s="401"/>
      <c r="K27" s="402"/>
    </row>
    <row r="28" spans="1:39">
      <c r="A28" s="403" t="s">
        <v>74</v>
      </c>
      <c r="B28" s="356">
        <v>2020</v>
      </c>
      <c r="C28" s="356">
        <v>2021</v>
      </c>
      <c r="D28" s="356">
        <v>2022</v>
      </c>
      <c r="E28" s="356">
        <v>2023</v>
      </c>
      <c r="F28" s="356">
        <v>2024</v>
      </c>
      <c r="G28" s="356">
        <v>2025</v>
      </c>
      <c r="H28" s="356">
        <v>2026</v>
      </c>
      <c r="I28" s="356">
        <v>2027</v>
      </c>
      <c r="J28" s="356">
        <v>2028</v>
      </c>
      <c r="K28" s="404">
        <v>2029</v>
      </c>
    </row>
    <row r="29" spans="1:39" ht="14.4" customHeight="1">
      <c r="A29" s="391" t="s">
        <v>75</v>
      </c>
      <c r="B29" s="7">
        <f>2564.3*'change in segment '!I7</f>
        <v>2717.0359507995877</v>
      </c>
      <c r="C29" s="7">
        <v>2603</v>
      </c>
      <c r="D29" s="7">
        <v>3129.2</v>
      </c>
      <c r="E29" s="7">
        <v>3232.5</v>
      </c>
      <c r="F29" s="7">
        <v>3320.7</v>
      </c>
      <c r="G29">
        <f>F29*(1+G30)</f>
        <v>3453.5279999999998</v>
      </c>
      <c r="H29">
        <f t="shared" ref="H29:J29" si="9">G29*(1+H30)</f>
        <v>3591.66912</v>
      </c>
      <c r="I29">
        <f t="shared" si="9"/>
        <v>3735.3358848000003</v>
      </c>
      <c r="J29">
        <f t="shared" si="9"/>
        <v>3884.7493201920006</v>
      </c>
      <c r="K29" s="346">
        <f>J29*(1+K30)</f>
        <v>4040.1392929996809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17"/>
      <c r="AH29" s="17"/>
      <c r="AI29" s="17"/>
      <c r="AJ29" s="17"/>
      <c r="AK29" s="17"/>
      <c r="AL29" s="17"/>
      <c r="AM29" s="17"/>
    </row>
    <row r="30" spans="1:39">
      <c r="A30" s="373" t="s">
        <v>88</v>
      </c>
      <c r="B30" s="7"/>
      <c r="C30" s="392">
        <f>(C29-B29)/B29</f>
        <v>-4.1970718409533155E-2</v>
      </c>
      <c r="D30" s="392">
        <f t="shared" ref="D30:F30" si="10">(D29-C29)/C29</f>
        <v>0.20215136381098725</v>
      </c>
      <c r="E30" s="392">
        <f t="shared" si="10"/>
        <v>3.3011632366100024E-2</v>
      </c>
      <c r="F30" s="392">
        <f t="shared" si="10"/>
        <v>2.7285382830626394E-2</v>
      </c>
      <c r="G30" s="393">
        <f>+CHOOSE(Cover!$I$11,G31,G32,G33)</f>
        <v>0.04</v>
      </c>
      <c r="H30" s="393">
        <f>+CHOOSE(Cover!$I$11,H31,H32,H33)</f>
        <v>0.04</v>
      </c>
      <c r="I30" s="393">
        <f>+CHOOSE(Cover!$I$11,I31,I32,I33)</f>
        <v>0.04</v>
      </c>
      <c r="J30" s="393">
        <f>+CHOOSE(Cover!$I$11,J31,J32,J33)</f>
        <v>0.04</v>
      </c>
      <c r="K30" s="394">
        <f>+CHOOSE(Cover!$I$11,K31,K32,K33)</f>
        <v>0.04</v>
      </c>
      <c r="N30" t="s">
        <v>89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17"/>
      <c r="AH30" s="17"/>
      <c r="AI30" s="17"/>
      <c r="AJ30" s="17"/>
      <c r="AK30" s="17"/>
      <c r="AL30" s="17"/>
      <c r="AM30" s="17"/>
    </row>
    <row r="31" spans="1:39">
      <c r="A31" s="373" t="s">
        <v>435</v>
      </c>
      <c r="B31" s="7"/>
      <c r="C31" s="392"/>
      <c r="D31" s="392"/>
      <c r="E31" s="392"/>
      <c r="F31" s="392"/>
      <c r="G31" s="381">
        <v>0.06</v>
      </c>
      <c r="H31" s="381">
        <v>0.06</v>
      </c>
      <c r="I31" s="381">
        <v>0.06</v>
      </c>
      <c r="J31" s="381">
        <v>0.06</v>
      </c>
      <c r="K31" s="382">
        <v>0.06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17"/>
      <c r="AH31" s="17"/>
      <c r="AI31" s="17"/>
      <c r="AJ31" s="17"/>
      <c r="AK31" s="17"/>
      <c r="AL31" s="17"/>
      <c r="AM31" s="17"/>
    </row>
    <row r="32" spans="1:39">
      <c r="A32" s="373" t="s">
        <v>436</v>
      </c>
      <c r="B32" s="7"/>
      <c r="C32" s="392"/>
      <c r="D32" s="392"/>
      <c r="E32" s="392"/>
      <c r="F32" s="392"/>
      <c r="G32" s="381">
        <v>0.04</v>
      </c>
      <c r="H32" s="381">
        <v>0.04</v>
      </c>
      <c r="I32" s="381">
        <v>0.04</v>
      </c>
      <c r="J32" s="381">
        <v>0.04</v>
      </c>
      <c r="K32" s="382">
        <v>0.04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17"/>
      <c r="AH32" s="17"/>
      <c r="AI32" s="17"/>
      <c r="AJ32" s="17"/>
      <c r="AK32" s="17"/>
      <c r="AL32" s="17"/>
      <c r="AM32" s="17"/>
    </row>
    <row r="33" spans="1:39">
      <c r="A33" s="373" t="s">
        <v>437</v>
      </c>
      <c r="B33" s="7"/>
      <c r="C33" s="392"/>
      <c r="D33" s="392"/>
      <c r="E33" s="392"/>
      <c r="F33" s="392"/>
      <c r="G33" s="381">
        <v>0.03</v>
      </c>
      <c r="H33" s="381">
        <v>0.03</v>
      </c>
      <c r="I33" s="381">
        <v>2.5000000000000001E-2</v>
      </c>
      <c r="J33" s="381">
        <v>2.5000000000000001E-2</v>
      </c>
      <c r="K33" s="382">
        <v>2.5000000000000001E-2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17"/>
      <c r="AH33" s="17"/>
      <c r="AI33" s="17"/>
      <c r="AJ33" s="17"/>
      <c r="AK33" s="17"/>
      <c r="AL33" s="17"/>
      <c r="AM33" s="17"/>
    </row>
    <row r="34" spans="1:39">
      <c r="A34" s="391" t="s">
        <v>76</v>
      </c>
      <c r="B34" s="7">
        <f>1262.6*'change in segment '!I9</f>
        <v>1322.5408538143654</v>
      </c>
      <c r="C34" s="7">
        <v>1367.1</v>
      </c>
      <c r="D34" s="7">
        <v>1433.9</v>
      </c>
      <c r="E34" s="7">
        <v>1573</v>
      </c>
      <c r="F34" s="7">
        <v>1593.7</v>
      </c>
      <c r="G34">
        <f>F34*(1+G35)</f>
        <v>1641.5110000000002</v>
      </c>
      <c r="H34">
        <f t="shared" ref="H34:K34" si="11">G34*(1+H35)</f>
        <v>1690.7563300000002</v>
      </c>
      <c r="I34">
        <f t="shared" si="11"/>
        <v>1733.02523825</v>
      </c>
      <c r="J34">
        <f t="shared" si="11"/>
        <v>1776.3508692062499</v>
      </c>
      <c r="K34" s="346">
        <f t="shared" si="11"/>
        <v>1820.759640936406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 spans="1:39">
      <c r="A35" s="373" t="s">
        <v>88</v>
      </c>
      <c r="B35" s="395"/>
      <c r="C35" s="392">
        <f>(C34-B34)/B34</f>
        <v>3.3692075414623775E-2</v>
      </c>
      <c r="D35" s="392">
        <f t="shared" ref="D35:F35" si="12">(D34-C34)/C34</f>
        <v>4.8862555774998311E-2</v>
      </c>
      <c r="E35" s="392">
        <f t="shared" si="12"/>
        <v>9.7008159564823143E-2</v>
      </c>
      <c r="F35" s="392">
        <f t="shared" si="12"/>
        <v>1.3159567705022279E-2</v>
      </c>
      <c r="G35" s="393">
        <f>+CHOOSE(Cover!$I$16,G36,G37,G38)</f>
        <v>0.03</v>
      </c>
      <c r="H35" s="393">
        <f>+CHOOSE(Cover!$I$16,H36,H37,H38)</f>
        <v>0.03</v>
      </c>
      <c r="I35" s="393">
        <f>+CHOOSE(Cover!$I$16,I36,I37,I38)</f>
        <v>2.5000000000000001E-2</v>
      </c>
      <c r="J35" s="393">
        <f>+CHOOSE(Cover!$I$16,J36,J37,J38)</f>
        <v>2.5000000000000001E-2</v>
      </c>
      <c r="K35" s="394">
        <f>+CHOOSE(Cover!$I$16,K36,K37,K38)</f>
        <v>2.5000000000000001E-2</v>
      </c>
      <c r="N35" t="s">
        <v>90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spans="1:39">
      <c r="A36" s="373" t="s">
        <v>435</v>
      </c>
      <c r="B36" s="395"/>
      <c r="C36" s="392"/>
      <c r="D36" s="392"/>
      <c r="E36" s="392"/>
      <c r="F36" s="392"/>
      <c r="G36" s="393">
        <v>0.04</v>
      </c>
      <c r="H36" s="393">
        <v>0.04</v>
      </c>
      <c r="I36" s="393">
        <v>0.03</v>
      </c>
      <c r="J36" s="393">
        <v>0.03</v>
      </c>
      <c r="K36" s="394">
        <v>0.03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1:39">
      <c r="A37" s="373" t="s">
        <v>436</v>
      </c>
      <c r="B37" s="395"/>
      <c r="C37" s="392"/>
      <c r="D37" s="392"/>
      <c r="E37" s="392"/>
      <c r="F37" s="392"/>
      <c r="G37" s="393">
        <v>0.03</v>
      </c>
      <c r="H37" s="393">
        <v>0.03</v>
      </c>
      <c r="I37" s="393">
        <v>2.5000000000000001E-2</v>
      </c>
      <c r="J37" s="393">
        <v>2.5000000000000001E-2</v>
      </c>
      <c r="K37" s="394">
        <v>2.5000000000000001E-2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9">
      <c r="A38" s="373" t="s">
        <v>437</v>
      </c>
      <c r="B38" s="395"/>
      <c r="C38" s="392"/>
      <c r="D38" s="392"/>
      <c r="E38" s="392"/>
      <c r="F38" s="392"/>
      <c r="G38" s="393">
        <v>0.02</v>
      </c>
      <c r="H38" s="393">
        <v>0.02</v>
      </c>
      <c r="I38" s="393">
        <v>1.4999999999999999E-2</v>
      </c>
      <c r="J38" s="393">
        <v>1.4999999999999999E-2</v>
      </c>
      <c r="K38" s="394">
        <v>1.4999999999999999E-2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9">
      <c r="A39" s="391" t="s">
        <v>77</v>
      </c>
      <c r="B39" s="2">
        <f>747.2*'change in segment '!I11</f>
        <v>802.23325292681045</v>
      </c>
      <c r="C39" s="2">
        <v>802.5</v>
      </c>
      <c r="D39" s="2">
        <v>888.8</v>
      </c>
      <c r="E39" s="2">
        <v>947.4</v>
      </c>
      <c r="F39" s="2">
        <v>948.9</v>
      </c>
      <c r="G39">
        <f>F39*(1+G40)</f>
        <v>986.85599999999999</v>
      </c>
      <c r="H39">
        <f t="shared" ref="H39:K39" si="13">G39*(1+H40)</f>
        <v>1026.33024</v>
      </c>
      <c r="I39">
        <f t="shared" si="13"/>
        <v>1062.2517983999999</v>
      </c>
      <c r="J39">
        <f t="shared" si="13"/>
        <v>1099.4306113439998</v>
      </c>
      <c r="K39" s="346">
        <f t="shared" si="13"/>
        <v>1137.9106827410396</v>
      </c>
    </row>
    <row r="40" spans="1:39">
      <c r="A40" s="373" t="s">
        <v>88</v>
      </c>
      <c r="B40" s="2"/>
      <c r="C40" s="396">
        <f>(C39-B39)/B39</f>
        <v>3.3250563002265013E-4</v>
      </c>
      <c r="D40" s="396">
        <f t="shared" ref="D40:F40" si="14">(D39-C39)/C39</f>
        <v>0.10753894080996879</v>
      </c>
      <c r="E40" s="396">
        <f t="shared" si="14"/>
        <v>6.593159315931596E-2</v>
      </c>
      <c r="F40" s="396">
        <f t="shared" si="14"/>
        <v>1.5832805573147563E-3</v>
      </c>
      <c r="G40" s="393">
        <v>0.04</v>
      </c>
      <c r="H40" s="393">
        <v>0.04</v>
      </c>
      <c r="I40" s="393">
        <v>3.5000000000000003E-2</v>
      </c>
      <c r="J40" s="393">
        <v>3.5000000000000003E-2</v>
      </c>
      <c r="K40" s="394">
        <v>3.5000000000000003E-2</v>
      </c>
      <c r="N40" t="s">
        <v>91</v>
      </c>
    </row>
    <row r="41" spans="1:39">
      <c r="A41" s="391" t="s">
        <v>78</v>
      </c>
      <c r="B41" s="2">
        <f>491.7*'change in segment '!I13</f>
        <v>517.18511898045563</v>
      </c>
      <c r="C41" s="2">
        <v>551.5</v>
      </c>
      <c r="D41" s="2">
        <v>656.2</v>
      </c>
      <c r="E41" s="2">
        <v>772.5</v>
      </c>
      <c r="F41" s="2">
        <v>810.5</v>
      </c>
      <c r="G41">
        <f>F41*(1+G42)</f>
        <v>842.92000000000007</v>
      </c>
      <c r="H41">
        <f t="shared" ref="H41:K41" si="15">G41*(1+H42)</f>
        <v>876.63680000000011</v>
      </c>
      <c r="I41">
        <f t="shared" si="15"/>
        <v>907.31908800000008</v>
      </c>
      <c r="J41">
        <f t="shared" si="15"/>
        <v>939.07525608000003</v>
      </c>
      <c r="K41" s="346">
        <f t="shared" si="15"/>
        <v>971.94289004279995</v>
      </c>
    </row>
    <row r="42" spans="1:39">
      <c r="A42" s="373" t="s">
        <v>88</v>
      </c>
      <c r="B42" s="2"/>
      <c r="C42" s="396">
        <f>(C41-B41)/B41</f>
        <v>6.6349320118085475E-2</v>
      </c>
      <c r="D42" s="396">
        <f t="shared" ref="D42:F42" si="16">(D41-C41)/C41</f>
        <v>0.18984587488667279</v>
      </c>
      <c r="E42" s="396">
        <f t="shared" si="16"/>
        <v>0.17723255105150859</v>
      </c>
      <c r="F42" s="396">
        <f t="shared" si="16"/>
        <v>4.9190938511326859E-2</v>
      </c>
      <c r="G42" s="393">
        <v>0.04</v>
      </c>
      <c r="H42" s="393">
        <v>0.04</v>
      </c>
      <c r="I42" s="393">
        <v>3.5000000000000003E-2</v>
      </c>
      <c r="J42" s="393">
        <v>3.5000000000000003E-2</v>
      </c>
      <c r="K42" s="394">
        <v>3.5000000000000003E-2</v>
      </c>
      <c r="N42" t="s">
        <v>92</v>
      </c>
    </row>
    <row r="43" spans="1:39">
      <c r="A43" s="391" t="s">
        <v>79</v>
      </c>
      <c r="B43" s="2">
        <f>333*'change in segment '!I17</f>
        <v>363.46089849657255</v>
      </c>
      <c r="C43" s="2">
        <v>394.9</v>
      </c>
      <c r="D43" s="2">
        <v>435.8</v>
      </c>
      <c r="E43" s="2">
        <v>407</v>
      </c>
      <c r="F43" s="2">
        <v>400.4</v>
      </c>
      <c r="G43">
        <f>F43*(1+G44)</f>
        <v>408.40799999999996</v>
      </c>
      <c r="H43">
        <f t="shared" ref="H43:K43" si="17">G43*(1+H44)</f>
        <v>416.57615999999996</v>
      </c>
      <c r="I43">
        <f t="shared" si="17"/>
        <v>420.74192159999996</v>
      </c>
      <c r="J43">
        <f t="shared" si="17"/>
        <v>424.94934081599996</v>
      </c>
      <c r="K43" s="346">
        <f t="shared" si="17"/>
        <v>429.19883422415995</v>
      </c>
    </row>
    <row r="44" spans="1:39">
      <c r="A44" s="373" t="s">
        <v>88</v>
      </c>
      <c r="B44" s="2"/>
      <c r="C44" s="396">
        <f>(C43-B43)/B43</f>
        <v>8.6499267551125303E-2</v>
      </c>
      <c r="D44" s="396">
        <f t="shared" ref="D44:F44" si="18">(D43-C43)/C43</f>
        <v>0.10357052418333765</v>
      </c>
      <c r="E44" s="396">
        <f t="shared" si="18"/>
        <v>-6.6085360256998654E-2</v>
      </c>
      <c r="F44" s="396">
        <f t="shared" si="18"/>
        <v>-1.6216216216216273E-2</v>
      </c>
      <c r="G44" s="393">
        <v>0.02</v>
      </c>
      <c r="H44" s="393">
        <v>0.02</v>
      </c>
      <c r="I44" s="393">
        <v>0.01</v>
      </c>
      <c r="J44" s="393">
        <v>0.01</v>
      </c>
      <c r="K44" s="394">
        <v>0.01</v>
      </c>
      <c r="N44" s="22" t="s">
        <v>93</v>
      </c>
    </row>
    <row r="45" spans="1:39">
      <c r="A45" s="391" t="s">
        <v>80</v>
      </c>
      <c r="B45" s="2">
        <f>314.1*'change in segment '!I15</f>
        <v>326.53965152398314</v>
      </c>
      <c r="C45" s="2">
        <v>344.4</v>
      </c>
      <c r="D45" s="2">
        <v>459.3</v>
      </c>
      <c r="E45" s="2">
        <v>491.8</v>
      </c>
      <c r="F45" s="2">
        <v>493</v>
      </c>
      <c r="G45">
        <f>F45*(1+G46)</f>
        <v>512.72</v>
      </c>
      <c r="H45">
        <f t="shared" ref="H45:K45" si="19">G45*(1+H46)</f>
        <v>533.22880000000009</v>
      </c>
      <c r="I45">
        <f t="shared" si="19"/>
        <v>549.22566400000017</v>
      </c>
      <c r="J45">
        <f t="shared" si="19"/>
        <v>565.7024339200002</v>
      </c>
      <c r="K45" s="346">
        <f t="shared" si="19"/>
        <v>582.67350693760022</v>
      </c>
    </row>
    <row r="46" spans="1:39">
      <c r="A46" s="373" t="s">
        <v>88</v>
      </c>
      <c r="B46" s="2"/>
      <c r="C46" s="396">
        <f>(C45-B45)/B45</f>
        <v>5.4695803075250911E-2</v>
      </c>
      <c r="D46" s="396">
        <f t="shared" ref="D46:F46" si="20">(D45-C45)/C45</f>
        <v>0.33362369337979109</v>
      </c>
      <c r="E46" s="396">
        <f t="shared" si="20"/>
        <v>7.0759851948617461E-2</v>
      </c>
      <c r="F46" s="396">
        <f t="shared" si="20"/>
        <v>2.4400162667750887E-3</v>
      </c>
      <c r="G46" s="393">
        <v>0.04</v>
      </c>
      <c r="H46" s="393">
        <v>0.04</v>
      </c>
      <c r="I46" s="393">
        <v>0.03</v>
      </c>
      <c r="J46" s="393">
        <v>0.03</v>
      </c>
      <c r="K46" s="394">
        <v>0.03</v>
      </c>
      <c r="N46" t="s">
        <v>94</v>
      </c>
    </row>
    <row r="47" spans="1:39">
      <c r="A47" s="391" t="s">
        <v>81</v>
      </c>
      <c r="B47" s="2">
        <f>157.9*'change in segment '!I19</f>
        <v>156.78423489278754</v>
      </c>
      <c r="C47" s="2">
        <v>174.4</v>
      </c>
      <c r="D47" s="2">
        <v>195.8</v>
      </c>
      <c r="E47" s="2">
        <v>202.3</v>
      </c>
      <c r="F47" s="2">
        <v>210</v>
      </c>
      <c r="G47">
        <f>F47*(1+G48)</f>
        <v>216.3</v>
      </c>
      <c r="H47">
        <f t="shared" ref="H47:K47" si="21">G47*(1+H48)</f>
        <v>222.78900000000002</v>
      </c>
      <c r="I47">
        <f t="shared" si="21"/>
        <v>228.35872499999999</v>
      </c>
      <c r="J47">
        <f t="shared" si="21"/>
        <v>234.06769312499998</v>
      </c>
      <c r="K47" s="346">
        <f t="shared" si="21"/>
        <v>239.91938545312496</v>
      </c>
    </row>
    <row r="48" spans="1:39">
      <c r="A48" s="373" t="s">
        <v>88</v>
      </c>
      <c r="B48" s="2"/>
      <c r="C48" s="396">
        <f>(C47-B47)/B47</f>
        <v>0.11235673739300708</v>
      </c>
      <c r="D48" s="396">
        <f t="shared" ref="D48:F48" si="22">(D47-C47)/C47</f>
        <v>0.12270642201834865</v>
      </c>
      <c r="E48" s="396">
        <f t="shared" si="22"/>
        <v>3.3197139938712969E-2</v>
      </c>
      <c r="F48" s="396">
        <f t="shared" si="22"/>
        <v>3.8062283737024166E-2</v>
      </c>
      <c r="G48" s="393">
        <v>0.03</v>
      </c>
      <c r="H48" s="393">
        <v>0.03</v>
      </c>
      <c r="I48" s="393">
        <v>2.5000000000000001E-2</v>
      </c>
      <c r="J48" s="393">
        <v>2.5000000000000001E-2</v>
      </c>
      <c r="K48" s="394">
        <v>2.5000000000000001E-2</v>
      </c>
      <c r="N48" s="22" t="s">
        <v>95</v>
      </c>
    </row>
    <row r="49" spans="1:14">
      <c r="A49" s="343" t="s">
        <v>82</v>
      </c>
      <c r="B49" s="397">
        <f t="shared" ref="B49:F49" si="23">B47+B45+B43+B41+B39+B34+B29</f>
        <v>6205.7799614345622</v>
      </c>
      <c r="C49" s="397">
        <f t="shared" si="23"/>
        <v>6237.7999999999993</v>
      </c>
      <c r="D49" s="397">
        <f t="shared" si="23"/>
        <v>7199</v>
      </c>
      <c r="E49" s="397">
        <f t="shared" si="23"/>
        <v>7626.5</v>
      </c>
      <c r="F49" s="397">
        <f t="shared" si="23"/>
        <v>7777.2</v>
      </c>
      <c r="G49" s="397">
        <f>G47+G45+G43+G41+G39+G34+G29</f>
        <v>8062.2430000000004</v>
      </c>
      <c r="H49" s="397">
        <f t="shared" ref="H49:K49" si="24">H47+H45+H43+H41+H39+H34+H29</f>
        <v>8357.9864500000003</v>
      </c>
      <c r="I49" s="397">
        <f t="shared" si="24"/>
        <v>8636.2583200500012</v>
      </c>
      <c r="J49" s="397">
        <f t="shared" si="24"/>
        <v>8924.3255246832505</v>
      </c>
      <c r="K49" s="398">
        <f t="shared" si="24"/>
        <v>9222.544233334811</v>
      </c>
    </row>
    <row r="50" spans="1:14">
      <c r="A50" s="4"/>
      <c r="B50" s="12"/>
      <c r="C50" s="12"/>
      <c r="D50" s="12"/>
      <c r="E50" s="12"/>
      <c r="F50" s="12"/>
    </row>
    <row r="51" spans="1:14">
      <c r="A51" s="406" t="s">
        <v>86</v>
      </c>
      <c r="B51" s="407"/>
      <c r="C51" s="407"/>
      <c r="D51" s="370"/>
      <c r="E51" s="370"/>
      <c r="F51" s="370"/>
      <c r="G51" s="371"/>
      <c r="H51" s="371"/>
      <c r="I51" s="371"/>
      <c r="J51" s="371"/>
      <c r="K51" s="372"/>
    </row>
    <row r="52" spans="1:14">
      <c r="A52" s="403" t="s">
        <v>74</v>
      </c>
      <c r="B52" s="356">
        <v>2020</v>
      </c>
      <c r="C52" s="356">
        <v>2021</v>
      </c>
      <c r="D52" s="356">
        <v>2022</v>
      </c>
      <c r="E52" s="356">
        <v>2023</v>
      </c>
      <c r="F52" s="356">
        <v>2024</v>
      </c>
      <c r="G52" s="356">
        <v>2025</v>
      </c>
      <c r="H52" s="356">
        <v>2026</v>
      </c>
      <c r="I52" s="356">
        <v>2027</v>
      </c>
      <c r="J52" s="356">
        <v>2028</v>
      </c>
      <c r="K52" s="404">
        <v>2029</v>
      </c>
    </row>
    <row r="53" spans="1:14">
      <c r="A53" s="391" t="s">
        <v>75</v>
      </c>
      <c r="B53" s="7">
        <v>2400.4</v>
      </c>
      <c r="C53" s="7">
        <f>2721.8*'change in segment '!I7</f>
        <v>2883.9170342340281</v>
      </c>
      <c r="D53" s="7">
        <v>3008.1</v>
      </c>
      <c r="E53" s="7">
        <v>3410.5</v>
      </c>
      <c r="F53" s="7">
        <v>3713.5</v>
      </c>
      <c r="G53">
        <f>F53*(1+G54)</f>
        <v>3899.1750000000002</v>
      </c>
      <c r="H53">
        <f t="shared" ref="H53:K53" si="25">G53*(1+H54)</f>
        <v>4094.1337500000004</v>
      </c>
      <c r="I53">
        <f t="shared" si="25"/>
        <v>4298.8404375000009</v>
      </c>
      <c r="J53">
        <f t="shared" si="25"/>
        <v>4513.7824593750011</v>
      </c>
      <c r="K53" s="346">
        <f t="shared" si="25"/>
        <v>4739.4715823437509</v>
      </c>
    </row>
    <row r="54" spans="1:14">
      <c r="A54" s="373" t="s">
        <v>88</v>
      </c>
      <c r="B54" s="7"/>
      <c r="C54" s="392">
        <f>(C53-B53)/B53</f>
        <v>0.20143185895435259</v>
      </c>
      <c r="D54" s="392">
        <f t="shared" ref="D54:F54" si="26">(D53-C53)/C53</f>
        <v>4.3060519526684306E-2</v>
      </c>
      <c r="E54" s="392">
        <f t="shared" si="26"/>
        <v>0.13377214853229616</v>
      </c>
      <c r="F54" s="392">
        <f t="shared" si="26"/>
        <v>8.884327811171383E-2</v>
      </c>
      <c r="G54" s="381">
        <f>+CHOOSE(Cover!$I$12,G55,G56,G57)</f>
        <v>0.05</v>
      </c>
      <c r="H54" s="381">
        <f>+CHOOSE(Cover!$I$12,H55,H56,H57)</f>
        <v>0.05</v>
      </c>
      <c r="I54" s="381">
        <f>+CHOOSE(Cover!$I$12,I55,I56,I57)</f>
        <v>0.05</v>
      </c>
      <c r="J54" s="381">
        <f>+CHOOSE(Cover!$I$12,J55,J56,J57)</f>
        <v>0.05</v>
      </c>
      <c r="K54" s="382">
        <f>+CHOOSE(Cover!$I$12,K55,K56,K57)</f>
        <v>0.05</v>
      </c>
      <c r="N54" t="s">
        <v>96</v>
      </c>
    </row>
    <row r="55" spans="1:14">
      <c r="A55" s="373" t="s">
        <v>435</v>
      </c>
      <c r="B55" s="7"/>
      <c r="C55" s="392"/>
      <c r="D55" s="392"/>
      <c r="E55" s="392"/>
      <c r="F55" s="392"/>
      <c r="G55" s="381">
        <v>0.06</v>
      </c>
      <c r="H55" s="381">
        <v>0.06</v>
      </c>
      <c r="I55" s="381">
        <v>0.06</v>
      </c>
      <c r="J55" s="381">
        <v>0.06</v>
      </c>
      <c r="K55" s="382">
        <v>0.06</v>
      </c>
    </row>
    <row r="56" spans="1:14">
      <c r="A56" s="373" t="s">
        <v>436</v>
      </c>
      <c r="B56" s="7"/>
      <c r="C56" s="392"/>
      <c r="D56" s="392"/>
      <c r="E56" s="392"/>
      <c r="F56" s="392"/>
      <c r="G56" s="381">
        <v>0.05</v>
      </c>
      <c r="H56" s="381">
        <v>0.05</v>
      </c>
      <c r="I56" s="381">
        <v>0.05</v>
      </c>
      <c r="J56" s="381">
        <v>0.05</v>
      </c>
      <c r="K56" s="382">
        <v>0.05</v>
      </c>
    </row>
    <row r="57" spans="1:14">
      <c r="A57" s="373" t="s">
        <v>437</v>
      </c>
      <c r="B57" s="7"/>
      <c r="C57" s="392"/>
      <c r="D57" s="392"/>
      <c r="E57" s="392"/>
      <c r="F57" s="392"/>
      <c r="G57" s="381">
        <v>0.04</v>
      </c>
      <c r="H57" s="381">
        <v>0.04</v>
      </c>
      <c r="I57" s="381">
        <v>0.04</v>
      </c>
      <c r="J57" s="381">
        <v>0.04</v>
      </c>
      <c r="K57" s="382">
        <v>0.04</v>
      </c>
    </row>
    <row r="58" spans="1:14">
      <c r="A58" s="391" t="s">
        <v>76</v>
      </c>
      <c r="B58" s="2">
        <v>510.3</v>
      </c>
      <c r="C58" s="2">
        <f>557.9*'change in segment '!I9</f>
        <v>584.38582476083832</v>
      </c>
      <c r="D58" s="2">
        <v>624.4</v>
      </c>
      <c r="E58" s="2">
        <v>682.3</v>
      </c>
      <c r="F58" s="2">
        <v>706.4</v>
      </c>
      <c r="G58">
        <f t="shared" ref="G58:G68" si="27">F58*(1+G59)</f>
        <v>738.18799999999987</v>
      </c>
      <c r="H58">
        <f t="shared" ref="H58:H68" si="28">G58*(1+H59)</f>
        <v>771.40645999999981</v>
      </c>
      <c r="I58">
        <f t="shared" ref="I58:I68" si="29">H58*(1+I59)</f>
        <v>806.11975069999971</v>
      </c>
      <c r="J58">
        <f t="shared" ref="J58:J68" si="30">I58*(1+J59)</f>
        <v>842.39513948149965</v>
      </c>
      <c r="K58" s="346">
        <f t="shared" ref="K58:K68" si="31">J58*(1+K59)</f>
        <v>880.30292075816703</v>
      </c>
    </row>
    <row r="59" spans="1:14">
      <c r="A59" s="391"/>
      <c r="B59" s="2"/>
      <c r="C59" s="392">
        <f>(C58-B58)/B58</f>
        <v>0.14518092251780973</v>
      </c>
      <c r="D59" s="392">
        <f t="shared" ref="D59:F59" si="32">(D58-C58)/C58</f>
        <v>6.8472186599559601E-2</v>
      </c>
      <c r="E59" s="392">
        <f t="shared" si="32"/>
        <v>9.2729019859064662E-2</v>
      </c>
      <c r="F59" s="392">
        <f t="shared" si="32"/>
        <v>3.5321705994430637E-2</v>
      </c>
      <c r="G59" s="381">
        <v>4.4999999999999998E-2</v>
      </c>
      <c r="H59" s="381">
        <v>4.4999999999999998E-2</v>
      </c>
      <c r="I59" s="381">
        <v>4.4999999999999998E-2</v>
      </c>
      <c r="J59" s="381">
        <v>4.4999999999999998E-2</v>
      </c>
      <c r="K59" s="382">
        <v>4.4999999999999998E-2</v>
      </c>
      <c r="N59" t="s">
        <v>97</v>
      </c>
    </row>
    <row r="60" spans="1:14">
      <c r="A60" s="391" t="s">
        <v>77</v>
      </c>
      <c r="B60" s="2">
        <v>203.9</v>
      </c>
      <c r="C60" s="2">
        <f>201.2*'change in segment '!I11</f>
        <v>216.01891125384671</v>
      </c>
      <c r="D60" s="2">
        <v>220.9</v>
      </c>
      <c r="E60" s="2">
        <v>238.8</v>
      </c>
      <c r="F60" s="2">
        <v>249.7</v>
      </c>
      <c r="G60">
        <f t="shared" si="27"/>
        <v>263.43349999999998</v>
      </c>
      <c r="H60">
        <f t="shared" si="28"/>
        <v>277.92234249999996</v>
      </c>
      <c r="I60">
        <f t="shared" si="29"/>
        <v>293.20807133749992</v>
      </c>
      <c r="J60">
        <f t="shared" si="30"/>
        <v>309.33451526106239</v>
      </c>
      <c r="K60" s="346">
        <f t="shared" si="31"/>
        <v>326.34791360042078</v>
      </c>
    </row>
    <row r="61" spans="1:14">
      <c r="A61" s="391"/>
      <c r="B61" s="2"/>
      <c r="C61" s="392">
        <f>(C60-B60)/B60</f>
        <v>5.9435562794736163E-2</v>
      </c>
      <c r="D61" s="392">
        <f t="shared" ref="D61:F61" si="33">(D60-C60)/C60</f>
        <v>2.2595654786989751E-2</v>
      </c>
      <c r="E61" s="392">
        <f t="shared" si="33"/>
        <v>8.1032141240380287E-2</v>
      </c>
      <c r="F61" s="392">
        <f t="shared" si="33"/>
        <v>4.5644891122277959E-2</v>
      </c>
      <c r="G61" s="381">
        <v>5.5E-2</v>
      </c>
      <c r="H61" s="381">
        <v>5.5E-2</v>
      </c>
      <c r="I61" s="381">
        <v>5.5E-2</v>
      </c>
      <c r="J61" s="381">
        <v>5.5E-2</v>
      </c>
      <c r="K61" s="382">
        <v>5.5E-2</v>
      </c>
      <c r="N61" t="s">
        <v>98</v>
      </c>
    </row>
    <row r="62" spans="1:14">
      <c r="A62" s="391" t="s">
        <v>78</v>
      </c>
      <c r="B62" s="2">
        <v>128.30000000000001</v>
      </c>
      <c r="C62" s="2">
        <f>135*'change in segment '!I13</f>
        <v>141.99713455839233</v>
      </c>
      <c r="D62" s="2">
        <v>169.2</v>
      </c>
      <c r="E62" s="2">
        <v>197.8</v>
      </c>
      <c r="F62" s="2">
        <v>201.6</v>
      </c>
      <c r="G62">
        <f t="shared" si="27"/>
        <v>212.68799999999999</v>
      </c>
      <c r="H62">
        <f t="shared" si="28"/>
        <v>224.38583999999997</v>
      </c>
      <c r="I62">
        <f t="shared" si="29"/>
        <v>236.72706119999995</v>
      </c>
      <c r="J62">
        <f t="shared" si="30"/>
        <v>249.74704956599993</v>
      </c>
      <c r="K62" s="346">
        <f t="shared" si="31"/>
        <v>263.48313729212992</v>
      </c>
    </row>
    <row r="63" spans="1:14">
      <c r="A63" s="391"/>
      <c r="B63" s="2"/>
      <c r="C63" s="392">
        <f>(C62-B62)/B62</f>
        <v>0.10675864815582478</v>
      </c>
      <c r="D63" s="392">
        <f t="shared" ref="D63:F63" si="34">(D62-C62)/C62</f>
        <v>0.19157334073119089</v>
      </c>
      <c r="E63" s="392">
        <f t="shared" si="34"/>
        <v>0.16903073286052023</v>
      </c>
      <c r="F63" s="392">
        <f t="shared" si="34"/>
        <v>1.9211324570272914E-2</v>
      </c>
      <c r="G63" s="381">
        <v>5.5E-2</v>
      </c>
      <c r="H63" s="381">
        <v>5.5E-2</v>
      </c>
      <c r="I63" s="381">
        <v>5.5E-2</v>
      </c>
      <c r="J63" s="381">
        <v>5.5E-2</v>
      </c>
      <c r="K63" s="382">
        <v>5.5E-2</v>
      </c>
      <c r="N63" t="s">
        <v>99</v>
      </c>
    </row>
    <row r="64" spans="1:14">
      <c r="A64" s="391" t="s">
        <v>79</v>
      </c>
      <c r="B64" s="2">
        <v>114.9</v>
      </c>
      <c r="C64" s="2">
        <f>132.3*'change in segment '!I17</f>
        <v>144.40203264593561</v>
      </c>
      <c r="D64" s="2">
        <v>138.30000000000001</v>
      </c>
      <c r="E64" s="2">
        <v>161</v>
      </c>
      <c r="F64" s="2">
        <v>177.5</v>
      </c>
      <c r="G64">
        <f t="shared" si="27"/>
        <v>186.375</v>
      </c>
      <c r="H64">
        <f t="shared" si="28"/>
        <v>195.69374999999999</v>
      </c>
      <c r="I64">
        <f t="shared" si="29"/>
        <v>205.47843750000001</v>
      </c>
      <c r="J64">
        <f t="shared" si="30"/>
        <v>215.75235937500003</v>
      </c>
      <c r="K64" s="346">
        <f t="shared" si="31"/>
        <v>226.53997734375002</v>
      </c>
    </row>
    <row r="65" spans="1:14">
      <c r="A65" s="391"/>
      <c r="B65" s="2"/>
      <c r="C65" s="392">
        <f>(C64-B64)/B64</f>
        <v>0.2567626862135387</v>
      </c>
      <c r="D65" s="392">
        <f>(D64-C64)/C64</f>
        <v>-4.2257248974447485E-2</v>
      </c>
      <c r="E65" s="392">
        <f t="shared" ref="E65:F65" si="35">(E64-D64)/D64</f>
        <v>0.1641359363702096</v>
      </c>
      <c r="F65" s="392">
        <f t="shared" si="35"/>
        <v>0.10248447204968944</v>
      </c>
      <c r="G65" s="381">
        <v>0.05</v>
      </c>
      <c r="H65" s="381">
        <v>0.05</v>
      </c>
      <c r="I65" s="381">
        <v>0.05</v>
      </c>
      <c r="J65" s="381">
        <v>0.05</v>
      </c>
      <c r="K65" s="382">
        <v>0.05</v>
      </c>
      <c r="N65" t="s">
        <v>100</v>
      </c>
    </row>
    <row r="66" spans="1:14">
      <c r="A66" s="391" t="s">
        <v>80</v>
      </c>
      <c r="B66" s="2">
        <v>39.799999999999997</v>
      </c>
      <c r="C66" s="2">
        <f>44.2*'change in segment '!I15</f>
        <v>45.95050174262991</v>
      </c>
      <c r="D66" s="2">
        <v>66.2</v>
      </c>
      <c r="E66" s="2">
        <v>77.8</v>
      </c>
      <c r="F66" s="2">
        <v>84.5</v>
      </c>
      <c r="G66">
        <f t="shared" si="27"/>
        <v>89.992499999999993</v>
      </c>
      <c r="H66">
        <f t="shared" si="28"/>
        <v>95.842012499999981</v>
      </c>
      <c r="I66">
        <f t="shared" si="29"/>
        <v>102.07174331249998</v>
      </c>
      <c r="J66">
        <f t="shared" si="30"/>
        <v>108.70640662781247</v>
      </c>
      <c r="K66" s="346">
        <f t="shared" si="31"/>
        <v>115.77232305862027</v>
      </c>
    </row>
    <row r="67" spans="1:14">
      <c r="A67" s="391"/>
      <c r="B67" s="2"/>
      <c r="C67" s="392">
        <f>(C66-B66)/B66</f>
        <v>0.15453521966406819</v>
      </c>
      <c r="D67" s="392">
        <f t="shared" ref="D67:F67" si="36">(D66-C66)/C66</f>
        <v>0.44068067789092091</v>
      </c>
      <c r="E67" s="392">
        <f t="shared" si="36"/>
        <v>0.17522658610271893</v>
      </c>
      <c r="F67" s="392">
        <f t="shared" si="36"/>
        <v>8.6118251928020612E-2</v>
      </c>
      <c r="G67" s="381">
        <v>6.5000000000000002E-2</v>
      </c>
      <c r="H67" s="381">
        <v>6.5000000000000002E-2</v>
      </c>
      <c r="I67" s="381">
        <v>6.5000000000000002E-2</v>
      </c>
      <c r="J67" s="381">
        <v>6.5000000000000002E-2</v>
      </c>
      <c r="K67" s="382">
        <v>6.5000000000000002E-2</v>
      </c>
      <c r="N67" t="s">
        <v>101</v>
      </c>
    </row>
    <row r="68" spans="1:14">
      <c r="A68" s="391" t="s">
        <v>81</v>
      </c>
      <c r="B68" s="2">
        <v>155.6</v>
      </c>
      <c r="C68" s="2">
        <f>163.5*'change in segment '!I19</f>
        <v>162.34466374269007</v>
      </c>
      <c r="D68" s="2">
        <v>205</v>
      </c>
      <c r="E68" s="2">
        <v>231</v>
      </c>
      <c r="F68" s="2">
        <v>249.4</v>
      </c>
      <c r="G68">
        <f t="shared" si="27"/>
        <v>259.37600000000003</v>
      </c>
      <c r="H68">
        <f t="shared" si="28"/>
        <v>269.75104000000005</v>
      </c>
      <c r="I68">
        <f t="shared" si="29"/>
        <v>280.54108160000004</v>
      </c>
      <c r="J68">
        <f t="shared" si="30"/>
        <v>291.76272486400006</v>
      </c>
      <c r="K68" s="346">
        <f t="shared" si="31"/>
        <v>303.43323385856007</v>
      </c>
    </row>
    <row r="69" spans="1:14">
      <c r="A69" s="391"/>
      <c r="B69" s="2"/>
      <c r="C69" s="392">
        <f>(C68-B68)/B68</f>
        <v>4.3346168012147038E-2</v>
      </c>
      <c r="D69" s="392">
        <f t="shared" ref="D69:E69" si="37">(D68-C68)/C68</f>
        <v>0.26274553948331164</v>
      </c>
      <c r="E69" s="392">
        <f t="shared" si="37"/>
        <v>0.12682926829268293</v>
      </c>
      <c r="F69" s="392">
        <f>(F68-E68)/E68</f>
        <v>7.9653679653679685E-2</v>
      </c>
      <c r="G69" s="381">
        <v>0.04</v>
      </c>
      <c r="H69" s="381">
        <v>0.04</v>
      </c>
      <c r="I69" s="381">
        <v>0.04</v>
      </c>
      <c r="J69" s="381">
        <v>0.04</v>
      </c>
      <c r="K69" s="382">
        <v>0.04</v>
      </c>
      <c r="N69" t="s">
        <v>102</v>
      </c>
    </row>
    <row r="70" spans="1:14">
      <c r="A70" s="343" t="s">
        <v>82</v>
      </c>
      <c r="B70" s="397">
        <f t="shared" ref="B70:F70" si="38">SUM(B53,B58,B60,B62,B64,B66,B68)</f>
        <v>3553.2000000000007</v>
      </c>
      <c r="C70" s="397">
        <f t="shared" si="38"/>
        <v>4179.0161029383617</v>
      </c>
      <c r="D70" s="397">
        <f t="shared" si="38"/>
        <v>4432.0999999999995</v>
      </c>
      <c r="E70" s="397">
        <f t="shared" si="38"/>
        <v>4999.2000000000007</v>
      </c>
      <c r="F70" s="397">
        <f t="shared" si="38"/>
        <v>5382.5999999999995</v>
      </c>
      <c r="G70" s="397">
        <f>SUM(G53,G58,G60,G62,G64,G66,G68)</f>
        <v>5649.228000000001</v>
      </c>
      <c r="H70" s="397">
        <f t="shared" ref="H70:K70" si="39">SUM(H53,H58,H60,H62,H64,H66,H68)</f>
        <v>5929.1351950000007</v>
      </c>
      <c r="I70" s="397">
        <f t="shared" si="39"/>
        <v>6222.986583150001</v>
      </c>
      <c r="J70" s="397">
        <f t="shared" si="39"/>
        <v>6531.4806545503761</v>
      </c>
      <c r="K70" s="398">
        <f t="shared" si="39"/>
        <v>6855.3510882553992</v>
      </c>
    </row>
    <row r="72" spans="1:14">
      <c r="A72" s="406" t="s">
        <v>85</v>
      </c>
      <c r="B72" s="371"/>
      <c r="C72" s="371"/>
      <c r="D72" s="371"/>
      <c r="E72" s="371"/>
      <c r="F72" s="371"/>
      <c r="G72" s="371"/>
      <c r="H72" s="371"/>
      <c r="I72" s="371"/>
      <c r="J72" s="371"/>
      <c r="K72" s="372"/>
    </row>
    <row r="73" spans="1:14">
      <c r="A73" s="403" t="s">
        <v>74</v>
      </c>
      <c r="B73" s="356">
        <v>2020</v>
      </c>
      <c r="C73" s="356">
        <v>2021</v>
      </c>
      <c r="D73" s="356">
        <v>2022</v>
      </c>
      <c r="E73" s="356">
        <v>2023</v>
      </c>
      <c r="F73" s="356">
        <v>2024</v>
      </c>
      <c r="G73" s="356">
        <v>2025</v>
      </c>
      <c r="H73" s="356">
        <v>2026</v>
      </c>
      <c r="I73" s="356">
        <v>2027</v>
      </c>
      <c r="J73" s="356">
        <v>2028</v>
      </c>
      <c r="K73" s="404">
        <v>2029</v>
      </c>
    </row>
    <row r="74" spans="1:14">
      <c r="A74" s="391" t="s">
        <v>75</v>
      </c>
      <c r="B74" s="2">
        <v>432.6</v>
      </c>
      <c r="C74" s="2">
        <v>442.3</v>
      </c>
      <c r="D74" s="2">
        <v>600.70000000000005</v>
      </c>
      <c r="E74" s="2">
        <v>633.6</v>
      </c>
      <c r="F74" s="2">
        <v>465.8</v>
      </c>
      <c r="G74">
        <f>F74*(1+G75)</f>
        <v>489.09000000000003</v>
      </c>
      <c r="H74">
        <f t="shared" ref="H74" si="40">G74*(1+H75)</f>
        <v>513.54450000000008</v>
      </c>
      <c r="I74">
        <f t="shared" ref="I74" si="41">H74*(1+I75)</f>
        <v>536.65400250000005</v>
      </c>
      <c r="J74">
        <f t="shared" ref="J74" si="42">I74*(1+J75)</f>
        <v>560.80343261250005</v>
      </c>
      <c r="K74" s="346">
        <f t="shared" ref="K74" si="43">J74*(1+K75)</f>
        <v>586.03958708006246</v>
      </c>
    </row>
    <row r="75" spans="1:14">
      <c r="A75" s="391"/>
      <c r="B75" s="2"/>
      <c r="C75" s="392">
        <f>(C74-B74)/B74</f>
        <v>2.2422561257512685E-2</v>
      </c>
      <c r="D75" s="392">
        <f t="shared" ref="D75" si="44">(D74-C74)/C74</f>
        <v>0.35812796744291214</v>
      </c>
      <c r="E75" s="392">
        <f t="shared" ref="E75" si="45">(E74-D74)/D74</f>
        <v>5.4769435658398494E-2</v>
      </c>
      <c r="F75" s="392">
        <f t="shared" ref="F75" si="46">(F74-E74)/E74</f>
        <v>-0.26483585858585862</v>
      </c>
      <c r="G75" s="381">
        <v>0.05</v>
      </c>
      <c r="H75" s="381">
        <v>0.05</v>
      </c>
      <c r="I75" s="381">
        <v>4.4999999999999998E-2</v>
      </c>
      <c r="J75" s="381">
        <v>4.4999999999999998E-2</v>
      </c>
      <c r="K75" s="382">
        <v>4.4999999999999998E-2</v>
      </c>
      <c r="N75" t="s">
        <v>104</v>
      </c>
    </row>
    <row r="76" spans="1:14">
      <c r="A76" s="391" t="s">
        <v>76</v>
      </c>
      <c r="B76" s="2">
        <v>643.6</v>
      </c>
      <c r="C76" s="2">
        <v>647.20000000000005</v>
      </c>
      <c r="D76" s="2">
        <v>675.6</v>
      </c>
      <c r="E76" s="2">
        <v>719.2</v>
      </c>
      <c r="F76" s="2">
        <v>705.5</v>
      </c>
      <c r="G76">
        <f>F76*(1+G77)</f>
        <v>737.24749999999995</v>
      </c>
      <c r="H76">
        <f t="shared" ref="H76" si="47">G76*(1+H77)</f>
        <v>770.42363749999993</v>
      </c>
      <c r="I76">
        <f t="shared" ref="I76" si="48">H76*(1+I77)</f>
        <v>801.2405829999999</v>
      </c>
      <c r="J76">
        <f t="shared" ref="J76" si="49">I76*(1+J77)</f>
        <v>833.29020631999992</v>
      </c>
      <c r="K76" s="346">
        <f t="shared" ref="K76" si="50">J76*(1+K77)</f>
        <v>866.62181457279996</v>
      </c>
    </row>
    <row r="77" spans="1:14">
      <c r="A77" s="391"/>
      <c r="B77" s="2"/>
      <c r="C77" s="392">
        <f>(C76-B76)/B76</f>
        <v>5.5935363579863624E-3</v>
      </c>
      <c r="D77" s="392">
        <f t="shared" ref="D77" si="51">(D76-C76)/C76</f>
        <v>4.3881334981458554E-2</v>
      </c>
      <c r="E77" s="392">
        <f t="shared" ref="E77" si="52">(E76-D76)/D76</f>
        <v>6.4535227945529933E-2</v>
      </c>
      <c r="F77" s="392">
        <f t="shared" ref="F77" si="53">(F76-E76)/E76</f>
        <v>-1.9048943270300395E-2</v>
      </c>
      <c r="G77" s="381">
        <v>4.4999999999999998E-2</v>
      </c>
      <c r="H77" s="381">
        <v>4.4999999999999998E-2</v>
      </c>
      <c r="I77" s="381">
        <v>0.04</v>
      </c>
      <c r="J77" s="381">
        <v>0.04</v>
      </c>
      <c r="K77" s="382">
        <v>0.04</v>
      </c>
      <c r="N77" t="s">
        <v>105</v>
      </c>
    </row>
    <row r="78" spans="1:14">
      <c r="A78" s="391" t="s">
        <v>77</v>
      </c>
      <c r="B78" s="2">
        <v>69.8</v>
      </c>
      <c r="C78" s="2">
        <v>59.6</v>
      </c>
      <c r="D78" s="2">
        <v>100.4</v>
      </c>
      <c r="E78" s="2">
        <v>103.9</v>
      </c>
      <c r="F78" s="2">
        <v>111.3</v>
      </c>
      <c r="G78">
        <f>F78*(1+G79)</f>
        <v>117.97800000000001</v>
      </c>
      <c r="H78">
        <f t="shared" ref="H78" si="54">G78*(1+H79)</f>
        <v>125.05668000000001</v>
      </c>
      <c r="I78">
        <f t="shared" ref="I78" si="55">H78*(1+I79)</f>
        <v>131.30951400000001</v>
      </c>
      <c r="J78">
        <f t="shared" ref="J78" si="56">I78*(1+J79)</f>
        <v>137.87498970000001</v>
      </c>
      <c r="K78" s="346">
        <f t="shared" ref="K78" si="57">J78*(1+K79)</f>
        <v>144.76873918500002</v>
      </c>
    </row>
    <row r="79" spans="1:14">
      <c r="A79" s="391"/>
      <c r="B79" s="2"/>
      <c r="C79" s="392">
        <f>(C78-B78)/B78</f>
        <v>-0.14613180515759308</v>
      </c>
      <c r="D79" s="392">
        <f t="shared" ref="D79" si="58">(D78-C78)/C78</f>
        <v>0.68456375838926176</v>
      </c>
      <c r="E79" s="392">
        <f t="shared" ref="E79" si="59">(E78-D78)/D78</f>
        <v>3.48605577689243E-2</v>
      </c>
      <c r="F79" s="392">
        <f t="shared" ref="F79" si="60">(F78-E78)/E78</f>
        <v>7.122232916265632E-2</v>
      </c>
      <c r="G79" s="381">
        <v>0.06</v>
      </c>
      <c r="H79" s="381">
        <v>0.06</v>
      </c>
      <c r="I79" s="381">
        <v>0.05</v>
      </c>
      <c r="J79" s="381">
        <v>0.05</v>
      </c>
      <c r="K79" s="382">
        <v>0.05</v>
      </c>
      <c r="N79" t="s">
        <v>106</v>
      </c>
    </row>
    <row r="80" spans="1:14">
      <c r="A80" s="391" t="s">
        <v>78</v>
      </c>
      <c r="B80" s="2">
        <v>6.1</v>
      </c>
      <c r="C80" s="2">
        <v>1.8</v>
      </c>
      <c r="D80" s="2">
        <v>32.9</v>
      </c>
      <c r="E80" s="2">
        <v>35.5</v>
      </c>
      <c r="F80" s="2">
        <v>29.1</v>
      </c>
      <c r="G80">
        <f>F80*(1+G81)</f>
        <v>30.264000000000003</v>
      </c>
      <c r="H80">
        <f t="shared" ref="H80" si="61">G80*(1+H81)</f>
        <v>31.474560000000004</v>
      </c>
      <c r="I80">
        <f t="shared" ref="I80" si="62">H80*(1+I81)</f>
        <v>32.733542400000005</v>
      </c>
      <c r="J80">
        <f t="shared" ref="J80" si="63">I80*(1+J81)</f>
        <v>34.042884096000009</v>
      </c>
      <c r="K80" s="346">
        <f t="shared" ref="K80" si="64">J80*(1+K81)</f>
        <v>35.404599459840007</v>
      </c>
    </row>
    <row r="81" spans="1:14">
      <c r="A81" s="391"/>
      <c r="B81" s="2"/>
      <c r="C81" s="392">
        <f>(C80-B80)/B80</f>
        <v>-0.70491803278688525</v>
      </c>
      <c r="D81" s="392">
        <f t="shared" ref="D81" si="65">(D80-C80)/C80</f>
        <v>17.277777777777775</v>
      </c>
      <c r="E81" s="392">
        <f t="shared" ref="E81" si="66">(E80-D80)/D80</f>
        <v>7.9027355623100357E-2</v>
      </c>
      <c r="F81" s="392">
        <f t="shared" ref="F81" si="67">(F80-E80)/E80</f>
        <v>-0.18028169014084502</v>
      </c>
      <c r="G81" s="381">
        <v>0.04</v>
      </c>
      <c r="H81" s="381">
        <v>0.04</v>
      </c>
      <c r="I81" s="381">
        <v>0.04</v>
      </c>
      <c r="J81" s="381">
        <v>0.04</v>
      </c>
      <c r="K81" s="382">
        <v>0.04</v>
      </c>
      <c r="N81" t="s">
        <v>103</v>
      </c>
    </row>
    <row r="82" spans="1:14">
      <c r="A82" s="391" t="s">
        <v>79</v>
      </c>
      <c r="B82" s="2">
        <v>3.6</v>
      </c>
      <c r="C82" s="2">
        <v>6.3</v>
      </c>
      <c r="D82" s="2">
        <v>65.599999999999994</v>
      </c>
      <c r="E82" s="2">
        <v>56.4</v>
      </c>
      <c r="F82" s="2">
        <v>59</v>
      </c>
      <c r="G82">
        <f>F82*(1+G83)</f>
        <v>62.834999999999994</v>
      </c>
      <c r="H82">
        <f t="shared" ref="H82" si="68">G82*(1+H83)</f>
        <v>66.919274999999985</v>
      </c>
      <c r="I82">
        <f t="shared" ref="I82" si="69">H82*(1+I83)</f>
        <v>70.934431499999988</v>
      </c>
      <c r="J82">
        <f t="shared" ref="J82" si="70">I82*(1+J83)</f>
        <v>75.19049738999999</v>
      </c>
      <c r="K82" s="346">
        <f t="shared" ref="K82" si="71">J82*(1+K83)</f>
        <v>79.701927233399999</v>
      </c>
    </row>
    <row r="83" spans="1:14">
      <c r="A83" s="391"/>
      <c r="B83" s="2"/>
      <c r="C83" s="392">
        <f>(C82-B82)/B82</f>
        <v>0.74999999999999989</v>
      </c>
      <c r="D83" s="392">
        <f t="shared" ref="D83" si="72">(D82-C82)/C82</f>
        <v>9.412698412698413</v>
      </c>
      <c r="E83" s="392">
        <f t="shared" ref="E83" si="73">(E82-D82)/D82</f>
        <v>-0.14024390243902435</v>
      </c>
      <c r="F83" s="392">
        <f t="shared" ref="F83" si="74">(F82-E82)/E82</f>
        <v>4.6099290780141869E-2</v>
      </c>
      <c r="G83" s="381">
        <v>6.5000000000000002E-2</v>
      </c>
      <c r="H83" s="381">
        <v>6.5000000000000002E-2</v>
      </c>
      <c r="I83" s="381">
        <v>0.06</v>
      </c>
      <c r="J83" s="381">
        <v>0.06</v>
      </c>
      <c r="K83" s="382">
        <v>0.06</v>
      </c>
      <c r="N83" t="s">
        <v>107</v>
      </c>
    </row>
    <row r="84" spans="1:14">
      <c r="A84" s="391" t="s">
        <v>80</v>
      </c>
      <c r="B84" s="2">
        <v>19.8</v>
      </c>
      <c r="C84" s="2">
        <v>18.100000000000001</v>
      </c>
      <c r="D84" s="2">
        <v>29</v>
      </c>
      <c r="E84" s="2">
        <v>29.6</v>
      </c>
      <c r="F84" s="2">
        <v>40.6</v>
      </c>
      <c r="G84">
        <f>F84*(1+G85)</f>
        <v>43.848000000000006</v>
      </c>
      <c r="H84">
        <f t="shared" ref="H84" si="75">G84*(1+H85)</f>
        <v>47.355840000000008</v>
      </c>
      <c r="I84">
        <f t="shared" ref="I84" si="76">H84*(1+I85)</f>
        <v>50.670748800000013</v>
      </c>
      <c r="J84">
        <f t="shared" ref="J84" si="77">I84*(1+J85)</f>
        <v>54.217701216000016</v>
      </c>
      <c r="K84" s="346">
        <f t="shared" ref="K84" si="78">J84*(1+K85)</f>
        <v>58.012940301120018</v>
      </c>
    </row>
    <row r="85" spans="1:14">
      <c r="A85" s="391"/>
      <c r="B85" s="2"/>
      <c r="C85" s="392">
        <f>(C84-B84)/B84</f>
        <v>-8.5858585858585815E-2</v>
      </c>
      <c r="D85" s="392">
        <f t="shared" ref="D85" si="79">(D84-C84)/C84</f>
        <v>0.60220994475138112</v>
      </c>
      <c r="E85" s="392">
        <f t="shared" ref="E85" si="80">(E84-D84)/D84</f>
        <v>2.0689655172413841E-2</v>
      </c>
      <c r="F85" s="392">
        <f t="shared" ref="F85" si="81">(F84-E84)/E84</f>
        <v>0.3716216216216216</v>
      </c>
      <c r="G85" s="381">
        <v>0.08</v>
      </c>
      <c r="H85" s="381">
        <v>0.08</v>
      </c>
      <c r="I85" s="381">
        <v>7.0000000000000007E-2</v>
      </c>
      <c r="J85" s="381">
        <v>7.0000000000000007E-2</v>
      </c>
      <c r="K85" s="382">
        <v>7.0000000000000007E-2</v>
      </c>
      <c r="N85" t="s">
        <v>108</v>
      </c>
    </row>
    <row r="86" spans="1:14">
      <c r="A86" s="391" t="s">
        <v>81</v>
      </c>
      <c r="B86" s="2">
        <v>6.4</v>
      </c>
      <c r="C86" s="2">
        <v>6.3</v>
      </c>
      <c r="D86" s="2">
        <v>6.3</v>
      </c>
      <c r="E86" s="2">
        <v>7.8</v>
      </c>
      <c r="F86" s="2">
        <v>7.5</v>
      </c>
      <c r="G86">
        <f>F86*(1+G87)</f>
        <v>7.8000000000000007</v>
      </c>
      <c r="H86">
        <f t="shared" ref="H86" si="82">G86*(1+H87)</f>
        <v>8.1120000000000019</v>
      </c>
      <c r="I86">
        <f t="shared" ref="I86" si="83">H86*(1+I87)</f>
        <v>8.3553600000000028</v>
      </c>
      <c r="J86">
        <f t="shared" ref="J86" si="84">I86*(1+J87)</f>
        <v>8.6060208000000031</v>
      </c>
      <c r="K86" s="346">
        <f t="shared" ref="K86" si="85">J86*(1+K87)</f>
        <v>8.8642014240000027</v>
      </c>
    </row>
    <row r="87" spans="1:14">
      <c r="A87" s="391"/>
      <c r="B87" s="2"/>
      <c r="C87" s="392">
        <f>(C86-B86)/B86</f>
        <v>-1.5625000000000083E-2</v>
      </c>
      <c r="D87" s="392">
        <f t="shared" ref="D87" si="86">(D86-C86)/C86</f>
        <v>0</v>
      </c>
      <c r="E87" s="392">
        <f t="shared" ref="E87" si="87">(E86-D86)/D86</f>
        <v>0.23809523809523811</v>
      </c>
      <c r="F87" s="392">
        <f t="shared" ref="F87" si="88">(F86-E86)/E86</f>
        <v>-3.8461538461538443E-2</v>
      </c>
      <c r="G87" s="381">
        <v>0.04</v>
      </c>
      <c r="H87" s="381">
        <v>0.04</v>
      </c>
      <c r="I87" s="381">
        <v>0.03</v>
      </c>
      <c r="J87" s="381">
        <v>0.03</v>
      </c>
      <c r="K87" s="382">
        <v>0.03</v>
      </c>
      <c r="N87" t="s">
        <v>109</v>
      </c>
    </row>
    <row r="88" spans="1:14">
      <c r="A88" s="343" t="s">
        <v>82</v>
      </c>
      <c r="B88" s="397">
        <f t="shared" ref="B88:F88" si="89">SUM(B74,B76,B78,B80,B82,B84,B86)</f>
        <v>1181.8999999999999</v>
      </c>
      <c r="C88" s="397">
        <f t="shared" si="89"/>
        <v>1181.5999999999997</v>
      </c>
      <c r="D88" s="397">
        <f t="shared" si="89"/>
        <v>1510.5000000000002</v>
      </c>
      <c r="E88" s="397">
        <f t="shared" si="89"/>
        <v>1586.0000000000002</v>
      </c>
      <c r="F88" s="397">
        <f t="shared" si="89"/>
        <v>1418.7999999999997</v>
      </c>
      <c r="G88" s="397">
        <f>SUM(G74,G76,G78,G80,G82,G84,G86)</f>
        <v>1489.0625</v>
      </c>
      <c r="H88" s="397">
        <f t="shared" ref="H88:K88" si="90">SUM(H74,H76,H78,H80,H82,H84,H86)</f>
        <v>1562.8864925</v>
      </c>
      <c r="I88" s="397">
        <f t="shared" si="90"/>
        <v>1631.8981822000001</v>
      </c>
      <c r="J88" s="397">
        <f t="shared" si="90"/>
        <v>1704.0257321345</v>
      </c>
      <c r="K88" s="398">
        <f t="shared" si="90"/>
        <v>1779.4138092562225</v>
      </c>
    </row>
    <row r="90" spans="1:14">
      <c r="A90" s="406" t="s">
        <v>84</v>
      </c>
      <c r="B90" s="371"/>
      <c r="C90" s="371"/>
      <c r="D90" s="371"/>
      <c r="E90" s="371"/>
      <c r="F90" s="371"/>
      <c r="G90" s="371"/>
      <c r="H90" s="371"/>
      <c r="I90" s="371"/>
      <c r="J90" s="371"/>
      <c r="K90" s="372"/>
    </row>
    <row r="91" spans="1:14">
      <c r="A91" s="403" t="s">
        <v>74</v>
      </c>
      <c r="B91" s="356">
        <v>2020</v>
      </c>
      <c r="C91" s="356">
        <v>2021</v>
      </c>
      <c r="D91" s="356">
        <v>2022</v>
      </c>
      <c r="E91" s="356">
        <v>2023</v>
      </c>
      <c r="F91" s="356">
        <v>2024</v>
      </c>
      <c r="G91" s="356">
        <v>2025</v>
      </c>
      <c r="H91" s="356">
        <v>2026</v>
      </c>
      <c r="I91" s="356">
        <v>2027</v>
      </c>
      <c r="J91" s="356">
        <v>2028</v>
      </c>
      <c r="K91" s="404">
        <v>2029</v>
      </c>
    </row>
    <row r="92" spans="1:14">
      <c r="A92" s="391" t="s">
        <v>75</v>
      </c>
      <c r="B92" s="2">
        <f>645.7*'change in segment '!I26</f>
        <v>520.85949407547912</v>
      </c>
      <c r="C92" s="2">
        <f>719.9*'change in segment '!I26</f>
        <v>580.71356633876007</v>
      </c>
      <c r="D92" s="2">
        <v>650.29999999999995</v>
      </c>
      <c r="E92" s="2">
        <v>733.6</v>
      </c>
      <c r="F92" s="2">
        <v>805.6</v>
      </c>
      <c r="G92">
        <f>F92*(1+G93)</f>
        <v>845.88000000000011</v>
      </c>
      <c r="H92">
        <f t="shared" ref="H92" si="91">G92*(1+H93)</f>
        <v>888.17400000000021</v>
      </c>
      <c r="I92">
        <f t="shared" ref="I92" si="92">H92*(1+I93)</f>
        <v>932.58270000000027</v>
      </c>
      <c r="J92">
        <f t="shared" ref="J92" si="93">I92*(1+J93)</f>
        <v>979.21183500000029</v>
      </c>
      <c r="K92" s="346">
        <f t="shared" ref="K92" si="94">J92*(1+K93)</f>
        <v>1028.1724267500003</v>
      </c>
    </row>
    <row r="93" spans="1:14">
      <c r="A93" s="391"/>
      <c r="B93" s="2"/>
      <c r="C93" s="392">
        <f>(C92-B92)/B92</f>
        <v>0.11491404677094615</v>
      </c>
      <c r="D93" s="392">
        <f t="shared" ref="D93" si="95">(D92-C92)/C92</f>
        <v>0.11982918549666968</v>
      </c>
      <c r="E93" s="392">
        <f t="shared" ref="E93" si="96">(E92-D92)/D92</f>
        <v>0.12809472551130258</v>
      </c>
      <c r="F93" s="392">
        <f t="shared" ref="F93" si="97">(F92-E92)/E92</f>
        <v>9.8146128680479824E-2</v>
      </c>
      <c r="G93" s="381">
        <v>0.05</v>
      </c>
      <c r="H93" s="381">
        <v>0.05</v>
      </c>
      <c r="I93" s="381">
        <v>0.05</v>
      </c>
      <c r="J93" s="381">
        <v>0.05</v>
      </c>
      <c r="K93" s="382">
        <v>0.05</v>
      </c>
      <c r="N93" t="s">
        <v>111</v>
      </c>
    </row>
    <row r="94" spans="1:14">
      <c r="A94" s="391" t="s">
        <v>76</v>
      </c>
      <c r="B94" s="2">
        <f>228.8*'change in segment '!I28</f>
        <v>129.73855323439759</v>
      </c>
      <c r="C94" s="2">
        <f>264.9*'change in segment '!I28</f>
        <v>150.20866587321643</v>
      </c>
      <c r="D94" s="2">
        <v>154.69999999999999</v>
      </c>
      <c r="E94" s="2">
        <v>171</v>
      </c>
      <c r="F94" s="2">
        <v>187.5</v>
      </c>
      <c r="G94">
        <f>F94*(1+G95)</f>
        <v>195</v>
      </c>
      <c r="H94">
        <f t="shared" ref="H94" si="98">G94*(1+H95)</f>
        <v>202.8</v>
      </c>
      <c r="I94">
        <f t="shared" ref="I94" si="99">H94*(1+I95)</f>
        <v>210.91200000000001</v>
      </c>
      <c r="J94">
        <f t="shared" ref="J94" si="100">I94*(1+J95)</f>
        <v>219.34848000000002</v>
      </c>
      <c r="K94" s="346">
        <f t="shared" ref="K94" si="101">J94*(1+K95)</f>
        <v>228.12241920000002</v>
      </c>
    </row>
    <row r="95" spans="1:14">
      <c r="A95" s="391"/>
      <c r="B95" s="2"/>
      <c r="C95" s="392">
        <f>(C94-B94)/B94</f>
        <v>0.15777972027972026</v>
      </c>
      <c r="D95" s="392">
        <f t="shared" ref="D95" si="102">(D94-C94)/C94</f>
        <v>2.9900632567860401E-2</v>
      </c>
      <c r="E95" s="392">
        <f t="shared" ref="E95" si="103">(E94-D94)/D94</f>
        <v>0.10536522301228192</v>
      </c>
      <c r="F95" s="392">
        <f t="shared" ref="F95" si="104">(F94-E94)/E94</f>
        <v>9.6491228070175433E-2</v>
      </c>
      <c r="G95" s="381">
        <v>0.04</v>
      </c>
      <c r="H95" s="381">
        <v>0.04</v>
      </c>
      <c r="I95" s="381">
        <v>0.04</v>
      </c>
      <c r="J95" s="381">
        <v>0.04</v>
      </c>
      <c r="K95" s="382">
        <v>0.04</v>
      </c>
      <c r="N95" t="s">
        <v>112</v>
      </c>
    </row>
    <row r="96" spans="1:14">
      <c r="A96" s="391" t="s">
        <v>77</v>
      </c>
      <c r="B96" s="2">
        <f>64.8*'change in segment '!I30</f>
        <v>22.703726332761711</v>
      </c>
      <c r="C96" s="2">
        <f>72.4*'change in segment '!I30</f>
        <v>25.366509050801671</v>
      </c>
      <c r="D96" s="2">
        <v>27.9</v>
      </c>
      <c r="E96" s="2">
        <v>28.7</v>
      </c>
      <c r="F96" s="2">
        <v>32.1</v>
      </c>
      <c r="G96">
        <f>F96*(1+G97)</f>
        <v>34.026000000000003</v>
      </c>
      <c r="H96">
        <f t="shared" ref="H96" si="105">G96*(1+H97)</f>
        <v>36.067560000000007</v>
      </c>
      <c r="I96">
        <f t="shared" ref="I96" si="106">H96*(1+I97)</f>
        <v>38.23161360000001</v>
      </c>
      <c r="J96">
        <f t="shared" ref="J96" si="107">I96*(1+J97)</f>
        <v>40.52551041600001</v>
      </c>
      <c r="K96" s="346">
        <f t="shared" ref="K96" si="108">J96*(1+K97)</f>
        <v>42.957041040960014</v>
      </c>
    </row>
    <row r="97" spans="1:14">
      <c r="A97" s="391"/>
      <c r="B97" s="2"/>
      <c r="C97" s="392">
        <f>(C96-B96)/B96</f>
        <v>0.11728395061728422</v>
      </c>
      <c r="D97" s="392">
        <f t="shared" ref="D97" si="109">(D96-C96)/C96</f>
        <v>9.987542803483479E-2</v>
      </c>
      <c r="E97" s="392">
        <f t="shared" ref="E97" si="110">(E96-D96)/D96</f>
        <v>2.8673835125448056E-2</v>
      </c>
      <c r="F97" s="392">
        <f t="shared" ref="F97" si="111">(F96-E96)/E96</f>
        <v>0.11846689895470391</v>
      </c>
      <c r="G97" s="381">
        <v>0.06</v>
      </c>
      <c r="H97" s="381">
        <v>0.06</v>
      </c>
      <c r="I97" s="381">
        <v>0.06</v>
      </c>
      <c r="J97" s="381">
        <v>0.06</v>
      </c>
      <c r="K97" s="382">
        <v>0.06</v>
      </c>
      <c r="N97" t="s">
        <v>113</v>
      </c>
    </row>
    <row r="98" spans="1:14">
      <c r="A98" s="391" t="s">
        <v>78</v>
      </c>
      <c r="B98" s="2">
        <f>50.3*'change in segment '!I32</f>
        <v>50.207878231374437</v>
      </c>
      <c r="C98" s="2">
        <f>50.4*'change in segment '!I32</f>
        <v>50.307695086705202</v>
      </c>
      <c r="D98" s="2">
        <v>51.8</v>
      </c>
      <c r="E98" s="2">
        <v>57.5</v>
      </c>
      <c r="F98" s="2">
        <v>58.7</v>
      </c>
      <c r="G98">
        <f>F98*(1+G99)</f>
        <v>61.341499999999996</v>
      </c>
      <c r="H98">
        <f t="shared" ref="H98" si="112">G98*(1+H99)</f>
        <v>64.101867499999997</v>
      </c>
      <c r="I98">
        <f t="shared" ref="I98" si="113">H98*(1+I99)</f>
        <v>66.986451537499988</v>
      </c>
      <c r="J98">
        <f t="shared" ref="J98" si="114">I98*(1+J99)</f>
        <v>70.000841856687487</v>
      </c>
      <c r="K98" s="346">
        <f t="shared" ref="K98" si="115">J98*(1+K99)</f>
        <v>73.150879740238423</v>
      </c>
    </row>
    <row r="99" spans="1:14">
      <c r="A99" s="391"/>
      <c r="B99" s="2"/>
      <c r="C99" s="392">
        <f>(C98-B98)/B98</f>
        <v>1.9880715705765553E-3</v>
      </c>
      <c r="D99" s="392">
        <f t="shared" ref="D99" si="116">(D98-C98)/C98</f>
        <v>2.9663551683749591E-2</v>
      </c>
      <c r="E99" s="392">
        <f t="shared" ref="E99" si="117">(E98-D98)/D98</f>
        <v>0.1100386100386101</v>
      </c>
      <c r="F99" s="392">
        <f t="shared" ref="F99" si="118">(F98-E98)/E98</f>
        <v>2.0869565217391355E-2</v>
      </c>
      <c r="G99" s="381">
        <v>4.4999999999999998E-2</v>
      </c>
      <c r="H99" s="381">
        <v>4.4999999999999998E-2</v>
      </c>
      <c r="I99" s="381">
        <v>4.4999999999999998E-2</v>
      </c>
      <c r="J99" s="381">
        <v>4.4999999999999998E-2</v>
      </c>
      <c r="K99" s="382">
        <v>4.4999999999999998E-2</v>
      </c>
      <c r="N99" t="s">
        <v>114</v>
      </c>
    </row>
    <row r="100" spans="1:14">
      <c r="A100" s="391" t="s">
        <v>79</v>
      </c>
      <c r="B100" s="2">
        <f>63.4*'change in segment '!I36</f>
        <v>50.550563654033041</v>
      </c>
      <c r="C100" s="2">
        <f>80*'change in segment '!I36</f>
        <v>63.786200194363467</v>
      </c>
      <c r="D100" s="2">
        <v>56.8</v>
      </c>
      <c r="E100" s="2">
        <v>57.4</v>
      </c>
      <c r="F100" s="2">
        <v>60</v>
      </c>
      <c r="G100">
        <f>F100*(1+G101)</f>
        <v>63</v>
      </c>
      <c r="H100">
        <f t="shared" ref="H100" si="119">G100*(1+H101)</f>
        <v>66.150000000000006</v>
      </c>
      <c r="I100">
        <f t="shared" ref="I100" si="120">H100*(1+I101)</f>
        <v>69.45750000000001</v>
      </c>
      <c r="J100">
        <f t="shared" ref="J100" si="121">I100*(1+J101)</f>
        <v>72.930375000000012</v>
      </c>
      <c r="K100" s="346">
        <f t="shared" ref="K100" si="122">J100*(1+K101)</f>
        <v>76.576893750000011</v>
      </c>
    </row>
    <row r="101" spans="1:14">
      <c r="A101" s="391"/>
      <c r="B101" s="2"/>
      <c r="C101" s="392">
        <f>(C100-B100)/B100</f>
        <v>0.26182965299684557</v>
      </c>
      <c r="D101" s="392">
        <f t="shared" ref="D101" si="123">(D100-C100)/C100</f>
        <v>-0.10952526052775929</v>
      </c>
      <c r="E101" s="392">
        <f t="shared" ref="E101" si="124">(E100-D100)/D100</f>
        <v>1.0563380281690167E-2</v>
      </c>
      <c r="F101" s="392">
        <f t="shared" ref="F101" si="125">(F100-E100)/E100</f>
        <v>4.5296167247386783E-2</v>
      </c>
      <c r="G101" s="381">
        <v>0.05</v>
      </c>
      <c r="H101" s="381">
        <v>0.05</v>
      </c>
      <c r="I101" s="381">
        <v>0.05</v>
      </c>
      <c r="J101" s="381">
        <v>0.05</v>
      </c>
      <c r="K101" s="382">
        <v>0.05</v>
      </c>
      <c r="N101" t="s">
        <v>115</v>
      </c>
    </row>
    <row r="102" spans="1:14">
      <c r="A102" s="391" t="s">
        <v>80</v>
      </c>
      <c r="B102" s="2">
        <f>14.4*'change in segment '!I34</f>
        <v>11.634390257590212</v>
      </c>
      <c r="C102" s="2">
        <f>11.6*'change in segment '!I34</f>
        <v>9.3721477075032258</v>
      </c>
      <c r="D102" s="2">
        <v>8.1</v>
      </c>
      <c r="E102" s="2">
        <v>6.9</v>
      </c>
      <c r="F102" s="2">
        <v>7.1</v>
      </c>
      <c r="G102">
        <f>F102*(1+G103)</f>
        <v>7.490499999999999</v>
      </c>
      <c r="H102">
        <f t="shared" ref="H102" si="126">G102*(1+H103)</f>
        <v>7.9024774999999989</v>
      </c>
      <c r="I102">
        <f t="shared" ref="I102" si="127">H102*(1+I103)</f>
        <v>8.3371137624999978</v>
      </c>
      <c r="J102">
        <f t="shared" ref="J102" si="128">I102*(1+J103)</f>
        <v>8.7956550194374969</v>
      </c>
      <c r="K102" s="346">
        <f t="shared" ref="K102" si="129">J102*(1+K103)</f>
        <v>9.279416045506558</v>
      </c>
    </row>
    <row r="103" spans="1:14">
      <c r="A103" s="391"/>
      <c r="B103" s="2"/>
      <c r="C103" s="392">
        <f>(C102-B102)/B102</f>
        <v>-0.1944444444444445</v>
      </c>
      <c r="D103" s="392">
        <f t="shared" ref="D103" si="130">(D102-C102)/C102</f>
        <v>-0.13573705272322589</v>
      </c>
      <c r="E103" s="392">
        <f t="shared" ref="E103" si="131">(E102-D102)/D102</f>
        <v>-0.14814814814814806</v>
      </c>
      <c r="F103" s="392">
        <f t="shared" ref="F103" si="132">(F102-E102)/E102</f>
        <v>2.8985507246376708E-2</v>
      </c>
      <c r="G103" s="381">
        <v>5.5E-2</v>
      </c>
      <c r="H103" s="381">
        <v>5.5E-2</v>
      </c>
      <c r="I103" s="381">
        <v>5.5E-2</v>
      </c>
      <c r="J103" s="381">
        <v>5.5E-2</v>
      </c>
      <c r="K103" s="382">
        <v>5.5E-2</v>
      </c>
      <c r="N103" t="s">
        <v>116</v>
      </c>
    </row>
    <row r="104" spans="1:14">
      <c r="A104" s="391" t="s">
        <v>81</v>
      </c>
      <c r="B104" s="2">
        <f>16.9*'change in segment '!I38</f>
        <v>7.9676238738738734</v>
      </c>
      <c r="C104" s="2">
        <f>19.4*'change in segment '!I38</f>
        <v>9.1462664587664584</v>
      </c>
      <c r="D104" s="2">
        <v>9.4</v>
      </c>
      <c r="E104" s="2">
        <v>10.9</v>
      </c>
      <c r="F104" s="2">
        <v>11.8</v>
      </c>
      <c r="G104">
        <f>F104*(1+G105)</f>
        <v>12.212999999999999</v>
      </c>
      <c r="H104">
        <f t="shared" ref="H104" si="133">G104*(1+H105)</f>
        <v>12.640454999999998</v>
      </c>
      <c r="I104">
        <f t="shared" ref="I104" si="134">H104*(1+I105)</f>
        <v>13.082870924999996</v>
      </c>
      <c r="J104">
        <f t="shared" ref="J104" si="135">I104*(1+J105)</f>
        <v>13.540771407374995</v>
      </c>
      <c r="K104" s="346">
        <f t="shared" ref="K104" si="136">J104*(1+K105)</f>
        <v>14.014698406633119</v>
      </c>
    </row>
    <row r="105" spans="1:14">
      <c r="A105" s="391"/>
      <c r="B105" s="2"/>
      <c r="C105" s="392">
        <f>(C104-B104)/B104</f>
        <v>0.14792899408284027</v>
      </c>
      <c r="D105" s="392">
        <f t="shared" ref="D105" si="137">(D104-C104)/C104</f>
        <v>2.7741761338075273E-2</v>
      </c>
      <c r="E105" s="392">
        <f t="shared" ref="E105" si="138">(E104-D104)/D104</f>
        <v>0.15957446808510636</v>
      </c>
      <c r="F105" s="392">
        <f t="shared" ref="F105" si="139">(F104-E104)/E104</f>
        <v>8.2568807339449574E-2</v>
      </c>
      <c r="G105" s="381">
        <v>3.5000000000000003E-2</v>
      </c>
      <c r="H105" s="381">
        <v>3.5000000000000003E-2</v>
      </c>
      <c r="I105" s="381">
        <v>3.5000000000000003E-2</v>
      </c>
      <c r="J105" s="381">
        <v>3.5000000000000003E-2</v>
      </c>
      <c r="K105" s="382">
        <v>3.5000000000000003E-2</v>
      </c>
      <c r="N105" t="s">
        <v>110</v>
      </c>
    </row>
    <row r="106" spans="1:14">
      <c r="A106" s="343" t="s">
        <v>82</v>
      </c>
      <c r="B106" s="410">
        <v>1084.3</v>
      </c>
      <c r="C106" s="410">
        <v>1218.5999999999999</v>
      </c>
      <c r="D106" s="410">
        <v>1326.6</v>
      </c>
      <c r="E106" s="410">
        <v>1066</v>
      </c>
      <c r="F106" s="410">
        <v>1162.8</v>
      </c>
      <c r="G106" s="397">
        <f>SUM(G92,G94,G96,G98,G100,G102,G104)</f>
        <v>1218.9510000000002</v>
      </c>
      <c r="H106" s="397">
        <f t="shared" ref="H106:K106" si="140">SUM(H92,H94,H96,H98,H100,H102,H104)</f>
        <v>1277.8363600000002</v>
      </c>
      <c r="I106" s="397">
        <f t="shared" si="140"/>
        <v>1339.590249825</v>
      </c>
      <c r="J106" s="397">
        <f t="shared" si="140"/>
        <v>1404.3534686995001</v>
      </c>
      <c r="K106" s="398">
        <f t="shared" si="140"/>
        <v>1472.2737749333387</v>
      </c>
    </row>
    <row r="108" spans="1:14">
      <c r="A108" s="406" t="s">
        <v>83</v>
      </c>
      <c r="B108" s="371"/>
      <c r="C108" s="371"/>
      <c r="D108" s="371"/>
      <c r="E108" s="371"/>
      <c r="F108" s="371"/>
      <c r="G108" s="371"/>
      <c r="H108" s="371"/>
      <c r="I108" s="371"/>
      <c r="J108" s="371"/>
      <c r="K108" s="372"/>
    </row>
    <row r="109" spans="1:14">
      <c r="A109" s="403" t="s">
        <v>74</v>
      </c>
      <c r="B109" s="356">
        <v>2020</v>
      </c>
      <c r="C109" s="356">
        <v>2021</v>
      </c>
      <c r="D109" s="356">
        <v>2022</v>
      </c>
      <c r="E109" s="356">
        <v>2023</v>
      </c>
      <c r="F109" s="356">
        <v>2024</v>
      </c>
      <c r="G109" s="356">
        <v>2025</v>
      </c>
      <c r="H109" s="356">
        <v>2026</v>
      </c>
      <c r="I109" s="356">
        <v>2027</v>
      </c>
      <c r="J109" s="356">
        <v>2028</v>
      </c>
      <c r="K109" s="404">
        <v>2029</v>
      </c>
    </row>
    <row r="110" spans="1:14">
      <c r="A110" s="391" t="s">
        <v>75</v>
      </c>
      <c r="B110" s="2">
        <v>75.2</v>
      </c>
      <c r="C110" s="2">
        <v>98.2</v>
      </c>
      <c r="D110" s="2">
        <v>84</v>
      </c>
      <c r="E110" s="2">
        <v>38.4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340">
        <v>0</v>
      </c>
    </row>
    <row r="111" spans="1:14">
      <c r="A111" s="391"/>
      <c r="B111" s="2"/>
      <c r="C111" s="2"/>
      <c r="D111" s="2"/>
      <c r="E111" s="2"/>
      <c r="F111" s="2"/>
      <c r="G111" s="381"/>
      <c r="H111" s="381"/>
      <c r="I111" s="381"/>
      <c r="J111" s="381"/>
      <c r="K111" s="382"/>
      <c r="N111" t="s">
        <v>117</v>
      </c>
    </row>
    <row r="112" spans="1:14">
      <c r="A112" s="391" t="s">
        <v>76</v>
      </c>
      <c r="B112" s="2">
        <v>4.8</v>
      </c>
      <c r="C112" s="2">
        <v>3.9</v>
      </c>
      <c r="D112" s="2">
        <v>2.7</v>
      </c>
      <c r="E112" s="2">
        <v>2.7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340">
        <v>0</v>
      </c>
    </row>
    <row r="113" spans="1:14">
      <c r="A113" s="391"/>
      <c r="B113" s="2"/>
      <c r="C113" s="2"/>
      <c r="D113" s="2"/>
      <c r="E113" s="2"/>
      <c r="F113" s="2"/>
      <c r="G113" s="381"/>
      <c r="H113" s="381"/>
      <c r="I113" s="381"/>
      <c r="J113" s="381"/>
      <c r="K113" s="382"/>
      <c r="N113" t="s">
        <v>118</v>
      </c>
    </row>
    <row r="114" spans="1:14">
      <c r="A114" s="391" t="s">
        <v>77</v>
      </c>
      <c r="B114" s="2">
        <v>2.8</v>
      </c>
      <c r="C114" s="2">
        <v>5.5</v>
      </c>
      <c r="D114" s="2">
        <v>0.3</v>
      </c>
      <c r="E114" s="2">
        <v>0.2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340">
        <v>0</v>
      </c>
    </row>
    <row r="115" spans="1:14">
      <c r="A115" s="391"/>
      <c r="B115" s="2"/>
      <c r="C115" s="2"/>
      <c r="D115" s="2"/>
      <c r="E115" s="2"/>
      <c r="F115" s="2"/>
      <c r="G115" s="381"/>
      <c r="H115" s="381"/>
      <c r="I115" s="381"/>
      <c r="J115" s="381"/>
      <c r="K115" s="382"/>
      <c r="N115" t="s">
        <v>119</v>
      </c>
    </row>
    <row r="116" spans="1:14">
      <c r="A116" s="391" t="s">
        <v>78</v>
      </c>
      <c r="B116" s="2">
        <v>13.1</v>
      </c>
      <c r="C116" s="2">
        <v>24.6</v>
      </c>
      <c r="D116" s="2">
        <v>1.6</v>
      </c>
      <c r="E116" s="2">
        <v>1.1000000000000001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340">
        <v>0</v>
      </c>
    </row>
    <row r="117" spans="1:14">
      <c r="A117" s="391"/>
      <c r="B117" s="2"/>
      <c r="C117" s="2"/>
      <c r="D117" s="2"/>
      <c r="E117" s="2"/>
      <c r="F117" s="2"/>
      <c r="G117" s="381"/>
      <c r="H117" s="381"/>
      <c r="I117" s="381"/>
      <c r="J117" s="381"/>
      <c r="K117" s="382"/>
      <c r="N117" t="s">
        <v>120</v>
      </c>
    </row>
    <row r="118" spans="1:14">
      <c r="A118" s="391" t="s">
        <v>79</v>
      </c>
      <c r="B118" s="2">
        <v>0.9</v>
      </c>
      <c r="C118" s="2">
        <v>2.2999999999999998</v>
      </c>
      <c r="D118" s="2">
        <v>0</v>
      </c>
      <c r="E118" s="2" t="s">
        <v>62</v>
      </c>
      <c r="F118" s="2" t="s">
        <v>62</v>
      </c>
      <c r="G118" s="2">
        <v>0</v>
      </c>
      <c r="H118" s="2">
        <v>0</v>
      </c>
      <c r="I118" s="2">
        <v>0</v>
      </c>
      <c r="J118" s="2">
        <v>0</v>
      </c>
      <c r="K118" s="340">
        <v>0</v>
      </c>
    </row>
    <row r="119" spans="1:14">
      <c r="A119" s="391"/>
      <c r="B119" s="2"/>
      <c r="C119" s="2"/>
      <c r="D119" s="2"/>
      <c r="E119" s="2"/>
      <c r="F119" s="2"/>
      <c r="G119" s="381"/>
      <c r="H119" s="381"/>
      <c r="I119" s="381"/>
      <c r="J119" s="381"/>
      <c r="K119" s="382"/>
      <c r="N119" t="s">
        <v>121</v>
      </c>
    </row>
    <row r="120" spans="1:14">
      <c r="A120" s="391" t="s">
        <v>80</v>
      </c>
      <c r="B120" s="2">
        <v>2.5</v>
      </c>
      <c r="C120" s="2">
        <v>3.4</v>
      </c>
      <c r="D120" s="2">
        <v>0</v>
      </c>
      <c r="E120" s="2" t="s">
        <v>62</v>
      </c>
      <c r="F120" s="2" t="s">
        <v>62</v>
      </c>
      <c r="G120" s="2">
        <v>0</v>
      </c>
      <c r="H120" s="2">
        <v>0</v>
      </c>
      <c r="I120" s="2">
        <v>0</v>
      </c>
      <c r="J120" s="2">
        <v>0</v>
      </c>
      <c r="K120" s="340">
        <v>0</v>
      </c>
    </row>
    <row r="121" spans="1:14">
      <c r="A121" s="391"/>
      <c r="B121" s="2"/>
      <c r="C121" s="2"/>
      <c r="D121" s="2"/>
      <c r="E121" s="2"/>
      <c r="F121" s="2"/>
      <c r="G121" s="381"/>
      <c r="H121" s="381"/>
      <c r="I121" s="381"/>
      <c r="J121" s="381"/>
      <c r="K121" s="382"/>
      <c r="N121" t="s">
        <v>122</v>
      </c>
    </row>
    <row r="122" spans="1:14">
      <c r="A122" s="391" t="s">
        <v>81</v>
      </c>
      <c r="B122" s="2">
        <v>0.7</v>
      </c>
      <c r="C122" s="2">
        <v>1.3</v>
      </c>
      <c r="D122" s="2">
        <v>0.5</v>
      </c>
      <c r="E122" s="2">
        <v>0.1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340">
        <v>0</v>
      </c>
    </row>
    <row r="123" spans="1:14">
      <c r="A123" s="391"/>
      <c r="B123" s="2"/>
      <c r="C123" s="2"/>
      <c r="D123" s="2"/>
      <c r="E123" s="2"/>
      <c r="F123" s="2"/>
      <c r="G123" s="381"/>
      <c r="H123" s="381"/>
      <c r="I123" s="381"/>
      <c r="J123" s="381"/>
      <c r="K123" s="382"/>
      <c r="N123" t="s">
        <v>123</v>
      </c>
    </row>
    <row r="124" spans="1:14">
      <c r="A124" s="339" t="s">
        <v>82</v>
      </c>
      <c r="B124" s="3">
        <v>100</v>
      </c>
      <c r="C124" s="3">
        <v>139.19999999999999</v>
      </c>
      <c r="D124" s="3">
        <v>123.8</v>
      </c>
      <c r="E124" s="3">
        <v>89.1</v>
      </c>
      <c r="F124" s="3">
        <v>0</v>
      </c>
      <c r="G124" s="11">
        <f>SUM(G110,G112,G114,G116,G118,G120,G122)</f>
        <v>0</v>
      </c>
      <c r="H124" s="11">
        <f t="shared" ref="H124:K124" si="141">SUM(H110,H112,H114,H116,H118,H120,H122)</f>
        <v>0</v>
      </c>
      <c r="I124" s="11">
        <f t="shared" si="141"/>
        <v>0</v>
      </c>
      <c r="J124" s="11">
        <f t="shared" si="141"/>
        <v>0</v>
      </c>
      <c r="K124" s="408">
        <f t="shared" si="141"/>
        <v>0</v>
      </c>
    </row>
    <row r="125" spans="1:14">
      <c r="A125" s="409"/>
      <c r="B125" s="389"/>
      <c r="C125" s="389"/>
      <c r="D125" s="389"/>
      <c r="E125" s="389"/>
      <c r="F125" s="389"/>
      <c r="G125" s="389"/>
      <c r="H125" s="389"/>
      <c r="I125" s="389"/>
      <c r="J125" s="389"/>
      <c r="K125" s="390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EA9B-2E76-4526-B3CA-6F82378D038F}">
  <dimension ref="B3:J40"/>
  <sheetViews>
    <sheetView zoomScale="55" workbookViewId="0">
      <selection activeCell="L20" sqref="L20"/>
    </sheetView>
  </sheetViews>
  <sheetFormatPr defaultRowHeight="14.4"/>
  <cols>
    <col min="2" max="2" width="15.44140625" customWidth="1"/>
  </cols>
  <sheetData>
    <row r="3" spans="2:10">
      <c r="B3" s="452" t="s">
        <v>445</v>
      </c>
      <c r="C3" s="452"/>
      <c r="D3" s="452"/>
      <c r="E3" s="452"/>
      <c r="F3" s="452"/>
      <c r="G3" s="452"/>
      <c r="H3" s="452"/>
    </row>
    <row r="4" spans="2:10">
      <c r="B4" s="399" t="s">
        <v>87</v>
      </c>
    </row>
    <row r="5" spans="2:10">
      <c r="C5">
        <v>2022</v>
      </c>
      <c r="D5">
        <v>2022</v>
      </c>
      <c r="F5">
        <v>2023</v>
      </c>
      <c r="G5">
        <v>2023</v>
      </c>
      <c r="I5" t="s">
        <v>444</v>
      </c>
    </row>
    <row r="7" spans="2:10">
      <c r="B7" s="8" t="s">
        <v>75</v>
      </c>
      <c r="C7">
        <v>3129.2</v>
      </c>
      <c r="D7">
        <v>2945.1</v>
      </c>
      <c r="E7" s="16">
        <f>C7/D7</f>
        <v>1.0625106108451325</v>
      </c>
      <c r="F7">
        <v>3232.5</v>
      </c>
      <c r="G7">
        <v>3059.3</v>
      </c>
      <c r="H7" s="16">
        <f>F7/G7</f>
        <v>1.0566142581636322</v>
      </c>
      <c r="I7" s="15">
        <f>AVERAGE(E7,H7)</f>
        <v>1.0595624345043824</v>
      </c>
      <c r="J7" s="15"/>
    </row>
    <row r="8" spans="2:10">
      <c r="B8" s="8"/>
      <c r="D8">
        <f>C7-D7</f>
        <v>184.09999999999991</v>
      </c>
      <c r="E8" s="16"/>
      <c r="G8">
        <f>F7-G7</f>
        <v>173.19999999999982</v>
      </c>
      <c r="H8" s="16"/>
      <c r="J8" s="15"/>
    </row>
    <row r="9" spans="2:10">
      <c r="B9" s="8" t="s">
        <v>76</v>
      </c>
      <c r="C9">
        <v>1433.9</v>
      </c>
      <c r="D9">
        <v>1373.6</v>
      </c>
      <c r="E9" s="16">
        <f>C9/D9</f>
        <v>1.0438992428654632</v>
      </c>
      <c r="F9">
        <v>1573</v>
      </c>
      <c r="G9">
        <v>1496.6</v>
      </c>
      <c r="H9" s="16">
        <f>F9/G9</f>
        <v>1.0510490445008687</v>
      </c>
      <c r="I9" s="15">
        <f>AVERAGE(E9,H9)</f>
        <v>1.047474143683166</v>
      </c>
      <c r="J9" s="15"/>
    </row>
    <row r="10" spans="2:10">
      <c r="B10" s="8"/>
      <c r="D10">
        <f>C9-D9</f>
        <v>60.300000000000182</v>
      </c>
      <c r="E10" s="16"/>
      <c r="G10">
        <f>F9-G9</f>
        <v>76.400000000000091</v>
      </c>
      <c r="H10" s="16"/>
      <c r="J10" s="15"/>
    </row>
    <row r="11" spans="2:10">
      <c r="B11" s="8" t="s">
        <v>77</v>
      </c>
      <c r="C11">
        <v>888.8</v>
      </c>
      <c r="D11">
        <v>830.1</v>
      </c>
      <c r="E11" s="16">
        <f>C11/D11</f>
        <v>1.0707143717624381</v>
      </c>
      <c r="F11">
        <v>947.4</v>
      </c>
      <c r="G11">
        <v>880</v>
      </c>
      <c r="H11" s="16">
        <f>F11/G11</f>
        <v>1.0765909090909092</v>
      </c>
      <c r="I11" s="15">
        <f>AVERAGE(E11,H11)</f>
        <v>1.0736526404266735</v>
      </c>
      <c r="J11" s="15"/>
    </row>
    <row r="12" spans="2:10">
      <c r="B12" s="8"/>
      <c r="D12">
        <f>C11-D11</f>
        <v>58.699999999999932</v>
      </c>
      <c r="E12" s="16"/>
      <c r="G12">
        <f>F11-G11</f>
        <v>67.399999999999977</v>
      </c>
      <c r="H12" s="16"/>
      <c r="J12" s="15"/>
    </row>
    <row r="13" spans="2:10">
      <c r="B13" s="8" t="s">
        <v>78</v>
      </c>
      <c r="C13">
        <v>656.2</v>
      </c>
      <c r="D13">
        <v>621.70000000000005</v>
      </c>
      <c r="E13" s="16">
        <f>C13/D13</f>
        <v>1.0554930030561365</v>
      </c>
      <c r="F13">
        <v>772.5</v>
      </c>
      <c r="G13">
        <v>737</v>
      </c>
      <c r="H13" s="16">
        <f>F13/G13</f>
        <v>1.0481682496607869</v>
      </c>
      <c r="I13" s="15">
        <f>AVERAGE(E13,H13)</f>
        <v>1.0518306263584618</v>
      </c>
      <c r="J13" s="15"/>
    </row>
    <row r="14" spans="2:10">
      <c r="B14" s="8"/>
      <c r="D14">
        <f>C13-D13</f>
        <v>34.5</v>
      </c>
      <c r="E14" s="16"/>
      <c r="G14">
        <f>F13-G13</f>
        <v>35.5</v>
      </c>
      <c r="H14" s="16"/>
      <c r="J14" s="15"/>
    </row>
    <row r="15" spans="2:10" ht="28.8">
      <c r="B15" s="8" t="s">
        <v>80</v>
      </c>
      <c r="C15">
        <v>435.8</v>
      </c>
      <c r="D15">
        <v>419.3</v>
      </c>
      <c r="E15" s="16">
        <f>C15/D15</f>
        <v>1.0393512997853565</v>
      </c>
      <c r="F15">
        <v>407</v>
      </c>
      <c r="G15">
        <v>391.4</v>
      </c>
      <c r="H15" s="16">
        <f>F15/G15</f>
        <v>1.0398569238630557</v>
      </c>
      <c r="I15" s="15">
        <f>AVERAGE(E15,H15)</f>
        <v>1.0396041118242061</v>
      </c>
      <c r="J15" s="15"/>
    </row>
    <row r="16" spans="2:10">
      <c r="B16" s="8"/>
      <c r="D16">
        <f>C15-D15</f>
        <v>16.5</v>
      </c>
      <c r="E16" s="16"/>
      <c r="G16">
        <f>F15-G15</f>
        <v>15.600000000000023</v>
      </c>
      <c r="H16" s="16"/>
      <c r="J16" s="15"/>
    </row>
    <row r="17" spans="2:10">
      <c r="B17" s="8" t="s">
        <v>79</v>
      </c>
      <c r="C17">
        <v>459.3</v>
      </c>
      <c r="D17">
        <v>419.4</v>
      </c>
      <c r="E17" s="16">
        <f>C17/D17</f>
        <v>1.0951359084406296</v>
      </c>
      <c r="F17">
        <v>491.8</v>
      </c>
      <c r="G17">
        <v>452.1</v>
      </c>
      <c r="H17" s="16">
        <f>F17/G17</f>
        <v>1.0878124308781243</v>
      </c>
      <c r="I17" s="15">
        <f>AVERAGE(E17,H17)</f>
        <v>1.091474169659377</v>
      </c>
      <c r="J17" s="15"/>
    </row>
    <row r="18" spans="2:10">
      <c r="B18" s="8"/>
      <c r="D18">
        <f>C17-D17</f>
        <v>39.900000000000034</v>
      </c>
      <c r="E18" s="16"/>
      <c r="G18">
        <f>F17-G17</f>
        <v>39.699999999999989</v>
      </c>
      <c r="H18" s="16"/>
      <c r="J18" s="15"/>
    </row>
    <row r="19" spans="2:10">
      <c r="B19" s="8" t="s">
        <v>81</v>
      </c>
      <c r="C19">
        <v>195.8</v>
      </c>
      <c r="D19">
        <v>195.8</v>
      </c>
      <c r="E19" s="16">
        <f>C19/D19</f>
        <v>1</v>
      </c>
      <c r="F19">
        <v>202.3</v>
      </c>
      <c r="G19">
        <v>205.2</v>
      </c>
      <c r="H19" s="16">
        <f>F19/G19</f>
        <v>0.98586744639376234</v>
      </c>
      <c r="I19" s="15">
        <f>AVERAGE(E19,H19)</f>
        <v>0.99293372319688111</v>
      </c>
      <c r="J19" s="15"/>
    </row>
    <row r="20" spans="2:10">
      <c r="B20" s="8"/>
      <c r="D20">
        <f>C19-D19</f>
        <v>0</v>
      </c>
      <c r="E20" s="16"/>
    </row>
    <row r="21" spans="2:10">
      <c r="B21" s="9" t="s">
        <v>82</v>
      </c>
      <c r="C21">
        <f>C9+C11+C13+C15+C17+C19+C7</f>
        <v>7199</v>
      </c>
      <c r="D21">
        <f>D9+D11+D13+D15+D17+D19+D7</f>
        <v>6805</v>
      </c>
      <c r="E21" s="16">
        <f>C21/D21</f>
        <v>1.0578986039676708</v>
      </c>
      <c r="F21">
        <f>F9+F11+F13+F15+F17+F19+F7</f>
        <v>7626.5</v>
      </c>
      <c r="G21">
        <f>G9+G11+G13+G15+G17+G19+G7</f>
        <v>7221.6</v>
      </c>
      <c r="H21" s="16">
        <f>F21/G21</f>
        <v>1.0560679073889443</v>
      </c>
    </row>
    <row r="24" spans="2:10">
      <c r="B24" t="s">
        <v>84</v>
      </c>
    </row>
    <row r="25" spans="2:10">
      <c r="C25">
        <v>2022</v>
      </c>
      <c r="D25">
        <v>2022</v>
      </c>
      <c r="E25" t="s">
        <v>450</v>
      </c>
      <c r="F25">
        <v>2023</v>
      </c>
      <c r="G25">
        <v>2023</v>
      </c>
      <c r="H25" t="s">
        <v>451</v>
      </c>
      <c r="I25" t="s">
        <v>452</v>
      </c>
      <c r="J25" s="15"/>
    </row>
    <row r="26" spans="2:10">
      <c r="B26" s="8" t="s">
        <v>75</v>
      </c>
      <c r="C26">
        <v>650.29999999999995</v>
      </c>
      <c r="D26">
        <v>816</v>
      </c>
      <c r="E26" s="16">
        <f>C26/D26</f>
        <v>0.79693627450980387</v>
      </c>
      <c r="F26">
        <v>733.6</v>
      </c>
      <c r="G26">
        <v>898.6</v>
      </c>
      <c r="H26" s="16">
        <f>F26/G26</f>
        <v>0.8163810371689294</v>
      </c>
      <c r="I26" s="15">
        <f>AVERAGE(E26,H26)</f>
        <v>0.80665865583936669</v>
      </c>
      <c r="J26" s="15"/>
    </row>
    <row r="27" spans="2:10">
      <c r="B27" s="8"/>
      <c r="D27">
        <f>C26-D26</f>
        <v>-165.70000000000005</v>
      </c>
      <c r="G27">
        <f>F26-G26</f>
        <v>-165</v>
      </c>
      <c r="J27" s="15"/>
    </row>
    <row r="28" spans="2:10">
      <c r="B28" s="8" t="s">
        <v>76</v>
      </c>
      <c r="C28">
        <v>154.69999999999999</v>
      </c>
      <c r="D28">
        <v>272.7</v>
      </c>
      <c r="E28" s="16">
        <f>C28/D28</f>
        <v>0.56729006233956725</v>
      </c>
      <c r="F28">
        <v>171</v>
      </c>
      <c r="G28">
        <v>301.7</v>
      </c>
      <c r="H28" s="16">
        <f>F28/G28</f>
        <v>0.5667882001988731</v>
      </c>
      <c r="I28" s="15">
        <f>AVERAGE(E28,H28)</f>
        <v>0.56703913126922023</v>
      </c>
      <c r="J28" s="15"/>
    </row>
    <row r="29" spans="2:10">
      <c r="B29" s="8"/>
      <c r="D29">
        <f>C28-D28</f>
        <v>-118</v>
      </c>
      <c r="G29">
        <f>F28-G28</f>
        <v>-130.69999999999999</v>
      </c>
      <c r="J29" s="15"/>
    </row>
    <row r="30" spans="2:10">
      <c r="B30" s="8" t="s">
        <v>77</v>
      </c>
      <c r="C30">
        <v>27.9</v>
      </c>
      <c r="D30">
        <v>76.099999999999994</v>
      </c>
      <c r="E30" s="16">
        <f>C30/D30</f>
        <v>0.36662286465177402</v>
      </c>
      <c r="F30">
        <v>28.7</v>
      </c>
      <c r="G30">
        <v>85.9</v>
      </c>
      <c r="H30" s="16">
        <f>F30/G30</f>
        <v>0.33410942956926654</v>
      </c>
      <c r="I30" s="15">
        <f>AVERAGE(E30,H30)</f>
        <v>0.35036614711052028</v>
      </c>
      <c r="J30" s="15"/>
    </row>
    <row r="31" spans="2:10">
      <c r="B31" s="8"/>
      <c r="D31">
        <f>C30-D30</f>
        <v>-48.199999999999996</v>
      </c>
      <c r="G31">
        <f>F30-G30</f>
        <v>-57.2</v>
      </c>
      <c r="J31" s="15"/>
    </row>
    <row r="32" spans="2:10">
      <c r="B32" s="8" t="s">
        <v>78</v>
      </c>
      <c r="C32">
        <v>51.8</v>
      </c>
      <c r="D32">
        <v>51.9</v>
      </c>
      <c r="E32" s="16">
        <f>C32/D32</f>
        <v>0.9980732177263969</v>
      </c>
      <c r="F32">
        <v>57.5</v>
      </c>
      <c r="G32">
        <v>57.6</v>
      </c>
      <c r="H32" s="16">
        <f>F32/G32</f>
        <v>0.99826388888888884</v>
      </c>
      <c r="I32" s="15">
        <f>AVERAGE(E32,H32)</f>
        <v>0.99816855330764287</v>
      </c>
      <c r="J32" s="15"/>
    </row>
    <row r="33" spans="2:10">
      <c r="B33" s="8"/>
      <c r="D33">
        <f>C32-D32</f>
        <v>-0.10000000000000142</v>
      </c>
      <c r="G33">
        <f>F32-G32</f>
        <v>-0.10000000000000142</v>
      </c>
      <c r="J33" s="15"/>
    </row>
    <row r="34" spans="2:10" ht="28.8">
      <c r="B34" s="8" t="s">
        <v>80</v>
      </c>
      <c r="C34">
        <v>8.1</v>
      </c>
      <c r="D34">
        <v>10.3</v>
      </c>
      <c r="E34" s="16">
        <f>C34/D34</f>
        <v>0.78640776699029113</v>
      </c>
      <c r="F34">
        <v>57.4</v>
      </c>
      <c r="G34">
        <v>69.2</v>
      </c>
      <c r="H34" s="16">
        <f>F34/G34</f>
        <v>0.82947976878612706</v>
      </c>
      <c r="I34" s="15">
        <f>AVERAGE(E34,H34)</f>
        <v>0.8079437678882091</v>
      </c>
      <c r="J34" s="15"/>
    </row>
    <row r="35" spans="2:10">
      <c r="B35" s="8"/>
      <c r="D35">
        <f>C34-D34</f>
        <v>-2.2000000000000011</v>
      </c>
      <c r="G35">
        <f>F34-G34</f>
        <v>-11.800000000000004</v>
      </c>
      <c r="J35" s="15"/>
    </row>
    <row r="36" spans="2:10">
      <c r="B36" s="8" t="s">
        <v>79</v>
      </c>
      <c r="C36">
        <v>56.8</v>
      </c>
      <c r="D36">
        <v>68.599999999999994</v>
      </c>
      <c r="E36" s="16">
        <f>C36/D36</f>
        <v>0.8279883381924199</v>
      </c>
      <c r="F36">
        <v>6.9</v>
      </c>
      <c r="G36">
        <v>9</v>
      </c>
      <c r="H36" s="16">
        <f>F36/G36</f>
        <v>0.76666666666666672</v>
      </c>
      <c r="I36" s="15">
        <f>AVERAGE(E36,H36)</f>
        <v>0.79732750242954331</v>
      </c>
      <c r="J36" s="15"/>
    </row>
    <row r="37" spans="2:10">
      <c r="B37" s="8"/>
      <c r="D37">
        <f>C36-D36</f>
        <v>-11.799999999999997</v>
      </c>
      <c r="G37">
        <f>F36-G36</f>
        <v>-2.0999999999999996</v>
      </c>
      <c r="J37" s="15"/>
    </row>
    <row r="38" spans="2:10">
      <c r="B38" s="8" t="s">
        <v>81</v>
      </c>
      <c r="C38">
        <v>9.4</v>
      </c>
      <c r="D38">
        <v>20.8</v>
      </c>
      <c r="E38" s="16">
        <f>C38/D38</f>
        <v>0.45192307692307693</v>
      </c>
      <c r="F38">
        <v>10.9</v>
      </c>
      <c r="G38">
        <v>22.2</v>
      </c>
      <c r="H38" s="16">
        <f>F38/G38</f>
        <v>0.49099099099099103</v>
      </c>
      <c r="I38" s="15">
        <f>AVERAGE(E38,H38)</f>
        <v>0.47145703395703398</v>
      </c>
      <c r="J38" s="15"/>
    </row>
    <row r="39" spans="2:10">
      <c r="B39" s="8"/>
      <c r="D39">
        <f>C38-D38</f>
        <v>-11.4</v>
      </c>
    </row>
    <row r="40" spans="2:10">
      <c r="B40" s="9" t="s">
        <v>82</v>
      </c>
      <c r="C40">
        <f>C26+C28+C30+C32+C34+C36+C38</f>
        <v>958.99999999999989</v>
      </c>
      <c r="D40">
        <f>D26+D28+D30+D32+D34+D36+D38</f>
        <v>1316.3999999999999</v>
      </c>
      <c r="E40" s="16">
        <f>C40/D40</f>
        <v>0.72850197508356118</v>
      </c>
      <c r="F40">
        <f>F26+F28+F30+F32+F34+F36+F38</f>
        <v>1066.0000000000002</v>
      </c>
      <c r="G40">
        <f>G26+G28+G30+G32+G34+G36+G38</f>
        <v>1444.2</v>
      </c>
      <c r="H40" s="16">
        <f>F40/G40</f>
        <v>0.73812491344689113</v>
      </c>
    </row>
  </sheetData>
  <mergeCells count="1">
    <mergeCell ref="B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6586-F6EB-40F0-92D1-E727FEFF23E2}">
  <dimension ref="A3:M38"/>
  <sheetViews>
    <sheetView zoomScale="90" zoomScaleNormal="90" workbookViewId="0">
      <selection activeCell="P4" sqref="P4"/>
    </sheetView>
  </sheetViews>
  <sheetFormatPr defaultRowHeight="14.4"/>
  <cols>
    <col min="1" max="1" width="34.33203125" customWidth="1"/>
  </cols>
  <sheetData>
    <row r="3" spans="1:13">
      <c r="A3" s="1" t="s">
        <v>54</v>
      </c>
      <c r="B3" s="1">
        <v>2020</v>
      </c>
      <c r="C3" s="1">
        <v>2021</v>
      </c>
      <c r="D3" s="1">
        <v>2022</v>
      </c>
      <c r="E3" s="1">
        <v>2023</v>
      </c>
      <c r="F3" s="1">
        <v>2024</v>
      </c>
      <c r="G3" s="1">
        <v>2025</v>
      </c>
      <c r="H3" s="1">
        <v>2026</v>
      </c>
      <c r="I3" s="1">
        <v>2027</v>
      </c>
      <c r="J3" s="1">
        <v>2028</v>
      </c>
      <c r="K3" s="1">
        <v>2029</v>
      </c>
      <c r="L3" s="1">
        <v>2029</v>
      </c>
    </row>
    <row r="4" spans="1:13">
      <c r="A4" s="5" t="s">
        <v>55</v>
      </c>
      <c r="B4" s="4"/>
      <c r="C4" s="4"/>
      <c r="D4" s="4"/>
      <c r="E4" s="4"/>
      <c r="F4" s="4"/>
    </row>
    <row r="5" spans="1:13">
      <c r="A5" s="2" t="s">
        <v>124</v>
      </c>
      <c r="B5" s="12">
        <v>5870.8</v>
      </c>
      <c r="C5" s="12">
        <v>6237.8</v>
      </c>
      <c r="D5" s="12">
        <v>6805</v>
      </c>
      <c r="E5" s="12">
        <v>7626.5</v>
      </c>
      <c r="F5" s="12">
        <v>7777.2</v>
      </c>
      <c r="G5" s="12">
        <v>8095.4500000000007</v>
      </c>
      <c r="H5" s="12">
        <v>8427.3890800000008</v>
      </c>
      <c r="I5" s="12">
        <v>8726.7424140000003</v>
      </c>
      <c r="J5" s="12">
        <v>9037.5580822849988</v>
      </c>
      <c r="K5" s="12">
        <v>9360.2960026295987</v>
      </c>
    </row>
    <row r="6" spans="1:13">
      <c r="A6" s="2" t="s">
        <v>130</v>
      </c>
      <c r="B6" s="12">
        <v>1079.0999999999999</v>
      </c>
      <c r="C6" s="12">
        <v>985.7</v>
      </c>
      <c r="D6" s="12">
        <v>977</v>
      </c>
      <c r="E6" s="12"/>
      <c r="F6" s="12"/>
      <c r="G6" s="12"/>
      <c r="H6" s="12"/>
      <c r="I6" s="12"/>
      <c r="J6" s="12"/>
      <c r="K6" s="12"/>
    </row>
    <row r="7" spans="1:13">
      <c r="A7" s="2" t="s">
        <v>128</v>
      </c>
      <c r="B7" s="24">
        <v>0.105</v>
      </c>
      <c r="C7" s="24">
        <v>0.13200000000000001</v>
      </c>
      <c r="D7" s="24">
        <v>0.11899999999999999</v>
      </c>
      <c r="E7" s="24">
        <v>0.14000000000000001</v>
      </c>
      <c r="F7" s="24">
        <v>0.16600000000000001</v>
      </c>
      <c r="G7" s="14">
        <f>AVERAGE(D7:F7)</f>
        <v>0.14166666666666669</v>
      </c>
      <c r="H7" s="14">
        <f t="shared" ref="H7:K7" si="0">AVERAGE(E7:G7)</f>
        <v>0.14922222222222226</v>
      </c>
      <c r="I7" s="14">
        <f t="shared" si="0"/>
        <v>0.15229629629629632</v>
      </c>
      <c r="J7" s="14">
        <f t="shared" si="0"/>
        <v>0.14772839506172844</v>
      </c>
      <c r="K7" s="14">
        <f t="shared" si="0"/>
        <v>0.14974897119341568</v>
      </c>
      <c r="M7" t="s">
        <v>129</v>
      </c>
    </row>
    <row r="8" spans="1:13">
      <c r="A8" s="2" t="s">
        <v>131</v>
      </c>
      <c r="B8" s="24">
        <f>'Income statement'!$B$11/'Income statement'!$B$7</f>
        <v>0.28066363196093047</v>
      </c>
      <c r="C8" s="24">
        <f>'Income statement'!$C$11/'Income statement'!$C$7</f>
        <v>0.26828502092970291</v>
      </c>
      <c r="D8" s="24">
        <f>'Income statement'!$D$11/'Income statement'!$D$7</f>
        <v>0.25753111828472347</v>
      </c>
      <c r="E8" s="24">
        <f>'Income statement'!$E$11/'Income statement'!$E$7</f>
        <v>0.26511403245388437</v>
      </c>
      <c r="F8" s="24">
        <f>'Income statement'!$F$11/'Income statement'!$F$7</f>
        <v>0.26860380906399689</v>
      </c>
      <c r="G8" s="14">
        <v>0.26</v>
      </c>
      <c r="H8" s="14">
        <v>0.26</v>
      </c>
      <c r="I8" s="14">
        <v>0.26</v>
      </c>
      <c r="J8" s="14">
        <v>0.26</v>
      </c>
      <c r="K8" s="14">
        <v>0.26</v>
      </c>
    </row>
    <row r="9" spans="1:13">
      <c r="A9" s="2" t="s">
        <v>126</v>
      </c>
      <c r="B9" s="6">
        <f>B5*(1-B8-B7)</f>
        <v>3606.6459494837695</v>
      </c>
      <c r="C9" s="6">
        <f t="shared" ref="C9:K9" si="1">C5*(1-C8-C7)</f>
        <v>3740.9020964446991</v>
      </c>
      <c r="D9" s="6">
        <f t="shared" si="1"/>
        <v>4242.7057400724561</v>
      </c>
      <c r="E9" s="6">
        <v>4769.7</v>
      </c>
      <c r="F9" s="6">
        <v>4691.2</v>
      </c>
      <c r="G9" s="6">
        <f t="shared" si="1"/>
        <v>4843.7775833333335</v>
      </c>
      <c r="H9" s="6">
        <f t="shared" si="1"/>
        <v>4978.7141931511114</v>
      </c>
      <c r="I9" s="6">
        <f t="shared" si="1"/>
        <v>5128.7388379759996</v>
      </c>
      <c r="J9" s="6">
        <f t="shared" si="1"/>
        <v>5352.6890301177846</v>
      </c>
      <c r="K9" s="6">
        <f t="shared" si="1"/>
        <v>5524.924345486279</v>
      </c>
      <c r="M9" t="s">
        <v>127</v>
      </c>
    </row>
    <row r="10" spans="1:13">
      <c r="A10" s="5" t="s">
        <v>56</v>
      </c>
      <c r="B10" s="12"/>
      <c r="C10" s="12"/>
      <c r="D10" s="12"/>
      <c r="E10" s="12"/>
      <c r="F10" s="12"/>
      <c r="G10" s="6"/>
      <c r="H10" s="6"/>
      <c r="I10" s="6"/>
      <c r="J10" s="6"/>
      <c r="K10" s="6"/>
    </row>
    <row r="11" spans="1:13">
      <c r="A11" s="2" t="s">
        <v>124</v>
      </c>
      <c r="B11" s="12">
        <v>3553.2</v>
      </c>
      <c r="C11" s="12">
        <v>3955.9</v>
      </c>
      <c r="D11" s="12">
        <v>4421.8999999999996</v>
      </c>
      <c r="E11" s="12">
        <v>4999.2</v>
      </c>
      <c r="F11" s="12">
        <v>5382.6</v>
      </c>
      <c r="G11" s="12">
        <v>5686.3630000000012</v>
      </c>
      <c r="H11" s="12">
        <v>6007.4900450000014</v>
      </c>
      <c r="I11" s="12">
        <v>6346.9840616500005</v>
      </c>
      <c r="J11" s="12">
        <v>6705.9063861353761</v>
      </c>
      <c r="K11" s="12">
        <v>7085.3801883292499</v>
      </c>
    </row>
    <row r="12" spans="1:13">
      <c r="A12" s="2" t="s">
        <v>130</v>
      </c>
      <c r="B12" s="12">
        <v>316.3</v>
      </c>
      <c r="C12" s="12">
        <v>545.70000000000005</v>
      </c>
      <c r="D12" s="12">
        <v>634.5</v>
      </c>
      <c r="E12" s="12"/>
      <c r="F12" s="12"/>
      <c r="G12" s="12"/>
      <c r="H12" s="12"/>
      <c r="I12" s="12"/>
      <c r="J12" s="12"/>
      <c r="K12" s="12"/>
    </row>
    <row r="13" spans="1:13">
      <c r="A13" s="2" t="s">
        <v>128</v>
      </c>
      <c r="B13" s="24">
        <f>316.3/B11</f>
        <v>8.9018349656647539E-2</v>
      </c>
      <c r="C13" s="24">
        <v>0.10199999999999999</v>
      </c>
      <c r="D13" s="24">
        <v>9.5000000000000001E-2</v>
      </c>
      <c r="E13" s="24">
        <v>0.12</v>
      </c>
      <c r="F13" s="24">
        <v>0.13800000000000001</v>
      </c>
      <c r="G13" s="14">
        <f>AVERAGE(D13:F13)</f>
        <v>0.11766666666666666</v>
      </c>
      <c r="H13" s="14">
        <f t="shared" ref="H13:K13" si="2">AVERAGE(E13:G13)</f>
        <v>0.12522222222222221</v>
      </c>
      <c r="I13" s="14">
        <f t="shared" si="2"/>
        <v>0.12696296296296294</v>
      </c>
      <c r="J13" s="14">
        <f t="shared" si="2"/>
        <v>0.12328395061728394</v>
      </c>
      <c r="K13" s="14">
        <f t="shared" si="2"/>
        <v>0.12515637860082304</v>
      </c>
      <c r="M13" t="s">
        <v>129</v>
      </c>
    </row>
    <row r="14" spans="1:13">
      <c r="A14" s="2" t="s">
        <v>131</v>
      </c>
      <c r="B14" s="24">
        <f>'Income statement'!$B$11/'Income statement'!$B$7</f>
        <v>0.28066363196093047</v>
      </c>
      <c r="C14" s="24">
        <f>'Income statement'!$C$11/'Income statement'!$C$7</f>
        <v>0.26828502092970291</v>
      </c>
      <c r="D14" s="24">
        <f>'Income statement'!$D$11/'Income statement'!$D$7</f>
        <v>0.25753111828472347</v>
      </c>
      <c r="E14" s="24">
        <f>'Income statement'!$E$11/'Income statement'!$E$7</f>
        <v>0.26511403245388437</v>
      </c>
      <c r="F14" s="24">
        <f>'Income statement'!$F$11/'Income statement'!$F$7</f>
        <v>0.26860380906399689</v>
      </c>
      <c r="G14" s="14">
        <v>0.26</v>
      </c>
      <c r="H14" s="14">
        <v>0.26</v>
      </c>
      <c r="I14" s="14">
        <v>0.26</v>
      </c>
      <c r="J14" s="14">
        <v>0.26</v>
      </c>
      <c r="K14" s="14">
        <v>0.26</v>
      </c>
    </row>
    <row r="15" spans="1:13">
      <c r="A15" s="2" t="s">
        <v>126</v>
      </c>
      <c r="B15" s="6">
        <f>B11*(1-B14-B13)</f>
        <v>2239.6459829164214</v>
      </c>
      <c r="C15" s="6">
        <f t="shared" ref="C15:K15" si="3">C11*(1-C14-C13)</f>
        <v>2491.0894857041881</v>
      </c>
      <c r="D15" s="6">
        <f t="shared" si="3"/>
        <v>2863.0426480567808</v>
      </c>
      <c r="E15" s="6">
        <v>2727.3</v>
      </c>
      <c r="F15" s="6">
        <v>2727</v>
      </c>
      <c r="G15" s="6">
        <f t="shared" si="3"/>
        <v>3538.8132403333339</v>
      </c>
      <c r="H15" s="6">
        <f t="shared" si="3"/>
        <v>3693.2713798872228</v>
      </c>
      <c r="I15" s="6">
        <f t="shared" si="3"/>
        <v>3890.9363032752153</v>
      </c>
      <c r="J15" s="6">
        <f t="shared" si="3"/>
        <v>4135.6400939877358</v>
      </c>
      <c r="K15" s="6">
        <f t="shared" si="3"/>
        <v>4356.4008139823381</v>
      </c>
      <c r="M15" t="s">
        <v>127</v>
      </c>
    </row>
    <row r="16" spans="1:13">
      <c r="A16" s="3" t="s">
        <v>57</v>
      </c>
      <c r="B16" s="12"/>
      <c r="C16" s="12"/>
      <c r="D16" s="12"/>
      <c r="E16" s="12"/>
      <c r="F16" s="12"/>
      <c r="G16" s="6"/>
      <c r="H16" s="6"/>
      <c r="I16" s="6"/>
      <c r="J16" s="6"/>
      <c r="K16" s="6"/>
    </row>
    <row r="17" spans="1:13">
      <c r="A17" s="2" t="s">
        <v>124</v>
      </c>
      <c r="B17" s="12">
        <v>1181.9000000000001</v>
      </c>
      <c r="C17" s="12">
        <v>1181.5999999999999</v>
      </c>
      <c r="D17" s="12">
        <v>1510.5</v>
      </c>
      <c r="E17" s="12">
        <v>1586</v>
      </c>
      <c r="F17" s="12">
        <v>1418.8</v>
      </c>
      <c r="G17" s="12">
        <v>1489.0625</v>
      </c>
      <c r="H17" s="12">
        <v>1562.8864925</v>
      </c>
      <c r="I17" s="12">
        <v>1631.8981822000001</v>
      </c>
      <c r="J17" s="12">
        <v>1704.0257321345</v>
      </c>
      <c r="K17" s="12">
        <v>1779.4138092562225</v>
      </c>
    </row>
    <row r="18" spans="1:13">
      <c r="A18" s="2" t="s">
        <v>130</v>
      </c>
      <c r="B18" s="12">
        <v>207.6</v>
      </c>
      <c r="C18" s="12">
        <v>152.30000000000001</v>
      </c>
      <c r="D18" s="12">
        <v>205</v>
      </c>
      <c r="E18" s="12"/>
      <c r="F18" s="12"/>
      <c r="G18" s="12"/>
      <c r="H18" s="12"/>
      <c r="I18" s="12"/>
      <c r="J18" s="12"/>
      <c r="K18" s="12"/>
    </row>
    <row r="19" spans="1:13">
      <c r="A19" s="2" t="s">
        <v>128</v>
      </c>
      <c r="B19" s="24">
        <v>6.2E-2</v>
      </c>
      <c r="C19" s="24">
        <v>7.0000000000000007E-2</v>
      </c>
      <c r="D19" s="24">
        <v>7.0000000000000007E-2</v>
      </c>
      <c r="E19" s="24">
        <v>8.5000000000000006E-2</v>
      </c>
      <c r="F19" s="24">
        <v>9.8000000000000004E-2</v>
      </c>
      <c r="G19" s="14">
        <f>AVERAGE(D19:F19)</f>
        <v>8.433333333333333E-2</v>
      </c>
      <c r="H19" s="14">
        <f t="shared" ref="H19:K19" si="4">AVERAGE(E19:G19)</f>
        <v>8.9111111111111099E-2</v>
      </c>
      <c r="I19" s="14">
        <f t="shared" si="4"/>
        <v>9.0481481481481482E-2</v>
      </c>
      <c r="J19" s="14">
        <f t="shared" si="4"/>
        <v>8.7975308641975294E-2</v>
      </c>
      <c r="K19" s="14">
        <f t="shared" si="4"/>
        <v>8.9189300411522621E-2</v>
      </c>
      <c r="M19" t="s">
        <v>129</v>
      </c>
    </row>
    <row r="20" spans="1:13">
      <c r="A20" s="2" t="s">
        <v>131</v>
      </c>
      <c r="B20" s="24">
        <f>'Income statement'!$B$11/'Income statement'!$B$7</f>
        <v>0.28066363196093047</v>
      </c>
      <c r="C20" s="24">
        <f>'Income statement'!$C$11/'Income statement'!$C$7</f>
        <v>0.26828502092970291</v>
      </c>
      <c r="D20" s="24">
        <f>'Income statement'!$D$11/'Income statement'!$D$7</f>
        <v>0.25753111828472347</v>
      </c>
      <c r="E20" s="24">
        <f>'Income statement'!$E$11/'Income statement'!$E$7</f>
        <v>0.26511403245388437</v>
      </c>
      <c r="F20" s="24">
        <f>'Income statement'!$F$11/'Income statement'!$F$7</f>
        <v>0.26860380906399689</v>
      </c>
      <c r="G20" s="14">
        <v>0.26</v>
      </c>
      <c r="H20" s="14">
        <v>0.26</v>
      </c>
      <c r="I20" s="14">
        <v>0.26</v>
      </c>
      <c r="J20" s="14">
        <v>0.26</v>
      </c>
      <c r="K20" s="14">
        <v>0.26</v>
      </c>
    </row>
    <row r="21" spans="1:13">
      <c r="A21" s="2" t="s">
        <v>126</v>
      </c>
      <c r="B21" s="6">
        <f>B17*(1-B20-B19)</f>
        <v>776.90585338537642</v>
      </c>
      <c r="C21" s="6">
        <f t="shared" ref="C21:K21" si="5">C17*(1-C20-C19)</f>
        <v>781.88241926946284</v>
      </c>
      <c r="D21" s="6">
        <f t="shared" si="5"/>
        <v>1015.764245830925</v>
      </c>
      <c r="E21" s="6">
        <v>1026.9000000000001</v>
      </c>
      <c r="F21" s="6">
        <v>895</v>
      </c>
      <c r="G21" s="6">
        <f t="shared" si="5"/>
        <v>976.32864583333321</v>
      </c>
      <c r="H21" s="6">
        <f t="shared" si="5"/>
        <v>1017.2654525627777</v>
      </c>
      <c r="I21" s="6">
        <f t="shared" si="5"/>
        <v>1059.9480896756074</v>
      </c>
      <c r="J21" s="6">
        <f t="shared" si="5"/>
        <v>1111.0668520611293</v>
      </c>
      <c r="K21" s="6">
        <f t="shared" si="5"/>
        <v>1158.0615460594397</v>
      </c>
      <c r="M21" t="s">
        <v>127</v>
      </c>
    </row>
    <row r="22" spans="1:13">
      <c r="A22" s="5" t="s">
        <v>60</v>
      </c>
      <c r="B22" s="12"/>
      <c r="C22" s="12"/>
      <c r="D22" s="12"/>
      <c r="E22" s="12"/>
      <c r="F22" s="12"/>
      <c r="G22" s="6"/>
      <c r="H22" s="6"/>
      <c r="I22" s="6"/>
      <c r="J22" s="6"/>
      <c r="K22" s="6"/>
    </row>
    <row r="23" spans="1:13">
      <c r="A23" s="2" t="s">
        <v>124</v>
      </c>
      <c r="B23" s="12">
        <v>1084.3</v>
      </c>
      <c r="C23" s="12">
        <v>1218.5999999999999</v>
      </c>
      <c r="D23" s="12">
        <v>1326.6</v>
      </c>
      <c r="E23" s="12">
        <v>1066</v>
      </c>
      <c r="F23" s="12">
        <v>1162.8</v>
      </c>
      <c r="G23" s="12">
        <v>1218.9510000000002</v>
      </c>
      <c r="H23" s="12">
        <v>1277.8363600000002</v>
      </c>
      <c r="I23" s="12">
        <v>1339.590249825</v>
      </c>
      <c r="J23" s="12">
        <v>1404.3534686995001</v>
      </c>
      <c r="K23" s="12">
        <v>1472.2737749333387</v>
      </c>
    </row>
    <row r="24" spans="1:13">
      <c r="A24" s="2" t="s">
        <v>130</v>
      </c>
      <c r="B24" s="12">
        <v>130.6</v>
      </c>
      <c r="C24" s="12">
        <v>184</v>
      </c>
      <c r="D24" s="12">
        <v>212</v>
      </c>
      <c r="E24" s="12"/>
      <c r="F24" s="12"/>
      <c r="G24" s="12"/>
      <c r="H24" s="12"/>
      <c r="I24" s="12"/>
      <c r="J24" s="12"/>
      <c r="K24" s="12"/>
    </row>
    <row r="25" spans="1:13">
      <c r="A25" s="2" t="s">
        <v>128</v>
      </c>
      <c r="B25" s="24">
        <v>0.115</v>
      </c>
      <c r="C25" s="24">
        <v>0.11799999999999999</v>
      </c>
      <c r="D25" s="24">
        <v>0.11799999999999999</v>
      </c>
      <c r="E25" s="24">
        <v>0.126</v>
      </c>
      <c r="F25" s="24">
        <v>0.13</v>
      </c>
      <c r="G25" s="14">
        <f>AVERAGE(D25:F25)</f>
        <v>0.12466666666666666</v>
      </c>
      <c r="H25" s="14">
        <f t="shared" ref="H25:K25" si="6">AVERAGE(E25:G25)</f>
        <v>0.12688888888888888</v>
      </c>
      <c r="I25" s="14">
        <f t="shared" si="6"/>
        <v>0.12718518518518518</v>
      </c>
      <c r="J25" s="14">
        <f t="shared" si="6"/>
        <v>0.12624691358024689</v>
      </c>
      <c r="K25" s="14">
        <f t="shared" si="6"/>
        <v>0.12677366255144032</v>
      </c>
      <c r="M25" t="s">
        <v>129</v>
      </c>
    </row>
    <row r="26" spans="1:13">
      <c r="A26" s="2" t="s">
        <v>131</v>
      </c>
      <c r="B26" s="24">
        <f>'Income statement'!$B$11/'Income statement'!$B$7</f>
        <v>0.28066363196093047</v>
      </c>
      <c r="C26" s="24">
        <f>'Income statement'!$C$11/'Income statement'!$C$7</f>
        <v>0.26828502092970291</v>
      </c>
      <c r="D26" s="24">
        <f>'Income statement'!$D$11/'Income statement'!$D$7</f>
        <v>0.25753111828472347</v>
      </c>
      <c r="E26" s="24">
        <f>'Income statement'!$E$11/'Income statement'!$E$7</f>
        <v>0.26511403245388437</v>
      </c>
      <c r="F26" s="24">
        <f>'Income statement'!$F$11/'Income statement'!$F$7</f>
        <v>0.26860380906399689</v>
      </c>
      <c r="G26" s="14">
        <v>0.26</v>
      </c>
      <c r="H26" s="14">
        <v>0.26</v>
      </c>
      <c r="I26" s="14">
        <v>0.26</v>
      </c>
      <c r="J26" s="14">
        <v>0.26</v>
      </c>
      <c r="K26" s="14">
        <v>0.26</v>
      </c>
    </row>
    <row r="27" spans="1:13">
      <c r="A27" s="2" t="s">
        <v>126</v>
      </c>
      <c r="B27" s="6">
        <f>B23*(1-B26-B25)</f>
        <v>655.28192386476303</v>
      </c>
      <c r="C27" s="6">
        <f t="shared" ref="C27:K27" si="7">C23*(1-C26-C25)</f>
        <v>747.87307349506386</v>
      </c>
      <c r="D27" s="6">
        <f t="shared" si="7"/>
        <v>828.42041848348572</v>
      </c>
      <c r="E27" s="6">
        <v>595</v>
      </c>
      <c r="F27" s="6">
        <v>655</v>
      </c>
      <c r="G27" s="6">
        <f t="shared" si="7"/>
        <v>750.06118200000014</v>
      </c>
      <c r="H27" s="6">
        <f t="shared" si="7"/>
        <v>783.45567049777799</v>
      </c>
      <c r="I27" s="6">
        <f t="shared" si="7"/>
        <v>820.92075087423893</v>
      </c>
      <c r="J27" s="6">
        <f t="shared" si="7"/>
        <v>861.9262758386044</v>
      </c>
      <c r="K27" s="6">
        <f t="shared" si="7"/>
        <v>902.83705472393638</v>
      </c>
      <c r="M27" t="s">
        <v>127</v>
      </c>
    </row>
    <row r="28" spans="1:13">
      <c r="A28" s="5" t="s">
        <v>61</v>
      </c>
      <c r="B28" s="4"/>
      <c r="C28" s="4"/>
      <c r="D28" s="4"/>
      <c r="E28" s="4"/>
      <c r="F28" s="4"/>
    </row>
    <row r="29" spans="1:13">
      <c r="A29" s="2" t="s">
        <v>124</v>
      </c>
      <c r="B29" s="4">
        <v>100</v>
      </c>
      <c r="C29" s="4">
        <v>139.19999999999999</v>
      </c>
      <c r="D29" s="4">
        <v>123.8</v>
      </c>
      <c r="E29" s="4">
        <v>89.1</v>
      </c>
      <c r="F29" s="4">
        <v>-42.5</v>
      </c>
      <c r="G29" s="4">
        <v>42.2</v>
      </c>
      <c r="H29" s="4">
        <v>-42.2</v>
      </c>
      <c r="I29" s="4">
        <v>42.2</v>
      </c>
      <c r="J29" s="4">
        <v>-42.2</v>
      </c>
      <c r="K29" s="4">
        <v>42.2</v>
      </c>
    </row>
    <row r="30" spans="1:13">
      <c r="A30" s="2"/>
      <c r="B30" s="26">
        <v>-347.7</v>
      </c>
      <c r="C30" s="26">
        <v>-316.60000000000002</v>
      </c>
      <c r="D30" s="26">
        <v>-416.7</v>
      </c>
      <c r="E30" s="26">
        <v>63.3</v>
      </c>
      <c r="F30" s="26">
        <v>5.4</v>
      </c>
      <c r="G30" s="26"/>
      <c r="H30" s="26"/>
      <c r="I30" s="14"/>
      <c r="J30" s="14"/>
      <c r="K30" s="14"/>
    </row>
    <row r="31" spans="1:13">
      <c r="A31" s="2"/>
      <c r="B31" s="24"/>
      <c r="C31" s="24"/>
      <c r="D31" s="24"/>
      <c r="E31" s="24"/>
      <c r="F31" s="24"/>
      <c r="G31" s="14"/>
      <c r="H31" s="14"/>
      <c r="I31" s="14"/>
      <c r="J31" s="14"/>
      <c r="K31" s="14"/>
    </row>
    <row r="32" spans="1:13">
      <c r="A32" s="2"/>
      <c r="B32" s="4"/>
      <c r="C32" s="14"/>
      <c r="D32" s="14"/>
      <c r="E32" s="14"/>
      <c r="F32" s="14"/>
      <c r="M32" t="s">
        <v>127</v>
      </c>
    </row>
    <row r="33" spans="1:11">
      <c r="A33" s="5" t="s">
        <v>63</v>
      </c>
      <c r="B33" s="4"/>
      <c r="C33" s="4"/>
      <c r="D33" s="4"/>
      <c r="E33" s="4"/>
      <c r="F33" s="4"/>
    </row>
    <row r="34" spans="1:11">
      <c r="A34" s="5" t="s">
        <v>66</v>
      </c>
      <c r="B34" s="23">
        <f>B5+B11+B17+B23+B29</f>
        <v>11790.199999999999</v>
      </c>
      <c r="C34" s="23">
        <f t="shared" ref="C34:K34" si="8">C5+C11+C17+C23+C29</f>
        <v>12733.100000000002</v>
      </c>
      <c r="D34" s="23">
        <f t="shared" si="8"/>
        <v>14187.8</v>
      </c>
      <c r="E34" s="23">
        <f t="shared" si="8"/>
        <v>15366.800000000001</v>
      </c>
      <c r="F34" s="23">
        <f t="shared" si="8"/>
        <v>15698.899999999998</v>
      </c>
      <c r="G34" s="23">
        <f t="shared" si="8"/>
        <v>16532.026500000004</v>
      </c>
      <c r="H34" s="23">
        <f t="shared" si="8"/>
        <v>17233.401977500002</v>
      </c>
      <c r="I34" s="23">
        <f t="shared" si="8"/>
        <v>18087.414907675</v>
      </c>
      <c r="J34" s="23">
        <f t="shared" si="8"/>
        <v>18809.643669254376</v>
      </c>
      <c r="K34" s="23">
        <f t="shared" si="8"/>
        <v>19739.563775148414</v>
      </c>
    </row>
    <row r="37" spans="1:11">
      <c r="B37" s="6">
        <f>B9+B15+B21+B27</f>
        <v>7278.4797096503298</v>
      </c>
      <c r="C37" s="6">
        <f t="shared" ref="C37:K37" si="9">C9+C15+C21+C27</f>
        <v>7761.7470749134136</v>
      </c>
      <c r="D37" s="6">
        <f t="shared" si="9"/>
        <v>8949.9330524436482</v>
      </c>
      <c r="E37" s="6">
        <f t="shared" si="9"/>
        <v>9118.9</v>
      </c>
      <c r="F37" s="6">
        <f t="shared" si="9"/>
        <v>8968.2000000000007</v>
      </c>
      <c r="G37" s="6">
        <f t="shared" si="9"/>
        <v>10108.9806515</v>
      </c>
      <c r="H37" s="6">
        <f t="shared" si="9"/>
        <v>10472.70669609889</v>
      </c>
      <c r="I37" s="6">
        <f t="shared" si="9"/>
        <v>10900.54398180106</v>
      </c>
      <c r="J37" s="6">
        <f t="shared" si="9"/>
        <v>11461.322252005253</v>
      </c>
      <c r="K37" s="6">
        <f t="shared" si="9"/>
        <v>11942.223760251993</v>
      </c>
    </row>
    <row r="38" spans="1:11">
      <c r="B38">
        <v>9.8000000000000007</v>
      </c>
      <c r="C38">
        <v>47.5</v>
      </c>
      <c r="D38">
        <v>-50.1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5886-1188-49D8-8D85-FBC81576F968}">
  <dimension ref="A3:L54"/>
  <sheetViews>
    <sheetView zoomScale="71" zoomScaleNormal="100" workbookViewId="0">
      <selection activeCell="D8" sqref="D8"/>
    </sheetView>
  </sheetViews>
  <sheetFormatPr defaultRowHeight="14.4"/>
  <cols>
    <col min="1" max="1" width="24" bestFit="1" customWidth="1"/>
    <col min="2" max="2" width="8.5546875" bestFit="1" customWidth="1"/>
    <col min="3" max="3" width="7.5546875" bestFit="1" customWidth="1"/>
    <col min="4" max="9" width="8.5546875" bestFit="1" customWidth="1"/>
  </cols>
  <sheetData>
    <row r="3" spans="1:12">
      <c r="A3" s="421" t="s">
        <v>132</v>
      </c>
      <c r="B3" s="362">
        <v>2022</v>
      </c>
      <c r="C3" s="362">
        <v>2023</v>
      </c>
      <c r="D3" s="362">
        <v>2024</v>
      </c>
      <c r="E3" s="362">
        <v>2025</v>
      </c>
      <c r="F3" s="362">
        <v>2026</v>
      </c>
      <c r="G3" s="362">
        <v>2027</v>
      </c>
      <c r="H3" s="362">
        <v>2028</v>
      </c>
      <c r="I3" s="363">
        <v>2029</v>
      </c>
      <c r="K3" s="346"/>
    </row>
    <row r="4" spans="1:12">
      <c r="A4" s="377" t="s">
        <v>133</v>
      </c>
      <c r="B4" s="2"/>
      <c r="C4" s="2"/>
      <c r="D4" s="2"/>
      <c r="E4" s="2"/>
      <c r="F4" s="2"/>
      <c r="I4" s="346"/>
      <c r="K4" s="346"/>
    </row>
    <row r="5" spans="1:12">
      <c r="A5" s="375" t="s">
        <v>136</v>
      </c>
      <c r="B5" s="36">
        <v>7172.6</v>
      </c>
      <c r="C5" s="36">
        <v>7640.5</v>
      </c>
      <c r="D5" s="36">
        <v>7857.2</v>
      </c>
      <c r="E5" s="36">
        <f>Revenue!G6</f>
        <v>8062.2430000000004</v>
      </c>
      <c r="F5" s="36">
        <f>Revenue!H6</f>
        <v>8357.9864500000003</v>
      </c>
      <c r="G5" s="36">
        <f>Revenue!I6</f>
        <v>8636.2583200500012</v>
      </c>
      <c r="H5" s="36">
        <f>Revenue!J6</f>
        <v>8924.3255246832505</v>
      </c>
      <c r="I5" s="422">
        <f>Revenue!K6</f>
        <v>9222.544233334811</v>
      </c>
      <c r="K5" s="346"/>
    </row>
    <row r="6" spans="1:12">
      <c r="A6" s="377" t="s">
        <v>137</v>
      </c>
      <c r="B6" s="432">
        <v>4692.1000000000004</v>
      </c>
      <c r="C6" s="432">
        <v>4769.7</v>
      </c>
      <c r="D6" s="432">
        <v>4691.2</v>
      </c>
      <c r="E6" s="432">
        <f>E5*E7</f>
        <v>4837.3458000000001</v>
      </c>
      <c r="F6" s="432">
        <f t="shared" ref="F6:I6" si="0">F5*F7</f>
        <v>5014.79187</v>
      </c>
      <c r="G6" s="432">
        <f t="shared" si="0"/>
        <v>5181.7549920300007</v>
      </c>
      <c r="H6" s="432">
        <f t="shared" si="0"/>
        <v>5354.5953148099497</v>
      </c>
      <c r="I6" s="433">
        <f t="shared" si="0"/>
        <v>5533.5265400008866</v>
      </c>
      <c r="K6" s="346"/>
    </row>
    <row r="7" spans="1:12">
      <c r="A7" s="375"/>
      <c r="B7" s="392">
        <f>B6/B5</f>
        <v>0.65417003597022005</v>
      </c>
      <c r="C7" s="392">
        <f t="shared" ref="C7" si="1">C6/C5</f>
        <v>0.62426542765525816</v>
      </c>
      <c r="D7" s="392">
        <f>D6/D5</f>
        <v>0.59705747594562952</v>
      </c>
      <c r="E7" s="392">
        <f>+CHOOSE(Cover!$I$13,E8,E9,E10)</f>
        <v>0.6</v>
      </c>
      <c r="F7" s="392">
        <f>+CHOOSE(Cover!$I$13,F8,F9,F10)</f>
        <v>0.6</v>
      </c>
      <c r="G7" s="392">
        <f>+CHOOSE(Cover!$I$13,G8,G9,G10)</f>
        <v>0.6</v>
      </c>
      <c r="H7" s="392">
        <f>+CHOOSE(Cover!$I$13,H8,H9,H10)</f>
        <v>0.6</v>
      </c>
      <c r="I7" s="423">
        <f>+CHOOSE(Cover!$I$13,I8,I9,I10)</f>
        <v>0.6</v>
      </c>
      <c r="K7" s="346"/>
      <c r="L7" t="s">
        <v>383</v>
      </c>
    </row>
    <row r="8" spans="1:12">
      <c r="A8" s="373" t="s">
        <v>435</v>
      </c>
      <c r="B8" s="392"/>
      <c r="C8" s="392"/>
      <c r="D8" s="392"/>
      <c r="E8" s="392">
        <v>0.57999999999999996</v>
      </c>
      <c r="F8" s="392">
        <v>0.57999999999999996</v>
      </c>
      <c r="G8" s="392">
        <v>0.57999999999999996</v>
      </c>
      <c r="H8" s="392">
        <v>0.57999999999999996</v>
      </c>
      <c r="I8" s="423">
        <v>0.57999999999999996</v>
      </c>
      <c r="K8" s="346"/>
    </row>
    <row r="9" spans="1:12">
      <c r="A9" s="373" t="s">
        <v>436</v>
      </c>
      <c r="B9" s="392"/>
      <c r="C9" s="392"/>
      <c r="D9" s="392"/>
      <c r="E9" s="392">
        <v>0.6</v>
      </c>
      <c r="F9" s="392">
        <v>0.6</v>
      </c>
      <c r="G9" s="392">
        <v>0.6</v>
      </c>
      <c r="H9" s="392">
        <v>0.6</v>
      </c>
      <c r="I9" s="423">
        <v>0.6</v>
      </c>
      <c r="K9" s="346"/>
    </row>
    <row r="10" spans="1:12">
      <c r="A10" s="373" t="s">
        <v>437</v>
      </c>
      <c r="B10" s="392"/>
      <c r="C10" s="392"/>
      <c r="D10" s="392"/>
      <c r="E10" s="392">
        <v>0.62</v>
      </c>
      <c r="F10" s="392">
        <v>0.62</v>
      </c>
      <c r="G10" s="392">
        <v>0.62</v>
      </c>
      <c r="H10" s="392">
        <v>0.62</v>
      </c>
      <c r="I10" s="423">
        <v>0.62</v>
      </c>
      <c r="K10" s="346"/>
    </row>
    <row r="11" spans="1:12">
      <c r="A11" s="375" t="s">
        <v>131</v>
      </c>
      <c r="B11" s="36">
        <v>1531.6</v>
      </c>
      <c r="C11" s="36">
        <v>1748.8</v>
      </c>
      <c r="D11" s="36">
        <v>1865.4</v>
      </c>
      <c r="E11" s="36">
        <f>E12*E5</f>
        <v>1934.93832</v>
      </c>
      <c r="F11" s="36">
        <f t="shared" ref="F11:I11" si="2">F12*F5</f>
        <v>2005.9167480000001</v>
      </c>
      <c r="G11" s="36">
        <f t="shared" si="2"/>
        <v>2072.7019968120003</v>
      </c>
      <c r="H11" s="36">
        <f t="shared" si="2"/>
        <v>2141.83812592398</v>
      </c>
      <c r="I11" s="422">
        <f t="shared" si="2"/>
        <v>2213.4106160003544</v>
      </c>
      <c r="K11" s="346"/>
    </row>
    <row r="12" spans="1:12">
      <c r="A12" s="375"/>
      <c r="B12" s="424">
        <f>B11/B5</f>
        <v>0.21353484092239911</v>
      </c>
      <c r="C12" s="424">
        <f t="shared" ref="C12:D12" si="3">C11/C5</f>
        <v>0.22888554413978143</v>
      </c>
      <c r="D12" s="424">
        <f t="shared" si="3"/>
        <v>0.23741281881586318</v>
      </c>
      <c r="E12" s="424">
        <v>0.24</v>
      </c>
      <c r="F12" s="424">
        <v>0.24</v>
      </c>
      <c r="G12" s="424">
        <v>0.24</v>
      </c>
      <c r="H12" s="424">
        <v>0.24</v>
      </c>
      <c r="I12" s="425">
        <v>0.24</v>
      </c>
      <c r="K12" s="346"/>
      <c r="L12" t="s">
        <v>384</v>
      </c>
    </row>
    <row r="13" spans="1:12">
      <c r="A13" s="375" t="s">
        <v>138</v>
      </c>
      <c r="B13" s="36" t="s">
        <v>62</v>
      </c>
      <c r="C13" s="36" t="s">
        <v>62</v>
      </c>
      <c r="D13" s="36" t="s">
        <v>62</v>
      </c>
      <c r="E13" s="36"/>
      <c r="F13" s="36"/>
      <c r="G13" s="33"/>
      <c r="H13" s="33"/>
      <c r="I13" s="426"/>
      <c r="K13" s="346"/>
      <c r="L13" t="s">
        <v>385</v>
      </c>
    </row>
    <row r="14" spans="1:12" ht="28.8">
      <c r="A14" s="377" t="s">
        <v>134</v>
      </c>
      <c r="B14" s="36"/>
      <c r="C14" s="36"/>
      <c r="D14" s="36"/>
      <c r="E14" s="36"/>
      <c r="F14" s="36"/>
      <c r="G14" s="33"/>
      <c r="H14" s="33"/>
      <c r="I14" s="426"/>
      <c r="K14" s="346"/>
    </row>
    <row r="15" spans="1:12">
      <c r="A15" s="375" t="s">
        <v>136</v>
      </c>
      <c r="B15" s="36">
        <v>4433.2</v>
      </c>
      <c r="C15" s="36">
        <v>5014.6000000000004</v>
      </c>
      <c r="D15" s="36">
        <v>5413.9</v>
      </c>
      <c r="E15" s="36">
        <f>Revenue!G9</f>
        <v>5649.228000000001</v>
      </c>
      <c r="F15" s="36">
        <f>Revenue!H9</f>
        <v>5929.1351950000007</v>
      </c>
      <c r="G15" s="36">
        <f>Revenue!I9</f>
        <v>6222.986583150001</v>
      </c>
      <c r="H15" s="36">
        <f>Revenue!J9</f>
        <v>6531.4806545503761</v>
      </c>
      <c r="I15" s="422">
        <f>Revenue!K9</f>
        <v>6855.3510882553992</v>
      </c>
      <c r="K15" s="346"/>
    </row>
    <row r="16" spans="1:12">
      <c r="A16" s="377" t="s">
        <v>137</v>
      </c>
      <c r="B16" s="432">
        <v>2491.3000000000002</v>
      </c>
      <c r="C16" s="432">
        <v>2727.3</v>
      </c>
      <c r="D16" s="432">
        <v>2727.5</v>
      </c>
      <c r="E16" s="432">
        <f>E15*E17</f>
        <v>2824.6140000000005</v>
      </c>
      <c r="F16" s="432">
        <f t="shared" ref="F16:I16" si="4">F15*F17</f>
        <v>2964.5675975000004</v>
      </c>
      <c r="G16" s="432">
        <f t="shared" si="4"/>
        <v>3111.4932915750005</v>
      </c>
      <c r="H16" s="432">
        <f t="shared" si="4"/>
        <v>3265.7403272751881</v>
      </c>
      <c r="I16" s="433">
        <f t="shared" si="4"/>
        <v>3427.6755441276996</v>
      </c>
      <c r="K16" s="346"/>
    </row>
    <row r="17" spans="1:12">
      <c r="A17" s="375"/>
      <c r="B17" s="396">
        <f>B16/B15</f>
        <v>0.56196426960209334</v>
      </c>
      <c r="C17" s="396">
        <f t="shared" ref="C17:D17" si="5">C16/C15</f>
        <v>0.54387189406931757</v>
      </c>
      <c r="D17" s="396">
        <f t="shared" si="5"/>
        <v>0.50379578492399202</v>
      </c>
      <c r="E17" s="396">
        <f>+CHOOSE(Cover!$I$14,E18,E19,E20)</f>
        <v>0.5</v>
      </c>
      <c r="F17" s="396">
        <f>+CHOOSE(Cover!$I$14,F18,F19,F20)</f>
        <v>0.5</v>
      </c>
      <c r="G17" s="396">
        <f>+CHOOSE(Cover!$I$14,G18,G19,G20)</f>
        <v>0.5</v>
      </c>
      <c r="H17" s="396">
        <f>+CHOOSE(Cover!$I$14,H18,H19,H20)</f>
        <v>0.5</v>
      </c>
      <c r="I17" s="427">
        <f>+CHOOSE(Cover!$I$14,I18,I19,I20)</f>
        <v>0.5</v>
      </c>
      <c r="K17" s="346"/>
      <c r="L17" t="s">
        <v>386</v>
      </c>
    </row>
    <row r="18" spans="1:12">
      <c r="A18" s="373" t="s">
        <v>435</v>
      </c>
      <c r="B18" s="396"/>
      <c r="C18" s="396"/>
      <c r="D18" s="396"/>
      <c r="E18" s="396">
        <v>0.48</v>
      </c>
      <c r="F18" s="396">
        <v>0.48</v>
      </c>
      <c r="G18" s="396">
        <v>0.48</v>
      </c>
      <c r="H18" s="396">
        <v>0.48</v>
      </c>
      <c r="I18" s="427">
        <v>0.48</v>
      </c>
      <c r="K18" s="346"/>
    </row>
    <row r="19" spans="1:12">
      <c r="A19" s="373" t="s">
        <v>436</v>
      </c>
      <c r="B19" s="396"/>
      <c r="C19" s="396"/>
      <c r="D19" s="396"/>
      <c r="E19" s="396">
        <v>0.5</v>
      </c>
      <c r="F19" s="396">
        <v>0.5</v>
      </c>
      <c r="G19" s="396">
        <v>0.5</v>
      </c>
      <c r="H19" s="396">
        <v>0.5</v>
      </c>
      <c r="I19" s="427">
        <v>0.5</v>
      </c>
      <c r="K19" s="346"/>
    </row>
    <row r="20" spans="1:12">
      <c r="A20" s="373" t="s">
        <v>437</v>
      </c>
      <c r="B20" s="396"/>
      <c r="C20" s="396"/>
      <c r="D20" s="396"/>
      <c r="E20" s="396">
        <v>0.52</v>
      </c>
      <c r="F20" s="396">
        <v>0.52</v>
      </c>
      <c r="G20" s="396">
        <v>0.52</v>
      </c>
      <c r="H20" s="396">
        <v>0.52</v>
      </c>
      <c r="I20" s="427">
        <v>0.52</v>
      </c>
      <c r="K20" s="346"/>
    </row>
    <row r="21" spans="1:12">
      <c r="A21" s="375" t="s">
        <v>131</v>
      </c>
      <c r="B21" s="36">
        <v>1310</v>
      </c>
      <c r="C21" s="36">
        <v>1445.5</v>
      </c>
      <c r="D21" s="36">
        <v>1503.7</v>
      </c>
      <c r="E21" s="36">
        <f>E22*E15</f>
        <v>1581.7838400000005</v>
      </c>
      <c r="F21" s="36">
        <f t="shared" ref="F21:I21" si="6">F22*F15</f>
        <v>1660.1578546000003</v>
      </c>
      <c r="G21" s="36">
        <f t="shared" si="6"/>
        <v>1742.4362432820005</v>
      </c>
      <c r="H21" s="36">
        <f t="shared" si="6"/>
        <v>1828.8145832741054</v>
      </c>
      <c r="I21" s="422">
        <f t="shared" si="6"/>
        <v>1919.498304711512</v>
      </c>
      <c r="K21" s="346"/>
    </row>
    <row r="22" spans="1:12">
      <c r="A22" s="375"/>
      <c r="B22" s="392">
        <f>B21/B15</f>
        <v>0.29549760895064514</v>
      </c>
      <c r="C22" s="392">
        <f t="shared" ref="C22:D22" si="7">C21/C15</f>
        <v>0.28825828580544804</v>
      </c>
      <c r="D22" s="392">
        <f t="shared" si="7"/>
        <v>0.27774801898816015</v>
      </c>
      <c r="E22" s="392">
        <v>0.28000000000000003</v>
      </c>
      <c r="F22" s="392">
        <v>0.28000000000000003</v>
      </c>
      <c r="G22" s="392">
        <v>0.28000000000000003</v>
      </c>
      <c r="H22" s="392">
        <v>0.28000000000000003</v>
      </c>
      <c r="I22" s="423">
        <v>0.28000000000000003</v>
      </c>
      <c r="K22" s="346"/>
      <c r="L22" t="s">
        <v>387</v>
      </c>
    </row>
    <row r="23" spans="1:12">
      <c r="A23" s="375" t="s">
        <v>138</v>
      </c>
      <c r="B23" s="36" t="s">
        <v>62</v>
      </c>
      <c r="C23" s="36" t="s">
        <v>62</v>
      </c>
      <c r="D23" s="36" t="s">
        <v>62</v>
      </c>
      <c r="E23" s="36"/>
      <c r="F23" s="36"/>
      <c r="G23" s="33"/>
      <c r="H23" s="33"/>
      <c r="I23" s="426"/>
      <c r="K23" s="346"/>
      <c r="L23" t="s">
        <v>388</v>
      </c>
    </row>
    <row r="24" spans="1:12" ht="28.8">
      <c r="A24" s="377" t="s">
        <v>135</v>
      </c>
      <c r="B24" s="36"/>
      <c r="C24" s="36"/>
      <c r="D24" s="36"/>
      <c r="E24" s="36"/>
      <c r="F24" s="36"/>
      <c r="G24" s="33"/>
      <c r="H24" s="33"/>
      <c r="I24" s="426"/>
      <c r="K24" s="346"/>
    </row>
    <row r="25" spans="1:12">
      <c r="A25" s="375" t="s">
        <v>136</v>
      </c>
      <c r="B25" s="36">
        <v>1534.3</v>
      </c>
      <c r="C25" s="36">
        <v>1607.5</v>
      </c>
      <c r="D25" s="36">
        <v>1434.1</v>
      </c>
      <c r="E25" s="36">
        <f>Revenue!G12</f>
        <v>1489.0625</v>
      </c>
      <c r="F25" s="36">
        <f>Revenue!H12</f>
        <v>1562.8864925</v>
      </c>
      <c r="G25" s="36">
        <f>Revenue!I12</f>
        <v>1631.8981822000001</v>
      </c>
      <c r="H25" s="36">
        <f>Revenue!J12</f>
        <v>1704.0257321345</v>
      </c>
      <c r="I25" s="422">
        <f>Revenue!K12</f>
        <v>1779.4138092562225</v>
      </c>
      <c r="K25" s="346"/>
    </row>
    <row r="26" spans="1:12">
      <c r="A26" s="377" t="s">
        <v>137</v>
      </c>
      <c r="B26" s="432">
        <v>956.2</v>
      </c>
      <c r="C26" s="432">
        <v>1026.9000000000001</v>
      </c>
      <c r="D26" s="432">
        <v>895.1</v>
      </c>
      <c r="E26" s="432">
        <f>E25*E27</f>
        <v>923.21875</v>
      </c>
      <c r="F26" s="432">
        <f t="shared" ref="F26:I26" si="8">F25*F27</f>
        <v>968.98962534999998</v>
      </c>
      <c r="G26" s="432">
        <f t="shared" si="8"/>
        <v>1011.7768729640001</v>
      </c>
      <c r="H26" s="432">
        <f t="shared" si="8"/>
        <v>1056.4959539233901</v>
      </c>
      <c r="I26" s="433">
        <f t="shared" si="8"/>
        <v>1103.236561738858</v>
      </c>
      <c r="K26" s="346"/>
    </row>
    <row r="27" spans="1:12">
      <c r="A27" s="375"/>
      <c r="B27" s="392">
        <f>B26/B25</f>
        <v>0.62321579873557975</v>
      </c>
      <c r="C27" s="392">
        <f t="shared" ref="C27:D27" si="9">C26/C25</f>
        <v>0.63881804043545887</v>
      </c>
      <c r="D27" s="392">
        <f t="shared" si="9"/>
        <v>0.62415452199986055</v>
      </c>
      <c r="E27" s="392">
        <v>0.62</v>
      </c>
      <c r="F27" s="392">
        <v>0.62</v>
      </c>
      <c r="G27" s="392">
        <v>0.62</v>
      </c>
      <c r="H27" s="392">
        <v>0.62</v>
      </c>
      <c r="I27" s="423">
        <v>0.62</v>
      </c>
      <c r="K27" s="346"/>
      <c r="L27" t="s">
        <v>389</v>
      </c>
    </row>
    <row r="28" spans="1:12">
      <c r="A28" s="375" t="s">
        <v>131</v>
      </c>
      <c r="B28" s="36">
        <v>384.7</v>
      </c>
      <c r="C28" s="36">
        <v>419.8</v>
      </c>
      <c r="D28" s="36">
        <v>391.8</v>
      </c>
      <c r="E28" s="36">
        <f>E29*E25</f>
        <v>387.15625</v>
      </c>
      <c r="F28" s="36">
        <f t="shared" ref="F28:I28" si="10">F29*F25</f>
        <v>406.35048805000002</v>
      </c>
      <c r="G28" s="36">
        <f t="shared" si="10"/>
        <v>424.29352737200003</v>
      </c>
      <c r="H28" s="36">
        <f t="shared" si="10"/>
        <v>443.04669035497</v>
      </c>
      <c r="I28" s="422">
        <f t="shared" si="10"/>
        <v>462.64759040661789</v>
      </c>
      <c r="K28" s="346"/>
    </row>
    <row r="29" spans="1:12">
      <c r="A29" s="375"/>
      <c r="B29" s="392">
        <f>B28/B25</f>
        <v>0.25073323339633707</v>
      </c>
      <c r="C29" s="392">
        <f t="shared" ref="C29:D29" si="11">C28/C25</f>
        <v>0.26115085536547433</v>
      </c>
      <c r="D29" s="392">
        <f t="shared" si="11"/>
        <v>0.27320270552960046</v>
      </c>
      <c r="E29" s="392">
        <v>0.26</v>
      </c>
      <c r="F29" s="392">
        <v>0.26</v>
      </c>
      <c r="G29" s="392">
        <v>0.26</v>
      </c>
      <c r="H29" s="392">
        <v>0.26</v>
      </c>
      <c r="I29" s="423">
        <v>0.26</v>
      </c>
      <c r="K29" s="346"/>
      <c r="L29" t="s">
        <v>390</v>
      </c>
    </row>
    <row r="30" spans="1:12">
      <c r="A30" s="375" t="s">
        <v>138</v>
      </c>
      <c r="B30" s="36" t="s">
        <v>62</v>
      </c>
      <c r="C30" s="36" t="s">
        <v>62</v>
      </c>
      <c r="D30" s="36" t="s">
        <v>62</v>
      </c>
      <c r="E30" s="36"/>
      <c r="F30" s="36"/>
      <c r="G30" s="33"/>
      <c r="H30" s="33"/>
      <c r="I30" s="426"/>
      <c r="K30" s="346"/>
      <c r="L30" t="s">
        <v>388</v>
      </c>
    </row>
    <row r="31" spans="1:12">
      <c r="A31" s="377" t="s">
        <v>139</v>
      </c>
      <c r="B31" s="36"/>
      <c r="C31" s="36"/>
      <c r="D31" s="36"/>
      <c r="E31" s="36"/>
      <c r="F31" s="36"/>
      <c r="G31" s="33"/>
      <c r="H31" s="33"/>
      <c r="I31" s="426"/>
      <c r="K31" s="346"/>
    </row>
    <row r="32" spans="1:12">
      <c r="A32" s="375" t="s">
        <v>136</v>
      </c>
      <c r="B32" s="36">
        <v>963.5</v>
      </c>
      <c r="C32" s="36">
        <v>1070.2</v>
      </c>
      <c r="D32" s="36">
        <v>1167.8</v>
      </c>
      <c r="E32" s="36">
        <f>'Cost of sales'!G23</f>
        <v>1218.9510000000002</v>
      </c>
      <c r="F32" s="36">
        <f>'Cost of sales'!H23</f>
        <v>1277.8363600000002</v>
      </c>
      <c r="G32" s="36">
        <f>'Cost of sales'!I23</f>
        <v>1339.590249825</v>
      </c>
      <c r="H32" s="36">
        <f>'Cost of sales'!J23</f>
        <v>1404.3534686995001</v>
      </c>
      <c r="I32" s="422">
        <f>'Cost of sales'!K23</f>
        <v>1472.2737749333387</v>
      </c>
      <c r="K32" s="346"/>
    </row>
    <row r="33" spans="1:12">
      <c r="A33" s="377" t="s">
        <v>137</v>
      </c>
      <c r="B33" s="432">
        <v>537.79999999999995</v>
      </c>
      <c r="C33" s="432">
        <v>595</v>
      </c>
      <c r="D33" s="432">
        <v>655</v>
      </c>
      <c r="E33" s="432">
        <f>E32*E34</f>
        <v>683.68976280184984</v>
      </c>
      <c r="F33" s="432">
        <f t="shared" ref="F33:I33" si="12">F32*F34</f>
        <v>716.71760215790391</v>
      </c>
      <c r="G33" s="432">
        <f t="shared" si="12"/>
        <v>751.35435317295344</v>
      </c>
      <c r="H33" s="432">
        <f t="shared" si="12"/>
        <v>787.67898783881878</v>
      </c>
      <c r="I33" s="433">
        <f t="shared" si="12"/>
        <v>825.77438138494335</v>
      </c>
      <c r="K33" s="346"/>
    </row>
    <row r="34" spans="1:12">
      <c r="A34" s="375"/>
      <c r="B34" s="392">
        <f>B33/B32</f>
        <v>0.55817332641411521</v>
      </c>
      <c r="C34" s="392">
        <f>C33/C32</f>
        <v>0.55597084657073437</v>
      </c>
      <c r="D34" s="392">
        <f t="shared" ref="D34" si="13">D33/D32</f>
        <v>0.56088371296454875</v>
      </c>
      <c r="E34" s="392">
        <f>D34</f>
        <v>0.56088371296454875</v>
      </c>
      <c r="F34" s="392">
        <f t="shared" ref="F34:I34" si="14">E34</f>
        <v>0.56088371296454875</v>
      </c>
      <c r="G34" s="392">
        <f t="shared" si="14"/>
        <v>0.56088371296454875</v>
      </c>
      <c r="H34" s="392">
        <f t="shared" si="14"/>
        <v>0.56088371296454875</v>
      </c>
      <c r="I34" s="423">
        <f t="shared" si="14"/>
        <v>0.56088371296454875</v>
      </c>
      <c r="K34" s="346"/>
      <c r="L34" t="s">
        <v>391</v>
      </c>
    </row>
    <row r="35" spans="1:12">
      <c r="A35" s="375" t="s">
        <v>131</v>
      </c>
      <c r="B35" s="36">
        <v>228.4</v>
      </c>
      <c r="C35" s="36">
        <v>264.8</v>
      </c>
      <c r="D35" s="36">
        <v>292.39999999999998</v>
      </c>
      <c r="E35" s="36">
        <f>E36*E32</f>
        <v>304.73775000000006</v>
      </c>
      <c r="F35" s="36">
        <f t="shared" ref="F35:I35" si="15">F36*F32</f>
        <v>319.45909000000006</v>
      </c>
      <c r="G35" s="36">
        <f t="shared" si="15"/>
        <v>334.89756245625</v>
      </c>
      <c r="H35" s="36">
        <f t="shared" si="15"/>
        <v>351.08836717487503</v>
      </c>
      <c r="I35" s="422">
        <f t="shared" si="15"/>
        <v>368.06844373333468</v>
      </c>
      <c r="K35" s="346"/>
    </row>
    <row r="36" spans="1:12">
      <c r="A36" s="375"/>
      <c r="B36" s="392">
        <f>B35/B32</f>
        <v>0.23705241307732228</v>
      </c>
      <c r="C36" s="392">
        <f t="shared" ref="C36:D36" si="16">C35/C32</f>
        <v>0.24743038684358065</v>
      </c>
      <c r="D36" s="392">
        <f t="shared" si="16"/>
        <v>0.2503853399554718</v>
      </c>
      <c r="E36" s="392">
        <v>0.25</v>
      </c>
      <c r="F36" s="392">
        <v>0.25</v>
      </c>
      <c r="G36" s="392">
        <v>0.25</v>
      </c>
      <c r="H36" s="392">
        <v>0.25</v>
      </c>
      <c r="I36" s="423">
        <v>0.25</v>
      </c>
      <c r="K36" s="346"/>
      <c r="L36" t="s">
        <v>392</v>
      </c>
    </row>
    <row r="37" spans="1:12">
      <c r="A37" s="375" t="s">
        <v>138</v>
      </c>
      <c r="B37" s="36" t="s">
        <v>62</v>
      </c>
      <c r="C37" s="36" t="s">
        <v>62</v>
      </c>
      <c r="D37" s="36" t="s">
        <v>62</v>
      </c>
      <c r="E37" s="36"/>
      <c r="F37" s="36"/>
      <c r="G37" s="33"/>
      <c r="H37" s="33"/>
      <c r="I37" s="426"/>
      <c r="K37" s="346"/>
      <c r="L37" t="s">
        <v>388</v>
      </c>
    </row>
    <row r="38" spans="1:12">
      <c r="A38" s="377" t="s">
        <v>140</v>
      </c>
      <c r="B38" s="36"/>
      <c r="C38" s="36"/>
      <c r="D38" s="36"/>
      <c r="E38" s="36"/>
      <c r="F38" s="36"/>
      <c r="G38" s="33"/>
      <c r="H38" s="33"/>
      <c r="I38" s="426"/>
      <c r="K38" s="346"/>
    </row>
    <row r="39" spans="1:12">
      <c r="A39" s="375" t="s">
        <v>136</v>
      </c>
      <c r="B39" s="36">
        <v>89.2</v>
      </c>
      <c r="C39" s="36">
        <v>42.7</v>
      </c>
      <c r="D39" s="36">
        <v>-5.4</v>
      </c>
      <c r="E39" s="36">
        <v>0</v>
      </c>
      <c r="F39" s="36">
        <v>0</v>
      </c>
      <c r="G39" s="36">
        <v>0</v>
      </c>
      <c r="H39" s="36">
        <v>0</v>
      </c>
      <c r="I39" s="422">
        <v>0</v>
      </c>
      <c r="K39" s="346"/>
      <c r="L39" t="s">
        <v>394</v>
      </c>
    </row>
    <row r="40" spans="1:12">
      <c r="A40" s="377" t="s">
        <v>137</v>
      </c>
      <c r="B40" s="432">
        <v>159</v>
      </c>
      <c r="C40" s="432">
        <v>63.3</v>
      </c>
      <c r="D40" s="432">
        <v>199.3</v>
      </c>
      <c r="E40" s="432">
        <v>0</v>
      </c>
      <c r="F40" s="432">
        <v>0</v>
      </c>
      <c r="G40" s="432">
        <v>0</v>
      </c>
      <c r="H40" s="432">
        <v>0</v>
      </c>
      <c r="I40" s="433">
        <v>0</v>
      </c>
      <c r="K40" s="346"/>
      <c r="L40" t="s">
        <v>394</v>
      </c>
    </row>
    <row r="41" spans="1:12">
      <c r="A41" s="375" t="s">
        <v>131</v>
      </c>
      <c r="B41" s="36">
        <v>204</v>
      </c>
      <c r="C41" s="36">
        <v>200.8</v>
      </c>
      <c r="D41" s="36">
        <v>188.9</v>
      </c>
      <c r="E41" s="36">
        <v>200</v>
      </c>
      <c r="F41" s="36">
        <v>200</v>
      </c>
      <c r="G41" s="36">
        <v>200</v>
      </c>
      <c r="H41" s="36">
        <v>200</v>
      </c>
      <c r="I41" s="422">
        <v>200</v>
      </c>
      <c r="K41" s="346"/>
      <c r="L41" t="s">
        <v>393</v>
      </c>
    </row>
    <row r="42" spans="1:12">
      <c r="A42" s="375" t="s">
        <v>138</v>
      </c>
      <c r="B42" s="36">
        <v>140.5</v>
      </c>
      <c r="C42" s="36">
        <v>111.4</v>
      </c>
      <c r="D42" s="36">
        <v>-188.9</v>
      </c>
      <c r="E42" s="36">
        <v>100</v>
      </c>
      <c r="F42" s="36">
        <v>100</v>
      </c>
      <c r="G42" s="36">
        <v>100</v>
      </c>
      <c r="H42" s="36">
        <v>100</v>
      </c>
      <c r="I42" s="422">
        <v>100</v>
      </c>
      <c r="K42" s="346"/>
      <c r="L42" t="s">
        <v>395</v>
      </c>
    </row>
    <row r="43" spans="1:12">
      <c r="A43" s="377" t="s">
        <v>141</v>
      </c>
      <c r="B43" s="36"/>
      <c r="C43" s="36"/>
      <c r="D43" s="36"/>
      <c r="E43" s="36"/>
      <c r="F43" s="36"/>
      <c r="G43" s="33"/>
      <c r="H43" s="33"/>
      <c r="I43" s="426"/>
      <c r="K43" s="346"/>
    </row>
    <row r="44" spans="1:12">
      <c r="A44" s="375" t="s">
        <v>136</v>
      </c>
      <c r="B44" s="36">
        <f t="shared" ref="B44:I45" si="17">B5+B15+B25+B32+B39</f>
        <v>14192.8</v>
      </c>
      <c r="C44" s="36">
        <f t="shared" si="17"/>
        <v>15375.500000000002</v>
      </c>
      <c r="D44" s="36">
        <f t="shared" si="17"/>
        <v>15867.599999999999</v>
      </c>
      <c r="E44" s="36">
        <f t="shared" si="17"/>
        <v>16419.484500000002</v>
      </c>
      <c r="F44" s="36">
        <f t="shared" si="17"/>
        <v>17127.844497500002</v>
      </c>
      <c r="G44" s="36">
        <f t="shared" si="17"/>
        <v>17830.733335225003</v>
      </c>
      <c r="H44" s="36">
        <f t="shared" si="17"/>
        <v>18564.185380067629</v>
      </c>
      <c r="I44" s="422">
        <f t="shared" si="17"/>
        <v>19329.582905779775</v>
      </c>
      <c r="K44" s="346"/>
    </row>
    <row r="45" spans="1:12">
      <c r="A45" s="377" t="s">
        <v>137</v>
      </c>
      <c r="B45" s="432">
        <f t="shared" si="17"/>
        <v>8836.4</v>
      </c>
      <c r="C45" s="432">
        <f t="shared" si="17"/>
        <v>9182.1999999999989</v>
      </c>
      <c r="D45" s="432">
        <f t="shared" si="17"/>
        <v>9168.0999999999985</v>
      </c>
      <c r="E45" s="432">
        <f t="shared" si="17"/>
        <v>9268.8683128018511</v>
      </c>
      <c r="F45" s="432">
        <f t="shared" si="17"/>
        <v>9665.066695007903</v>
      </c>
      <c r="G45" s="432">
        <f t="shared" si="17"/>
        <v>10056.379509741953</v>
      </c>
      <c r="H45" s="432">
        <f t="shared" si="17"/>
        <v>10464.510583847346</v>
      </c>
      <c r="I45" s="433">
        <f t="shared" si="17"/>
        <v>10890.213027252388</v>
      </c>
      <c r="K45" s="346"/>
    </row>
    <row r="46" spans="1:12">
      <c r="A46" s="375"/>
      <c r="B46" s="396">
        <f>B45/B44</f>
        <v>0.62259737331604759</v>
      </c>
      <c r="C46" s="396">
        <f t="shared" ref="C46:D46" si="18">C45/C44</f>
        <v>0.59719683912718269</v>
      </c>
      <c r="D46" s="396">
        <f t="shared" si="18"/>
        <v>0.57778744107489477</v>
      </c>
      <c r="E46" s="396">
        <f t="shared" ref="E46" si="19">E45/E44</f>
        <v>0.56450422135980272</v>
      </c>
      <c r="F46" s="396">
        <f t="shared" ref="F46" si="20">F45/F44</f>
        <v>0.56428972696585533</v>
      </c>
      <c r="G46" s="396">
        <f t="shared" ref="G46" si="21">G45/G44</f>
        <v>0.56399135810501733</v>
      </c>
      <c r="H46" s="396">
        <f t="shared" ref="H46" si="22">H45/H44</f>
        <v>0.56369349743097774</v>
      </c>
      <c r="I46" s="427">
        <f t="shared" ref="I46" si="23">I45/I44</f>
        <v>0.56339617260939889</v>
      </c>
      <c r="K46" s="346"/>
    </row>
    <row r="47" spans="1:12">
      <c r="A47" s="375" t="s">
        <v>131</v>
      </c>
      <c r="B47" s="36">
        <f t="shared" ref="B47:I47" si="24">B11+B21+B28+B35+B41</f>
        <v>3658.7</v>
      </c>
      <c r="C47" s="36">
        <f t="shared" si="24"/>
        <v>4079.7000000000007</v>
      </c>
      <c r="D47" s="36">
        <f t="shared" si="24"/>
        <v>4242.2000000000007</v>
      </c>
      <c r="E47" s="36">
        <f t="shared" si="24"/>
        <v>4408.6161600000005</v>
      </c>
      <c r="F47" s="36">
        <f t="shared" si="24"/>
        <v>4591.8841806500004</v>
      </c>
      <c r="G47" s="36">
        <f t="shared" si="24"/>
        <v>4774.3293299222514</v>
      </c>
      <c r="H47" s="36">
        <f t="shared" si="24"/>
        <v>4964.7877667279308</v>
      </c>
      <c r="I47" s="422">
        <f t="shared" si="24"/>
        <v>5163.6249548518199</v>
      </c>
      <c r="K47" s="346"/>
    </row>
    <row r="48" spans="1:12">
      <c r="A48" s="375"/>
      <c r="B48" s="396">
        <f>B47/B44</f>
        <v>0.25778563778817426</v>
      </c>
      <c r="C48" s="396">
        <f t="shared" ref="C48:D48" si="25">C47/C44</f>
        <v>0.26533771259471239</v>
      </c>
      <c r="D48" s="396">
        <f t="shared" si="25"/>
        <v>0.26734981975850169</v>
      </c>
      <c r="E48" s="396">
        <f t="shared" ref="E48" si="26">E47/E44</f>
        <v>0.26849906036940441</v>
      </c>
      <c r="F48" s="396">
        <f t="shared" ref="F48" si="27">F47/F44</f>
        <v>0.26809469115160617</v>
      </c>
      <c r="G48" s="396">
        <f t="shared" ref="G48" si="28">G47/G44</f>
        <v>0.2677584393284857</v>
      </c>
      <c r="H48" s="396">
        <f t="shared" ref="H48" si="29">H47/H44</f>
        <v>0.26743903193611851</v>
      </c>
      <c r="I48" s="427">
        <f t="shared" ref="I48" si="30">I47/I44</f>
        <v>0.26713587044383841</v>
      </c>
      <c r="K48" s="346"/>
    </row>
    <row r="49" spans="1:11">
      <c r="A49" s="375" t="s">
        <v>138</v>
      </c>
      <c r="B49" s="36">
        <f>B42</f>
        <v>140.5</v>
      </c>
      <c r="C49" s="36">
        <f t="shared" ref="C49:I49" si="31">C42</f>
        <v>111.4</v>
      </c>
      <c r="D49" s="36">
        <f t="shared" si="31"/>
        <v>-188.9</v>
      </c>
      <c r="E49" s="36">
        <f t="shared" si="31"/>
        <v>100</v>
      </c>
      <c r="F49" s="36">
        <f t="shared" si="31"/>
        <v>100</v>
      </c>
      <c r="G49" s="36">
        <f t="shared" si="31"/>
        <v>100</v>
      </c>
      <c r="H49" s="36">
        <f t="shared" si="31"/>
        <v>100</v>
      </c>
      <c r="I49" s="422">
        <f t="shared" si="31"/>
        <v>100</v>
      </c>
      <c r="K49" s="346"/>
    </row>
    <row r="50" spans="1:11">
      <c r="A50" s="428" t="s">
        <v>88</v>
      </c>
      <c r="B50" s="429"/>
      <c r="C50" s="430">
        <f>(C45-B45)/B45</f>
        <v>3.9133583812412213E-2</v>
      </c>
      <c r="D50" s="430">
        <f t="shared" ref="D50:I50" si="32">(D45-C45)/C45</f>
        <v>-1.5355797085666143E-3</v>
      </c>
      <c r="E50" s="430">
        <f t="shared" si="32"/>
        <v>1.0991188228951749E-2</v>
      </c>
      <c r="F50" s="430">
        <f t="shared" si="32"/>
        <v>4.2745065399066681E-2</v>
      </c>
      <c r="G50" s="430">
        <f t="shared" si="32"/>
        <v>4.0487337240638709E-2</v>
      </c>
      <c r="H50" s="430">
        <f t="shared" si="32"/>
        <v>4.0584295144194066E-2</v>
      </c>
      <c r="I50" s="431">
        <f t="shared" si="32"/>
        <v>4.0680587973425268E-2</v>
      </c>
    </row>
    <row r="51" spans="1:11">
      <c r="A51" s="5"/>
      <c r="B51" s="2"/>
      <c r="C51" s="2"/>
      <c r="D51" s="2"/>
      <c r="E51" s="7"/>
      <c r="F51" s="7"/>
    </row>
    <row r="52" spans="1:11">
      <c r="A52" s="5"/>
      <c r="B52" s="2"/>
      <c r="C52" s="2"/>
      <c r="D52" s="2"/>
      <c r="E52" s="7"/>
      <c r="F52" s="7"/>
    </row>
    <row r="53" spans="1:11">
      <c r="A53" s="4"/>
      <c r="B53" s="27"/>
      <c r="C53" s="27"/>
      <c r="D53" s="27"/>
      <c r="E53" s="27"/>
      <c r="F53" s="27"/>
    </row>
    <row r="54" spans="1:11">
      <c r="A54" s="4"/>
      <c r="B54" s="2"/>
      <c r="C54" s="7"/>
      <c r="D54" s="7"/>
      <c r="E54" s="7"/>
      <c r="F5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EA7D-737A-4D15-AF27-1EF514C69741}">
  <dimension ref="A3:N32"/>
  <sheetViews>
    <sheetView workbookViewId="0">
      <selection activeCell="A30" sqref="A30"/>
    </sheetView>
  </sheetViews>
  <sheetFormatPr defaultRowHeight="14.4"/>
  <cols>
    <col min="1" max="1" width="49" customWidth="1"/>
  </cols>
  <sheetData>
    <row r="3" spans="1:14">
      <c r="A3" s="1" t="s">
        <v>54</v>
      </c>
      <c r="B3" s="1">
        <v>2020</v>
      </c>
      <c r="C3" s="1">
        <v>2021</v>
      </c>
      <c r="D3" s="1">
        <v>2022</v>
      </c>
      <c r="E3" s="1">
        <v>2023</v>
      </c>
      <c r="F3" s="1">
        <v>2024</v>
      </c>
      <c r="G3" s="1">
        <v>2025</v>
      </c>
      <c r="H3" s="1">
        <v>2026</v>
      </c>
      <c r="I3" s="1">
        <v>2027</v>
      </c>
      <c r="J3" s="1">
        <v>2028</v>
      </c>
      <c r="K3" s="1">
        <v>2029</v>
      </c>
    </row>
    <row r="4" spans="1:14">
      <c r="A4" s="5" t="s">
        <v>55</v>
      </c>
      <c r="B4" s="4"/>
      <c r="C4" s="4"/>
      <c r="D4" s="4"/>
      <c r="E4" s="4"/>
      <c r="F4" s="4"/>
      <c r="N4" t="s">
        <v>67</v>
      </c>
    </row>
    <row r="5" spans="1:14">
      <c r="A5" s="4" t="s">
        <v>58</v>
      </c>
      <c r="B5" s="12">
        <v>5052.3</v>
      </c>
      <c r="C5" s="12">
        <v>5372</v>
      </c>
      <c r="D5" s="12">
        <v>6303.9</v>
      </c>
      <c r="E5" s="12">
        <v>6710.8</v>
      </c>
      <c r="F5" s="12">
        <v>6810.8</v>
      </c>
      <c r="G5" s="6">
        <f>F5*(1+G6)</f>
        <v>7355.6640000000007</v>
      </c>
      <c r="H5" s="6">
        <f t="shared" ref="H5:K5" si="0">G5*(1+H6)</f>
        <v>7944.1171200000008</v>
      </c>
      <c r="I5" s="6">
        <f t="shared" si="0"/>
        <v>8579.6464896000016</v>
      </c>
      <c r="J5" s="6">
        <f t="shared" si="0"/>
        <v>9266.0182087680023</v>
      </c>
      <c r="K5" s="6">
        <f t="shared" si="0"/>
        <v>10007.299665469443</v>
      </c>
    </row>
    <row r="6" spans="1:14">
      <c r="A6" s="4"/>
      <c r="B6" s="12"/>
      <c r="C6" s="14">
        <f>(C5-B5)/B5</f>
        <v>6.3278110959365003E-2</v>
      </c>
      <c r="D6" s="14">
        <f t="shared" ref="D6:F6" si="1">(D5-C5)/C5</f>
        <v>0.17347356664184654</v>
      </c>
      <c r="E6" s="14">
        <f t="shared" si="1"/>
        <v>6.4547343707863483E-2</v>
      </c>
      <c r="F6" s="14">
        <f t="shared" si="1"/>
        <v>1.4901353042856291E-2</v>
      </c>
      <c r="G6" s="14">
        <f>8%</f>
        <v>0.08</v>
      </c>
      <c r="H6" s="14">
        <f>8%</f>
        <v>0.08</v>
      </c>
      <c r="I6" s="14">
        <f>8%</f>
        <v>0.08</v>
      </c>
      <c r="J6" s="14">
        <f>8%</f>
        <v>0.08</v>
      </c>
      <c r="K6" s="14">
        <f>8%</f>
        <v>0.08</v>
      </c>
    </row>
    <row r="7" spans="1:14">
      <c r="A7" s="4" t="s">
        <v>59</v>
      </c>
      <c r="B7" s="4">
        <v>818.5</v>
      </c>
      <c r="C7" s="4">
        <v>865.8</v>
      </c>
      <c r="D7" s="4">
        <v>893.2</v>
      </c>
      <c r="E7" s="4">
        <v>915.7</v>
      </c>
      <c r="F7" s="4">
        <v>966.4</v>
      </c>
      <c r="G7" s="6">
        <f>F7*(1+G8)</f>
        <v>1007.4704234984604</v>
      </c>
      <c r="H7" s="6">
        <f t="shared" ref="H7:K7" si="2">G7*(1+H8)</f>
        <v>1050.2862729968617</v>
      </c>
      <c r="I7" s="6">
        <f t="shared" si="2"/>
        <v>1094.9217262528641</v>
      </c>
      <c r="J7" s="6">
        <f t="shared" si="2"/>
        <v>1141.454113457821</v>
      </c>
      <c r="K7" s="6">
        <f t="shared" si="2"/>
        <v>1189.9640512100689</v>
      </c>
    </row>
    <row r="8" spans="1:14">
      <c r="A8" s="4"/>
      <c r="B8" s="4"/>
      <c r="C8" s="14">
        <f>(C7-B7)/B7</f>
        <v>5.7788637751985283E-2</v>
      </c>
      <c r="D8" s="14">
        <f t="shared" ref="D8:F8" si="3">(D7-C7)/C7</f>
        <v>3.1647031647031754E-2</v>
      </c>
      <c r="E8" s="14">
        <f t="shared" si="3"/>
        <v>2.5190326914464843E-2</v>
      </c>
      <c r="F8" s="14">
        <f t="shared" si="3"/>
        <v>5.5367478431800732E-2</v>
      </c>
      <c r="G8" s="15">
        <f>AVERAGE(C8:F8)</f>
        <v>4.2498368686320655E-2</v>
      </c>
      <c r="H8" s="16">
        <v>4.2498368686320655E-2</v>
      </c>
      <c r="I8" s="16">
        <v>4.2498368686320655E-2</v>
      </c>
      <c r="J8" s="16">
        <v>4.2498368686320655E-2</v>
      </c>
      <c r="K8" s="16">
        <v>4.2498368686320655E-2</v>
      </c>
    </row>
    <row r="9" spans="1:14">
      <c r="A9" s="5" t="s">
        <v>56</v>
      </c>
      <c r="B9" s="4"/>
      <c r="C9" s="4"/>
      <c r="D9" s="4"/>
      <c r="E9" s="4"/>
      <c r="F9" s="4"/>
      <c r="N9" t="s">
        <v>68</v>
      </c>
    </row>
    <row r="10" spans="1:14">
      <c r="A10" s="4" t="s">
        <v>58</v>
      </c>
      <c r="B10" s="12">
        <v>2968.7</v>
      </c>
      <c r="C10" s="12">
        <v>3265.5</v>
      </c>
      <c r="D10" s="12">
        <v>3655.1</v>
      </c>
      <c r="E10" s="12">
        <v>4087.3</v>
      </c>
      <c r="F10" s="12">
        <v>4362.2</v>
      </c>
      <c r="G10" s="6">
        <f>F10*(1+G11)</f>
        <v>4803.6406690474541</v>
      </c>
      <c r="H10" s="6">
        <f t="shared" ref="H10:K10" si="4">G10*(1+H11)</f>
        <v>5289.7537199868584</v>
      </c>
      <c r="I10" s="6">
        <f t="shared" si="4"/>
        <v>5712.9340175858079</v>
      </c>
      <c r="J10" s="6">
        <f t="shared" si="4"/>
        <v>6169.968738992673</v>
      </c>
      <c r="K10" s="6">
        <f t="shared" si="4"/>
        <v>6663.5662381120874</v>
      </c>
    </row>
    <row r="11" spans="1:14">
      <c r="A11" s="4"/>
      <c r="B11" s="12"/>
      <c r="C11" s="14">
        <f>(C10-B10)/B10</f>
        <v>9.997642065550584E-2</v>
      </c>
      <c r="D11" s="14">
        <f t="shared" ref="D11:F11" si="5">(D10-C10)/C10</f>
        <v>0.11930791609248198</v>
      </c>
      <c r="E11" s="14">
        <f t="shared" si="5"/>
        <v>0.11824573883067503</v>
      </c>
      <c r="F11" s="14">
        <f t="shared" si="5"/>
        <v>6.7257113497908069E-2</v>
      </c>
      <c r="G11" s="15">
        <f>AVERAGE(C11:F11)</f>
        <v>0.10119679726914273</v>
      </c>
      <c r="H11" s="15">
        <v>0.10119679726914273</v>
      </c>
      <c r="I11" s="15">
        <v>0.08</v>
      </c>
      <c r="J11" s="15">
        <v>0.08</v>
      </c>
      <c r="K11" s="15">
        <v>0.08</v>
      </c>
    </row>
    <row r="12" spans="1:14">
      <c r="A12" s="4" t="s">
        <v>59</v>
      </c>
      <c r="B12" s="4">
        <v>584.5</v>
      </c>
      <c r="C12" s="4">
        <v>690.4</v>
      </c>
      <c r="D12" s="4">
        <v>777</v>
      </c>
      <c r="E12" s="4">
        <v>911.9</v>
      </c>
      <c r="F12" s="12">
        <v>1020.4</v>
      </c>
      <c r="G12" s="6">
        <f>F12*(1+G13)</f>
        <v>1173.2594518669464</v>
      </c>
      <c r="H12" s="6">
        <f t="shared" ref="H12:K12" si="6">G12*(1+H13)</f>
        <v>1337.5157751283191</v>
      </c>
      <c r="I12" s="6">
        <f t="shared" si="6"/>
        <v>1511.3928258950004</v>
      </c>
      <c r="J12" s="6">
        <f t="shared" si="6"/>
        <v>1692.7599650024006</v>
      </c>
      <c r="K12" s="6">
        <f t="shared" si="6"/>
        <v>1878.9635611526649</v>
      </c>
    </row>
    <row r="13" spans="1:14">
      <c r="A13" s="4"/>
      <c r="B13" s="4"/>
      <c r="C13" s="14">
        <f>(C12-B12)/B12</f>
        <v>0.18118049615055598</v>
      </c>
      <c r="D13" s="14">
        <f t="shared" ref="D13:F13" si="7">(D12-C12)/C12</f>
        <v>0.12543453070683666</v>
      </c>
      <c r="E13" s="14">
        <f t="shared" si="7"/>
        <v>0.17361647361647359</v>
      </c>
      <c r="F13" s="14">
        <f t="shared" si="7"/>
        <v>0.11898234455532405</v>
      </c>
      <c r="G13" s="15">
        <f>AVERAGE(C13:F13)</f>
        <v>0.14980346125729757</v>
      </c>
      <c r="H13" s="16">
        <v>0.14000000000000001</v>
      </c>
      <c r="I13" s="16">
        <v>0.13</v>
      </c>
      <c r="J13" s="16">
        <v>0.12</v>
      </c>
      <c r="K13" s="16">
        <v>0.11</v>
      </c>
    </row>
    <row r="14" spans="1:14">
      <c r="A14" s="5" t="s">
        <v>57</v>
      </c>
      <c r="B14" s="4"/>
      <c r="C14" s="4"/>
      <c r="D14" s="4"/>
      <c r="E14" s="4"/>
      <c r="F14" s="4"/>
      <c r="N14" t="s">
        <v>69</v>
      </c>
    </row>
    <row r="15" spans="1:14">
      <c r="A15" s="4" t="s">
        <v>58</v>
      </c>
      <c r="B15" s="12">
        <v>1071.4000000000001</v>
      </c>
      <c r="C15" s="12">
        <v>1068.9000000000001</v>
      </c>
      <c r="D15" s="12">
        <v>1398.1</v>
      </c>
      <c r="E15" s="12">
        <v>1476.2</v>
      </c>
      <c r="F15" s="12">
        <v>1300.5999999999999</v>
      </c>
      <c r="G15" s="6">
        <f>F15*(1+G16)</f>
        <v>1365.6299999999999</v>
      </c>
      <c r="H15" s="6">
        <f t="shared" ref="H15:K15" si="8">G15*(1+H16)</f>
        <v>1433.9114999999999</v>
      </c>
      <c r="I15" s="6">
        <f t="shared" si="8"/>
        <v>1505.6070749999999</v>
      </c>
      <c r="J15" s="6">
        <f t="shared" si="8"/>
        <v>1580.88742875</v>
      </c>
      <c r="K15" s="6">
        <f t="shared" si="8"/>
        <v>1659.9318001875001</v>
      </c>
      <c r="N15" t="s">
        <v>72</v>
      </c>
    </row>
    <row r="16" spans="1:14">
      <c r="A16" s="4"/>
      <c r="B16" s="12"/>
      <c r="C16" s="14">
        <f>(C15-B15)/B15</f>
        <v>-2.3333955572148587E-3</v>
      </c>
      <c r="D16" s="14">
        <f t="shared" ref="D16:F16" si="9">(D15-C15)/C15</f>
        <v>0.30798016652633531</v>
      </c>
      <c r="E16" s="14">
        <f t="shared" si="9"/>
        <v>5.5861526357199154E-2</v>
      </c>
      <c r="F16" s="14">
        <f t="shared" si="9"/>
        <v>-0.11895407126405645</v>
      </c>
      <c r="G16" s="15">
        <v>0.05</v>
      </c>
      <c r="H16" s="15">
        <v>0.05</v>
      </c>
      <c r="I16" s="15">
        <v>0.05</v>
      </c>
      <c r="J16" s="15">
        <v>0.05</v>
      </c>
      <c r="K16" s="15">
        <v>0.05</v>
      </c>
    </row>
    <row r="17" spans="1:14">
      <c r="A17" s="4" t="s">
        <v>59</v>
      </c>
      <c r="B17" s="4">
        <v>110.5</v>
      </c>
      <c r="C17" s="4">
        <v>112.7</v>
      </c>
      <c r="D17" s="4">
        <v>112.4</v>
      </c>
      <c r="E17" s="4">
        <v>109.8</v>
      </c>
      <c r="F17" s="4">
        <v>118.2</v>
      </c>
      <c r="G17" s="6">
        <f>F17*(1+G18)</f>
        <v>120.28678044457716</v>
      </c>
      <c r="H17" s="6">
        <f t="shared" ref="H17:K17" si="10">G17*(1+H18)</f>
        <v>122.41040228191125</v>
      </c>
      <c r="I17" s="6">
        <f t="shared" si="10"/>
        <v>124.5715159341508</v>
      </c>
      <c r="J17" s="6">
        <f t="shared" si="10"/>
        <v>126.77078330642421</v>
      </c>
      <c r="K17" s="6">
        <f t="shared" si="10"/>
        <v>129.00887798956782</v>
      </c>
    </row>
    <row r="18" spans="1:14">
      <c r="A18" s="4"/>
      <c r="B18" s="4"/>
      <c r="C18" s="14">
        <f>(C17-B17)/B17</f>
        <v>1.9909502262443465E-2</v>
      </c>
      <c r="D18" s="14">
        <f t="shared" ref="D18:F18" si="11">(D17-C17)/C17</f>
        <v>-2.6619343389529472E-3</v>
      </c>
      <c r="E18" s="14">
        <f t="shared" si="11"/>
        <v>-2.3131672597864843E-2</v>
      </c>
      <c r="F18" s="14">
        <f t="shared" si="11"/>
        <v>7.6502732240437216E-2</v>
      </c>
      <c r="G18" s="15">
        <f>AVERAGE(C18:F18)</f>
        <v>1.7654656891515724E-2</v>
      </c>
      <c r="H18" s="15">
        <v>1.7654656891515724E-2</v>
      </c>
      <c r="I18" s="15">
        <v>1.7654656891515724E-2</v>
      </c>
      <c r="J18" s="15">
        <v>1.7654656891515724E-2</v>
      </c>
      <c r="K18" s="15">
        <v>1.7654656891515724E-2</v>
      </c>
    </row>
    <row r="19" spans="1:14">
      <c r="A19" s="5" t="s">
        <v>60</v>
      </c>
      <c r="B19" s="4"/>
      <c r="C19" s="4"/>
      <c r="D19" s="4"/>
      <c r="E19" s="4"/>
      <c r="F19" s="4"/>
      <c r="N19" t="s">
        <v>70</v>
      </c>
    </row>
    <row r="20" spans="1:14">
      <c r="A20" s="4" t="s">
        <v>58</v>
      </c>
      <c r="B20" s="4">
        <v>274.5</v>
      </c>
      <c r="C20" s="4">
        <v>308.89999999999998</v>
      </c>
    </row>
    <row r="21" spans="1:14">
      <c r="A21" s="4" t="s">
        <v>59</v>
      </c>
      <c r="B21" s="4">
        <v>809.8</v>
      </c>
      <c r="C21" s="4">
        <v>909.7</v>
      </c>
      <c r="D21" s="4">
        <v>959</v>
      </c>
      <c r="E21" s="4">
        <v>1066</v>
      </c>
      <c r="F21" s="12">
        <v>1162.8</v>
      </c>
      <c r="G21" s="6">
        <f>F21*(1+G22)</f>
        <v>1273.2482076507536</v>
      </c>
      <c r="H21" s="6">
        <f t="shared" ref="H21:K21" si="12">G21*(1+H22)</f>
        <v>1394.1873050273962</v>
      </c>
      <c r="I21" s="6">
        <f t="shared" si="12"/>
        <v>1526.6137661296582</v>
      </c>
      <c r="J21" s="6">
        <f t="shared" si="12"/>
        <v>1671.6187147398985</v>
      </c>
      <c r="K21" s="6">
        <f t="shared" si="12"/>
        <v>1830.3969147041898</v>
      </c>
    </row>
    <row r="22" spans="1:14">
      <c r="A22" s="4"/>
      <c r="B22" s="4"/>
      <c r="C22" s="14">
        <f>(C21-B21)/B21</f>
        <v>0.1233637935292666</v>
      </c>
      <c r="D22" s="14">
        <f t="shared" ref="D22:F22" si="13">(D21-C21)/C21</f>
        <v>5.419369022754749E-2</v>
      </c>
      <c r="E22" s="14">
        <f t="shared" si="13"/>
        <v>0.11157455683003129</v>
      </c>
      <c r="F22" s="14">
        <f t="shared" si="13"/>
        <v>9.0806754221388328E-2</v>
      </c>
      <c r="G22" s="15">
        <f>AVERAGE(C22:F22)</f>
        <v>9.4984698702058432E-2</v>
      </c>
      <c r="H22" s="16">
        <v>9.4984698702058432E-2</v>
      </c>
      <c r="I22" s="16">
        <v>9.4984698702058432E-2</v>
      </c>
      <c r="J22" s="16">
        <v>9.4984698702058432E-2</v>
      </c>
      <c r="K22" s="16">
        <v>9.4984698702058432E-2</v>
      </c>
    </row>
    <row r="23" spans="1:14">
      <c r="A23" s="5" t="s">
        <v>61</v>
      </c>
      <c r="B23" s="4"/>
      <c r="C23" s="4"/>
      <c r="D23" s="4"/>
      <c r="E23" s="4"/>
      <c r="F23" s="4"/>
      <c r="N23" t="s">
        <v>71</v>
      </c>
    </row>
    <row r="24" spans="1:14">
      <c r="A24" s="4" t="s">
        <v>58</v>
      </c>
      <c r="B24" s="4">
        <v>99.77</v>
      </c>
      <c r="C24" s="4">
        <v>138</v>
      </c>
      <c r="D24" s="4">
        <v>89.1</v>
      </c>
      <c r="E24" s="4">
        <v>42.5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N24" t="s">
        <v>73</v>
      </c>
    </row>
    <row r="25" spans="1:14">
      <c r="A25" s="4"/>
      <c r="B25" s="4"/>
      <c r="C25" s="14">
        <f>(C24-B24)/B24</f>
        <v>0.38318131702916713</v>
      </c>
      <c r="D25" s="14">
        <f t="shared" ref="D25:F25" si="14">(D24-C24)/C24</f>
        <v>-0.35434782608695659</v>
      </c>
      <c r="E25" s="14">
        <f t="shared" si="14"/>
        <v>-0.52300785634118963</v>
      </c>
      <c r="F25" s="14">
        <f t="shared" si="14"/>
        <v>-1</v>
      </c>
    </row>
    <row r="26" spans="1:14">
      <c r="A26" s="4" t="s">
        <v>59</v>
      </c>
      <c r="B26" s="4">
        <v>0.3</v>
      </c>
      <c r="C26" s="4">
        <v>1.2</v>
      </c>
      <c r="D26" s="4" t="s">
        <v>62</v>
      </c>
      <c r="E26" s="4" t="s">
        <v>62</v>
      </c>
      <c r="F26" s="4" t="s">
        <v>62</v>
      </c>
    </row>
    <row r="27" spans="1:14">
      <c r="A27" s="5" t="s">
        <v>63</v>
      </c>
      <c r="B27" s="4"/>
      <c r="C27" s="4"/>
      <c r="D27" s="4"/>
      <c r="E27" s="4"/>
      <c r="F27" s="4"/>
    </row>
    <row r="28" spans="1:14">
      <c r="A28" s="4" t="s">
        <v>64</v>
      </c>
      <c r="B28" s="13">
        <f>B5+B10+B15+B20+B24</f>
        <v>9466.67</v>
      </c>
      <c r="C28" s="13">
        <f>C5+C10+C15+C20+C24</f>
        <v>10153.299999999999</v>
      </c>
      <c r="D28" s="13">
        <f t="shared" ref="D28:K28" si="15">D5+D10+D15+D24</f>
        <v>11446.2</v>
      </c>
      <c r="E28" s="13">
        <f t="shared" si="15"/>
        <v>12316.800000000001</v>
      </c>
      <c r="F28" s="13">
        <f t="shared" si="15"/>
        <v>12473.6</v>
      </c>
      <c r="G28" s="13">
        <f t="shared" si="15"/>
        <v>13524.934669047454</v>
      </c>
      <c r="H28" s="13">
        <f t="shared" si="15"/>
        <v>14667.782339986859</v>
      </c>
      <c r="I28" s="13">
        <f t="shared" si="15"/>
        <v>15798.187582185808</v>
      </c>
      <c r="J28" s="13">
        <f t="shared" si="15"/>
        <v>17016.874376510674</v>
      </c>
      <c r="K28" s="13">
        <f t="shared" si="15"/>
        <v>18330.797703769029</v>
      </c>
    </row>
    <row r="29" spans="1:14">
      <c r="A29" s="4"/>
      <c r="B29" s="25">
        <f>B28/B32</f>
        <v>0.8029222401183348</v>
      </c>
      <c r="C29" s="25">
        <f t="shared" ref="C29:K29" si="16">C28/C32</f>
        <v>0.79739419308730797</v>
      </c>
      <c r="D29" s="25">
        <f t="shared" si="16"/>
        <v>0.80676355742257433</v>
      </c>
      <c r="E29" s="25">
        <f t="shared" si="16"/>
        <v>0.80395817286980586</v>
      </c>
      <c r="F29" s="25">
        <f t="shared" si="16"/>
        <v>0.79240728270674776</v>
      </c>
      <c r="G29" s="25">
        <f t="shared" si="16"/>
        <v>0.79096887800709537</v>
      </c>
      <c r="H29" s="25">
        <f t="shared" si="16"/>
        <v>0.78977161997582124</v>
      </c>
      <c r="I29" s="25">
        <f t="shared" si="16"/>
        <v>0.78771608542668292</v>
      </c>
      <c r="J29" s="25">
        <f t="shared" si="16"/>
        <v>0.78601776973283033</v>
      </c>
      <c r="K29" s="25">
        <f t="shared" si="16"/>
        <v>0.7847379946783769</v>
      </c>
    </row>
    <row r="30" spans="1:14">
      <c r="A30" s="4" t="s">
        <v>65</v>
      </c>
      <c r="B30" s="13">
        <f>B7+B12+B17+B21+B26</f>
        <v>2323.6000000000004</v>
      </c>
      <c r="C30" s="13">
        <f>C7+C12+C17+C21+C26</f>
        <v>2579.7999999999997</v>
      </c>
      <c r="D30" s="13">
        <f t="shared" ref="D30:K30" si="17">D7+D12+D17+D21</f>
        <v>2741.6000000000004</v>
      </c>
      <c r="E30" s="13">
        <f t="shared" si="17"/>
        <v>3003.3999999999996</v>
      </c>
      <c r="F30" s="13">
        <f t="shared" si="17"/>
        <v>3267.8</v>
      </c>
      <c r="G30" s="13">
        <f t="shared" si="17"/>
        <v>3574.2648634607376</v>
      </c>
      <c r="H30" s="13">
        <f t="shared" si="17"/>
        <v>3904.3997554344878</v>
      </c>
      <c r="I30" s="13">
        <f t="shared" si="17"/>
        <v>4257.4998342116733</v>
      </c>
      <c r="J30" s="13">
        <f t="shared" si="17"/>
        <v>4632.6035765065444</v>
      </c>
      <c r="K30" s="13">
        <f t="shared" si="17"/>
        <v>5028.3334050564918</v>
      </c>
    </row>
    <row r="31" spans="1:14">
      <c r="A31" s="4"/>
      <c r="B31" s="25">
        <f>B30/B32</f>
        <v>0.19707775988166515</v>
      </c>
      <c r="C31" s="25">
        <f t="shared" ref="C31:K31" si="18">C30/C32</f>
        <v>0.20260580691269212</v>
      </c>
      <c r="D31" s="25">
        <f t="shared" si="18"/>
        <v>0.1932364425774257</v>
      </c>
      <c r="E31" s="25">
        <f t="shared" si="18"/>
        <v>0.19604182713019408</v>
      </c>
      <c r="F31" s="25">
        <f t="shared" si="18"/>
        <v>0.20759271729325218</v>
      </c>
      <c r="G31" s="25">
        <f t="shared" si="18"/>
        <v>0.20903112199290463</v>
      </c>
      <c r="H31" s="25">
        <f t="shared" si="18"/>
        <v>0.21022838002417876</v>
      </c>
      <c r="I31" s="25">
        <f t="shared" si="18"/>
        <v>0.21228391457331708</v>
      </c>
      <c r="J31" s="25">
        <f t="shared" si="18"/>
        <v>0.21398223026716973</v>
      </c>
      <c r="K31" s="25">
        <f t="shared" si="18"/>
        <v>0.21526200532162312</v>
      </c>
    </row>
    <row r="32" spans="1:14">
      <c r="A32" s="5" t="s">
        <v>66</v>
      </c>
      <c r="B32" s="13">
        <f>B28+B30</f>
        <v>11790.27</v>
      </c>
      <c r="C32" s="13">
        <f t="shared" ref="C32:K32" si="19">C28+C30</f>
        <v>12733.099999999999</v>
      </c>
      <c r="D32" s="13">
        <f t="shared" si="19"/>
        <v>14187.800000000001</v>
      </c>
      <c r="E32" s="13">
        <f t="shared" si="19"/>
        <v>15320.2</v>
      </c>
      <c r="F32" s="13">
        <f t="shared" si="19"/>
        <v>15741.400000000001</v>
      </c>
      <c r="G32" s="13">
        <f t="shared" si="19"/>
        <v>17099.199532508192</v>
      </c>
      <c r="H32" s="13">
        <f t="shared" si="19"/>
        <v>18572.182095421347</v>
      </c>
      <c r="I32" s="13">
        <f t="shared" si="19"/>
        <v>20055.687416397483</v>
      </c>
      <c r="J32" s="13">
        <f t="shared" si="19"/>
        <v>21649.477953017216</v>
      </c>
      <c r="K32" s="13">
        <f t="shared" si="19"/>
        <v>23359.131108825521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EAAC-DB6C-42BA-8DBA-EFC5F0F7B36B}">
  <dimension ref="A3:P57"/>
  <sheetViews>
    <sheetView zoomScale="44" zoomScaleNormal="80" workbookViewId="0">
      <selection activeCell="N29" sqref="N29"/>
    </sheetView>
  </sheetViews>
  <sheetFormatPr defaultRowHeight="14.4"/>
  <cols>
    <col min="1" max="1" width="38.6640625" customWidth="1"/>
    <col min="2" max="2" width="9.109375" bestFit="1" customWidth="1"/>
  </cols>
  <sheetData>
    <row r="3" spans="1:12">
      <c r="A3" s="11" t="s">
        <v>396</v>
      </c>
    </row>
    <row r="4" spans="1:12">
      <c r="A4" s="355"/>
      <c r="B4" s="356">
        <v>2020</v>
      </c>
      <c r="C4" s="356">
        <v>2021</v>
      </c>
      <c r="D4" s="356">
        <v>2022</v>
      </c>
      <c r="E4" s="356">
        <v>2023</v>
      </c>
      <c r="F4" s="356">
        <v>2024</v>
      </c>
      <c r="G4" s="356">
        <v>2025</v>
      </c>
      <c r="H4" s="356">
        <v>2026</v>
      </c>
      <c r="I4" s="356">
        <v>2027</v>
      </c>
      <c r="J4" s="356">
        <v>2028</v>
      </c>
      <c r="K4" s="356">
        <v>2029</v>
      </c>
      <c r="L4" s="3"/>
    </row>
    <row r="5" spans="1:12">
      <c r="A5" s="4" t="s">
        <v>37</v>
      </c>
      <c r="B5" s="28">
        <f>Revenue!B23</f>
        <v>9466.67</v>
      </c>
      <c r="C5" s="28">
        <f>Revenue!C23</f>
        <v>10153.299999999999</v>
      </c>
      <c r="D5" s="28">
        <f>Revenue!D23</f>
        <v>11446.2</v>
      </c>
      <c r="E5" s="28">
        <f>Revenue!E23</f>
        <v>12316.800000000001</v>
      </c>
      <c r="F5" s="28">
        <f>Revenue!F23</f>
        <v>12473.6</v>
      </c>
      <c r="G5" s="28">
        <f>Revenue!G23</f>
        <v>13135.587600000003</v>
      </c>
      <c r="H5" s="28">
        <f>Revenue!H23</f>
        <v>13702.275598000002</v>
      </c>
      <c r="I5" s="28">
        <f>Revenue!I23</f>
        <v>14264.586668180003</v>
      </c>
      <c r="J5" s="28">
        <f>Revenue!J23</f>
        <v>14851.348304054103</v>
      </c>
      <c r="K5" s="28">
        <f>Revenue!K23</f>
        <v>15463.66632462382</v>
      </c>
    </row>
    <row r="6" spans="1:12">
      <c r="A6" s="4" t="s">
        <v>38</v>
      </c>
      <c r="B6" s="28">
        <f>Revenue!B24</f>
        <v>2323.6000000000004</v>
      </c>
      <c r="C6" s="28">
        <f>Revenue!C24</f>
        <v>2579.7999999999997</v>
      </c>
      <c r="D6" s="28">
        <f>Revenue!D24</f>
        <v>2741.6000000000004</v>
      </c>
      <c r="E6" s="28">
        <f>Revenue!E24</f>
        <v>3003.3999999999996</v>
      </c>
      <c r="F6" s="28">
        <f>Revenue!F24</f>
        <v>3267.8</v>
      </c>
      <c r="G6" s="28">
        <f>Revenue!G24</f>
        <v>3283.8969000000006</v>
      </c>
      <c r="H6" s="28">
        <f>Revenue!H24</f>
        <v>3425.5688995000005</v>
      </c>
      <c r="I6" s="28">
        <f>Revenue!I24</f>
        <v>3566.1466670450009</v>
      </c>
      <c r="J6" s="28">
        <f>Revenue!J24</f>
        <v>3712.8370760135258</v>
      </c>
      <c r="K6" s="28">
        <f>Revenue!K24</f>
        <v>3865.9165811559551</v>
      </c>
    </row>
    <row r="7" spans="1:12">
      <c r="A7" s="4" t="s">
        <v>39</v>
      </c>
      <c r="B7" s="28">
        <f t="shared" ref="B7:C7" si="0">B5+B6</f>
        <v>11790.27</v>
      </c>
      <c r="C7" s="28">
        <f t="shared" si="0"/>
        <v>12733.099999999999</v>
      </c>
      <c r="D7" s="28">
        <f>D5+D6</f>
        <v>14187.800000000001</v>
      </c>
      <c r="E7" s="28">
        <f>E5+E6</f>
        <v>15320.2</v>
      </c>
      <c r="F7" s="28">
        <f>Revenue!F21</f>
        <v>15741.399999999998</v>
      </c>
      <c r="G7" s="28">
        <f>Revenue!G21</f>
        <v>16419.484500000002</v>
      </c>
      <c r="H7" s="28">
        <f>Revenue!H21</f>
        <v>17127.844497500002</v>
      </c>
      <c r="I7" s="28">
        <f>Revenue!I21</f>
        <v>17830.733335225003</v>
      </c>
      <c r="J7" s="28">
        <f>Revenue!J21</f>
        <v>18564.185380067629</v>
      </c>
      <c r="K7" s="28">
        <f>Revenue!K21</f>
        <v>19329.582905779775</v>
      </c>
      <c r="L7" s="7"/>
    </row>
    <row r="8" spans="1:12">
      <c r="A8" s="4" t="s">
        <v>40</v>
      </c>
      <c r="B8" s="28">
        <v>5481.3</v>
      </c>
      <c r="C8" s="28">
        <v>6100.9</v>
      </c>
      <c r="D8" s="28">
        <v>7212.8</v>
      </c>
      <c r="E8" s="28">
        <v>7389.2</v>
      </c>
      <c r="F8" s="28">
        <v>6990</v>
      </c>
      <c r="G8" s="29"/>
      <c r="H8" s="29"/>
      <c r="I8" s="29"/>
      <c r="J8" s="29"/>
      <c r="K8" s="29"/>
    </row>
    <row r="9" spans="1:12">
      <c r="A9" s="4" t="s">
        <v>41</v>
      </c>
      <c r="B9" s="28">
        <v>1424.5</v>
      </c>
      <c r="C9" s="28">
        <v>1514.9</v>
      </c>
      <c r="D9" s="28">
        <v>1618.2</v>
      </c>
      <c r="E9" s="28">
        <v>1765.7</v>
      </c>
      <c r="F9" s="28">
        <v>1909.7</v>
      </c>
      <c r="G9" s="29"/>
      <c r="H9" s="29"/>
      <c r="I9" s="29"/>
      <c r="J9" s="29"/>
      <c r="K9" s="29"/>
    </row>
    <row r="10" spans="1:12">
      <c r="A10" s="4" t="s">
        <v>125</v>
      </c>
      <c r="B10" s="28">
        <f>B8+B9</f>
        <v>6905.8</v>
      </c>
      <c r="C10" s="28">
        <f t="shared" ref="C10:F10" si="1">C8+C9</f>
        <v>7615.7999999999993</v>
      </c>
      <c r="D10" s="28">
        <f t="shared" si="1"/>
        <v>8831</v>
      </c>
      <c r="E10" s="28">
        <f t="shared" si="1"/>
        <v>9154.9</v>
      </c>
      <c r="F10" s="28">
        <f t="shared" si="1"/>
        <v>8899.7000000000007</v>
      </c>
      <c r="G10" s="29">
        <f>COGS!E45</f>
        <v>9268.8683128018511</v>
      </c>
      <c r="H10" s="29">
        <f>COGS!F45</f>
        <v>9665.066695007903</v>
      </c>
      <c r="I10" s="29">
        <f>COGS!G45</f>
        <v>10056.379509741953</v>
      </c>
      <c r="J10" s="29">
        <f>COGS!H45</f>
        <v>10464.510583847346</v>
      </c>
      <c r="K10" s="29">
        <f>COGS!I45</f>
        <v>10890.213027252388</v>
      </c>
    </row>
    <row r="11" spans="1:12">
      <c r="A11" s="4" t="s">
        <v>42</v>
      </c>
      <c r="B11" s="28">
        <v>3309.1</v>
      </c>
      <c r="C11" s="28">
        <v>3416.1</v>
      </c>
      <c r="D11" s="28">
        <v>3653.8</v>
      </c>
      <c r="E11" s="28">
        <v>4061.6</v>
      </c>
      <c r="F11" s="28">
        <v>4228.2</v>
      </c>
      <c r="G11" s="29">
        <f>COGS!E47</f>
        <v>4408.6161600000005</v>
      </c>
      <c r="H11" s="29">
        <f>COGS!F47</f>
        <v>4591.8841806500004</v>
      </c>
      <c r="I11" s="29">
        <f>COGS!G47</f>
        <v>4774.3293299222514</v>
      </c>
      <c r="J11" s="29">
        <f>COGS!H47</f>
        <v>4964.7877667279308</v>
      </c>
      <c r="K11" s="29">
        <f>COGS!I47</f>
        <v>5163.6249548518199</v>
      </c>
    </row>
    <row r="12" spans="1:12">
      <c r="A12" s="4" t="s">
        <v>43</v>
      </c>
      <c r="B12" s="28">
        <v>179.6</v>
      </c>
      <c r="C12" s="28">
        <v>102.6</v>
      </c>
      <c r="D12" s="28">
        <v>140.5</v>
      </c>
      <c r="E12" s="28">
        <v>111.4</v>
      </c>
      <c r="F12" s="28">
        <v>-188.9</v>
      </c>
      <c r="G12" s="29">
        <f>COGS!E49</f>
        <v>100</v>
      </c>
      <c r="H12" s="29">
        <f>COGS!F49</f>
        <v>100</v>
      </c>
      <c r="I12" s="29">
        <f>COGS!G49</f>
        <v>100</v>
      </c>
      <c r="J12" s="29">
        <f>COGS!H49</f>
        <v>100</v>
      </c>
      <c r="K12" s="29">
        <f>COGS!I49</f>
        <v>100</v>
      </c>
    </row>
    <row r="13" spans="1:12" s="11" customFormat="1">
      <c r="A13" s="5" t="s">
        <v>44</v>
      </c>
      <c r="B13" s="34">
        <f>B7-B10-B11-B12</f>
        <v>1395.7700000000004</v>
      </c>
      <c r="C13" s="34">
        <f t="shared" ref="C13" si="2">C7-C10-C11-C12</f>
        <v>1598.5999999999995</v>
      </c>
      <c r="D13" s="34">
        <f>D7-D10-D11-D12</f>
        <v>1562.5000000000009</v>
      </c>
      <c r="E13" s="34">
        <f>E7-E10-E11-E12</f>
        <v>1992.3000000000011</v>
      </c>
      <c r="F13" s="34">
        <f>F7-F10-F11-F12</f>
        <v>2802.3999999999974</v>
      </c>
      <c r="G13" s="34">
        <f t="shared" ref="G13:K13" si="3">G7-G10-G11-G12</f>
        <v>2642.0000271981507</v>
      </c>
      <c r="H13" s="34">
        <f t="shared" si="3"/>
        <v>2770.8936218420986</v>
      </c>
      <c r="I13" s="34">
        <f t="shared" si="3"/>
        <v>2900.0244955607977</v>
      </c>
      <c r="J13" s="34">
        <f t="shared" si="3"/>
        <v>3034.8870294923518</v>
      </c>
      <c r="K13" s="34">
        <f t="shared" si="3"/>
        <v>3175.7449236755665</v>
      </c>
    </row>
    <row r="14" spans="1:12">
      <c r="A14" s="4" t="s">
        <v>45</v>
      </c>
      <c r="B14" s="28">
        <v>-55.9</v>
      </c>
      <c r="C14" s="28">
        <v>-33.9</v>
      </c>
      <c r="D14" s="28">
        <v>-24.5</v>
      </c>
      <c r="E14" s="28">
        <v>-59.9</v>
      </c>
      <c r="F14" s="28">
        <v>-51.3</v>
      </c>
      <c r="G14" s="28">
        <v>-50</v>
      </c>
      <c r="H14" s="28">
        <v>-50</v>
      </c>
      <c r="I14" s="28">
        <v>-50</v>
      </c>
      <c r="J14" s="28">
        <v>-50</v>
      </c>
      <c r="K14" s="28">
        <v>-50</v>
      </c>
    </row>
    <row r="15" spans="1:12">
      <c r="A15" s="4" t="s">
        <v>46</v>
      </c>
      <c r="B15" s="28">
        <v>290.2</v>
      </c>
      <c r="C15" s="28">
        <v>218.3</v>
      </c>
      <c r="D15" s="28">
        <v>243.6</v>
      </c>
      <c r="E15" s="28">
        <v>296.7</v>
      </c>
      <c r="F15" s="28">
        <v>282.5</v>
      </c>
      <c r="G15" s="29">
        <f>Schedules!C51</f>
        <v>267.976</v>
      </c>
      <c r="H15" s="29">
        <f>Schedules!D51</f>
        <v>288.2</v>
      </c>
      <c r="I15" s="29">
        <f>Schedules!E51</f>
        <v>302.58000000000004</v>
      </c>
      <c r="J15" s="29">
        <f>Schedules!F51</f>
        <v>322.56</v>
      </c>
      <c r="K15" s="29">
        <f>Schedules!G51</f>
        <v>340.41</v>
      </c>
    </row>
    <row r="16" spans="1:12">
      <c r="A16" s="4" t="s">
        <v>47</v>
      </c>
      <c r="B16" s="28">
        <f>B13-B14-B15</f>
        <v>1161.4700000000005</v>
      </c>
      <c r="C16" s="28">
        <f t="shared" ref="C16:K16" si="4">C13-C14-C15</f>
        <v>1414.1999999999996</v>
      </c>
      <c r="D16" s="28">
        <f t="shared" si="4"/>
        <v>1343.400000000001</v>
      </c>
      <c r="E16" s="28">
        <f t="shared" si="4"/>
        <v>1755.5000000000011</v>
      </c>
      <c r="F16" s="28">
        <f t="shared" si="4"/>
        <v>2571.1999999999975</v>
      </c>
      <c r="G16" s="28">
        <f t="shared" si="4"/>
        <v>2424.0240271981506</v>
      </c>
      <c r="H16" s="28">
        <f t="shared" si="4"/>
        <v>2532.6936218420988</v>
      </c>
      <c r="I16" s="28">
        <f t="shared" si="4"/>
        <v>2647.4444955607978</v>
      </c>
      <c r="J16" s="28">
        <f t="shared" si="4"/>
        <v>2762.3270294923518</v>
      </c>
      <c r="K16" s="28">
        <f t="shared" si="4"/>
        <v>2885.3349236755666</v>
      </c>
    </row>
    <row r="17" spans="1:16">
      <c r="A17" s="4" t="s">
        <v>48</v>
      </c>
      <c r="B17" s="28">
        <v>176.6</v>
      </c>
      <c r="C17" s="28">
        <v>270.2</v>
      </c>
      <c r="D17" s="28">
        <v>234.5</v>
      </c>
      <c r="E17" s="28">
        <v>362.5</v>
      </c>
      <c r="F17" s="28">
        <v>439.3</v>
      </c>
      <c r="G17" s="29">
        <f>G16*G44</f>
        <v>472.68468530363941</v>
      </c>
      <c r="H17" s="29">
        <f>H16*H44</f>
        <v>468.86428449880054</v>
      </c>
      <c r="I17" s="29">
        <f>I16*I44</f>
        <v>490.10751180341151</v>
      </c>
      <c r="J17" s="29">
        <f>J16*J44</f>
        <v>511.37511267258026</v>
      </c>
      <c r="K17" s="29">
        <f>K16*K44</f>
        <v>534.14691886205901</v>
      </c>
    </row>
    <row r="18" spans="1:16">
      <c r="A18" s="4" t="s">
        <v>49</v>
      </c>
      <c r="B18" s="28">
        <f>B16-B17</f>
        <v>984.87000000000046</v>
      </c>
      <c r="C18" s="28">
        <f t="shared" ref="C18:K18" si="5">C16-C17</f>
        <v>1143.9999999999995</v>
      </c>
      <c r="D18" s="28">
        <f t="shared" si="5"/>
        <v>1108.900000000001</v>
      </c>
      <c r="E18" s="28">
        <f t="shared" si="5"/>
        <v>1393.0000000000011</v>
      </c>
      <c r="F18" s="28">
        <f t="shared" si="5"/>
        <v>2131.8999999999974</v>
      </c>
      <c r="G18" s="28">
        <f t="shared" si="5"/>
        <v>1951.3393418945111</v>
      </c>
      <c r="H18" s="28">
        <f t="shared" si="5"/>
        <v>2063.829337343298</v>
      </c>
      <c r="I18" s="28">
        <f t="shared" si="5"/>
        <v>2157.3369837573864</v>
      </c>
      <c r="J18" s="28">
        <f t="shared" si="5"/>
        <v>2250.9519168197717</v>
      </c>
      <c r="K18" s="28">
        <f t="shared" si="5"/>
        <v>2351.1880048135076</v>
      </c>
    </row>
    <row r="19" spans="1:16" ht="28.8">
      <c r="A19" s="4" t="s">
        <v>50</v>
      </c>
      <c r="B19" s="28">
        <v>17.399999999999999</v>
      </c>
      <c r="C19" s="28">
        <v>14.1</v>
      </c>
      <c r="D19" s="28">
        <v>17.2</v>
      </c>
      <c r="E19" s="28">
        <v>20.7</v>
      </c>
      <c r="F19" s="28">
        <v>19.5</v>
      </c>
      <c r="G19" s="28">
        <v>20</v>
      </c>
      <c r="H19" s="28">
        <v>20</v>
      </c>
      <c r="I19" s="28">
        <v>20</v>
      </c>
      <c r="J19" s="28">
        <v>20</v>
      </c>
      <c r="K19" s="28">
        <v>20</v>
      </c>
    </row>
    <row r="20" spans="1:16" s="11" customFormat="1">
      <c r="A20" s="5" t="s">
        <v>51</v>
      </c>
      <c r="B20" s="34">
        <f>B18-B19</f>
        <v>967.47000000000048</v>
      </c>
      <c r="C20" s="34">
        <f t="shared" ref="C20:K20" si="6">C18-C19</f>
        <v>1129.8999999999996</v>
      </c>
      <c r="D20" s="34">
        <f>D18-D19</f>
        <v>1091.700000000001</v>
      </c>
      <c r="E20" s="34">
        <f t="shared" si="6"/>
        <v>1372.3000000000011</v>
      </c>
      <c r="F20" s="34">
        <f t="shared" si="6"/>
        <v>2112.3999999999974</v>
      </c>
      <c r="G20" s="34">
        <f t="shared" si="6"/>
        <v>1931.3393418945111</v>
      </c>
      <c r="H20" s="34">
        <f t="shared" si="6"/>
        <v>2043.829337343298</v>
      </c>
      <c r="I20" s="34">
        <f t="shared" si="6"/>
        <v>2137.3369837573864</v>
      </c>
      <c r="J20" s="34">
        <f t="shared" si="6"/>
        <v>2230.9519168197717</v>
      </c>
      <c r="K20" s="34">
        <f t="shared" si="6"/>
        <v>2331.1880048135076</v>
      </c>
    </row>
    <row r="21" spans="1:16" ht="28.8">
      <c r="A21" s="4" t="s">
        <v>52</v>
      </c>
      <c r="B21" s="28">
        <v>-2172.5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</row>
    <row r="22" spans="1:16">
      <c r="A22" s="4" t="s">
        <v>53</v>
      </c>
      <c r="B22" s="28">
        <f>B20+B21</f>
        <v>-1205.0299999999995</v>
      </c>
      <c r="C22" s="28">
        <f t="shared" ref="C22:K22" si="7">C20+C21</f>
        <v>1129.8999999999996</v>
      </c>
      <c r="D22" s="28">
        <f t="shared" si="7"/>
        <v>1091.700000000001</v>
      </c>
      <c r="E22" s="28">
        <f t="shared" si="7"/>
        <v>1372.3000000000011</v>
      </c>
      <c r="F22" s="28">
        <f t="shared" si="7"/>
        <v>2112.3999999999974</v>
      </c>
      <c r="G22" s="28">
        <f t="shared" si="7"/>
        <v>1931.3393418945111</v>
      </c>
      <c r="H22" s="28">
        <f t="shared" si="7"/>
        <v>2043.829337343298</v>
      </c>
      <c r="I22" s="28">
        <f t="shared" si="7"/>
        <v>2137.3369837573864</v>
      </c>
      <c r="J22" s="28">
        <f t="shared" si="7"/>
        <v>2230.9519168197717</v>
      </c>
      <c r="K22" s="28">
        <f t="shared" si="7"/>
        <v>2331.1880048135076</v>
      </c>
    </row>
    <row r="23" spans="1:16">
      <c r="A23" s="4"/>
      <c r="B23" s="367"/>
      <c r="C23" s="367"/>
      <c r="D23" s="367"/>
      <c r="E23" s="367"/>
      <c r="F23" s="367"/>
      <c r="G23" s="29"/>
      <c r="H23" s="29"/>
      <c r="I23" s="29"/>
      <c r="J23" s="29"/>
      <c r="K23" s="29"/>
    </row>
    <row r="24" spans="1:16">
      <c r="A24" s="4"/>
      <c r="B24" s="367"/>
      <c r="C24" s="367"/>
      <c r="D24" s="367"/>
      <c r="E24" s="367"/>
      <c r="F24" s="367"/>
      <c r="G24" s="29"/>
      <c r="H24" s="29"/>
      <c r="I24" s="29"/>
      <c r="J24" s="29"/>
      <c r="K24" s="29"/>
    </row>
    <row r="30" spans="1:16">
      <c r="A30" t="s">
        <v>484</v>
      </c>
    </row>
    <row r="31" spans="1:16">
      <c r="A31" s="355"/>
      <c r="B31" s="356">
        <v>2020</v>
      </c>
      <c r="C31" s="356">
        <v>2021</v>
      </c>
      <c r="D31" s="356">
        <v>2022</v>
      </c>
      <c r="E31" s="356">
        <v>2023</v>
      </c>
      <c r="F31" s="356">
        <v>2024</v>
      </c>
      <c r="G31" s="356">
        <v>2025</v>
      </c>
      <c r="H31" s="356">
        <v>2026</v>
      </c>
      <c r="I31" s="356">
        <v>2027</v>
      </c>
      <c r="J31" s="356">
        <v>2028</v>
      </c>
      <c r="K31" s="356">
        <v>2029</v>
      </c>
      <c r="N31" s="346"/>
    </row>
    <row r="32" spans="1:16">
      <c r="A32" s="4" t="s">
        <v>37</v>
      </c>
      <c r="N32" s="346"/>
      <c r="O32" s="453" t="s">
        <v>401</v>
      </c>
      <c r="P32" s="453"/>
    </row>
    <row r="33" spans="1:16">
      <c r="A33" s="4" t="s">
        <v>38</v>
      </c>
      <c r="N33" s="346"/>
      <c r="O33" s="453"/>
      <c r="P33" s="453"/>
    </row>
    <row r="34" spans="1:16">
      <c r="A34" s="4" t="s">
        <v>39</v>
      </c>
      <c r="N34" s="346"/>
      <c r="O34" s="453"/>
      <c r="P34" s="453"/>
    </row>
    <row r="35" spans="1:16">
      <c r="A35" s="4" t="s">
        <v>40</v>
      </c>
      <c r="N35" s="346"/>
    </row>
    <row r="36" spans="1:16">
      <c r="A36" s="4" t="s">
        <v>41</v>
      </c>
      <c r="N36" s="346"/>
    </row>
    <row r="37" spans="1:16">
      <c r="A37" s="4" t="s">
        <v>125</v>
      </c>
      <c r="N37" s="346"/>
      <c r="O37" s="454" t="s">
        <v>402</v>
      </c>
      <c r="P37" s="454"/>
    </row>
    <row r="38" spans="1:16">
      <c r="A38" s="4" t="s">
        <v>42</v>
      </c>
      <c r="N38" s="346"/>
    </row>
    <row r="39" spans="1:16">
      <c r="A39" s="4" t="s">
        <v>43</v>
      </c>
      <c r="N39" s="346"/>
      <c r="O39" t="s">
        <v>403</v>
      </c>
    </row>
    <row r="40" spans="1:16">
      <c r="A40" s="5" t="s">
        <v>44</v>
      </c>
      <c r="B40" s="19">
        <f>B13/B7</f>
        <v>0.11838320920555682</v>
      </c>
      <c r="C40" s="19">
        <f t="shared" ref="C40:K40" si="8">C13/C7</f>
        <v>0.12554680321367143</v>
      </c>
      <c r="D40" s="19">
        <f t="shared" si="8"/>
        <v>0.11012982985381813</v>
      </c>
      <c r="E40" s="19">
        <f t="shared" si="8"/>
        <v>0.13004399420373108</v>
      </c>
      <c r="F40" s="19">
        <f t="shared" si="8"/>
        <v>0.17802736732438015</v>
      </c>
      <c r="G40" s="19">
        <f t="shared" si="8"/>
        <v>0.16090639308427437</v>
      </c>
      <c r="H40" s="19">
        <f t="shared" si="8"/>
        <v>0.16177713560200416</v>
      </c>
      <c r="I40" s="19">
        <f t="shared" si="8"/>
        <v>0.16264190827371838</v>
      </c>
      <c r="J40" s="19">
        <f t="shared" si="8"/>
        <v>0.16348075433198975</v>
      </c>
      <c r="K40" s="19">
        <f t="shared" si="8"/>
        <v>0.16429453957467344</v>
      </c>
      <c r="N40" s="346"/>
    </row>
    <row r="41" spans="1:16">
      <c r="A41" s="4" t="s">
        <v>45</v>
      </c>
      <c r="N41" s="346"/>
      <c r="O41" t="s">
        <v>404</v>
      </c>
    </row>
    <row r="42" spans="1:16">
      <c r="A42" s="4" t="s">
        <v>46</v>
      </c>
      <c r="N42" s="346"/>
      <c r="O42" t="s">
        <v>405</v>
      </c>
    </row>
    <row r="43" spans="1:16">
      <c r="A43" s="4" t="s">
        <v>47</v>
      </c>
      <c r="N43" s="346"/>
    </row>
    <row r="44" spans="1:16">
      <c r="A44" s="4" t="s">
        <v>48</v>
      </c>
      <c r="B44" s="19">
        <f>B17/B16</f>
        <v>0.15204869690995026</v>
      </c>
      <c r="C44" s="19">
        <f>C17/C16</f>
        <v>0.19106208457078211</v>
      </c>
      <c r="D44" s="19">
        <f>D17/D16</f>
        <v>0.17455709394074723</v>
      </c>
      <c r="E44" s="19">
        <f>E17/E16</f>
        <v>0.20649387638849317</v>
      </c>
      <c r="F44" s="19">
        <f>F17/F16</f>
        <v>0.17085407591785953</v>
      </c>
      <c r="G44" s="19">
        <v>0.19500000000000001</v>
      </c>
      <c r="H44" s="19">
        <v>0.18512475431504521</v>
      </c>
      <c r="I44" s="19">
        <v>0.18512475431504521</v>
      </c>
      <c r="J44" s="19">
        <v>0.18512475431504521</v>
      </c>
      <c r="K44" s="19">
        <v>0.18512475431504521</v>
      </c>
      <c r="N44" s="346"/>
      <c r="O44" t="s">
        <v>446</v>
      </c>
    </row>
    <row r="45" spans="1:16">
      <c r="A45" s="4" t="s">
        <v>49</v>
      </c>
      <c r="N45" s="346"/>
    </row>
    <row r="46" spans="1:16" ht="28.8">
      <c r="A46" s="4" t="s">
        <v>50</v>
      </c>
      <c r="N46" s="346"/>
      <c r="O46" t="s">
        <v>406</v>
      </c>
    </row>
    <row r="47" spans="1:16">
      <c r="A47" s="5" t="s">
        <v>51</v>
      </c>
      <c r="N47" s="346"/>
    </row>
    <row r="48" spans="1:16" ht="28.8">
      <c r="A48" s="4" t="s">
        <v>52</v>
      </c>
      <c r="N48" s="346"/>
      <c r="O48" t="s">
        <v>407</v>
      </c>
    </row>
    <row r="49" spans="1:15">
      <c r="A49" s="4" t="s">
        <v>53</v>
      </c>
      <c r="N49" s="346"/>
    </row>
    <row r="50" spans="1:15">
      <c r="A50" s="4"/>
      <c r="N50" s="346"/>
      <c r="O50" t="s">
        <v>408</v>
      </c>
    </row>
    <row r="51" spans="1:15">
      <c r="A51" s="4"/>
    </row>
    <row r="52" spans="1:15">
      <c r="A52" s="4"/>
    </row>
    <row r="53" spans="1:15">
      <c r="A53" s="4"/>
    </row>
    <row r="54" spans="1:15">
      <c r="A54" s="4"/>
    </row>
    <row r="55" spans="1:15">
      <c r="A55" s="4"/>
    </row>
    <row r="56" spans="1:15">
      <c r="A56" s="4"/>
    </row>
    <row r="57" spans="1:15">
      <c r="A57" s="4"/>
    </row>
  </sheetData>
  <mergeCells count="2">
    <mergeCell ref="O32:P34"/>
    <mergeCell ref="O37:P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C219-8C65-4468-9136-2BFE97A38EC9}">
  <dimension ref="A1:H54"/>
  <sheetViews>
    <sheetView topLeftCell="A40" workbookViewId="0">
      <selection activeCell="H47" sqref="H47"/>
    </sheetView>
  </sheetViews>
  <sheetFormatPr defaultRowHeight="15" customHeight="1"/>
  <cols>
    <col min="1" max="1" width="31" bestFit="1" customWidth="1"/>
  </cols>
  <sheetData>
    <row r="1" spans="1:8" ht="14.4">
      <c r="A1" s="357"/>
      <c r="B1" s="356">
        <v>2025</v>
      </c>
      <c r="C1" s="356">
        <v>2026</v>
      </c>
      <c r="D1" s="356">
        <v>2027</v>
      </c>
      <c r="E1" s="356">
        <v>2028</v>
      </c>
      <c r="F1" s="356">
        <v>2029</v>
      </c>
    </row>
    <row r="2" spans="1:8" ht="14.4">
      <c r="A2" t="s">
        <v>194</v>
      </c>
      <c r="B2" s="29">
        <f>+'Income statement'!G20</f>
        <v>1931.3393418945111</v>
      </c>
      <c r="C2" s="29">
        <f>+'Income statement'!H20</f>
        <v>2043.829337343298</v>
      </c>
      <c r="D2" s="29">
        <f>+'Income statement'!I20</f>
        <v>2137.3369837573864</v>
      </c>
      <c r="E2" s="29">
        <f>+'Income statement'!J20</f>
        <v>2230.9519168197717</v>
      </c>
      <c r="F2" s="29">
        <f>+'Income statement'!K20</f>
        <v>2331.1880048135076</v>
      </c>
    </row>
    <row r="3" spans="1:8" ht="14.4">
      <c r="G3" s="3"/>
      <c r="H3" s="3"/>
    </row>
    <row r="4" spans="1:8" ht="14.4">
      <c r="A4" s="9" t="s">
        <v>0</v>
      </c>
    </row>
    <row r="5" spans="1:8" ht="14.4">
      <c r="A5" s="9" t="s">
        <v>29</v>
      </c>
    </row>
    <row r="6" spans="1:8" ht="14.4">
      <c r="A6" s="8" t="s">
        <v>1</v>
      </c>
    </row>
    <row r="7" spans="1:8" ht="14.4">
      <c r="A7" s="8" t="s">
        <v>2</v>
      </c>
      <c r="B7" s="29">
        <f>+'Balance sheet'!F7-'Balance sheet'!G7</f>
        <v>-104.00267671232905</v>
      </c>
      <c r="C7" s="29">
        <f>+'Balance sheet'!G7-'Balance sheet'!H7</f>
        <v>-81.161411883561868</v>
      </c>
      <c r="D7" s="29">
        <f>+'Balance sheet'!H7-'Balance sheet'!I7</f>
        <v>-125.17198480034267</v>
      </c>
      <c r="E7" s="29">
        <f>+'Balance sheet'!I7-'Balance sheet'!J7</f>
        <v>-130.6147477117006</v>
      </c>
      <c r="F7" s="29">
        <f>+'Balance sheet'!J7-'Balance sheet'!K7</f>
        <v>-136.30366896243686</v>
      </c>
    </row>
    <row r="8" spans="1:8" ht="14.4">
      <c r="A8" s="8" t="s">
        <v>3</v>
      </c>
      <c r="B8" s="29">
        <f>+'Balance sheet'!F8-'Balance sheet'!G8</f>
        <v>-79.911385466975162</v>
      </c>
      <c r="C8" s="29">
        <f>+'Balance sheet'!G8-'Balance sheet'!H8</f>
        <v>-66.033063701008587</v>
      </c>
      <c r="D8" s="29">
        <f>+'Balance sheet'!H8-'Balance sheet'!I8</f>
        <v>-65.218802455675132</v>
      </c>
      <c r="E8" s="29">
        <f>+'Balance sheet'!I8-'Balance sheet'!J8</f>
        <v>-68.021845684232176</v>
      </c>
      <c r="F8" s="29">
        <f>+'Balance sheet'!J8-'Balance sheet'!K8</f>
        <v>-70.950407234173554</v>
      </c>
    </row>
    <row r="9" spans="1:8" ht="14.4">
      <c r="A9" s="8" t="s">
        <v>4</v>
      </c>
      <c r="B9" s="29">
        <f>+'Balance sheet'!F9-'Balance sheet'!G9</f>
        <v>-1.8616160000000832</v>
      </c>
      <c r="C9" s="29">
        <f>+'Balance sheet'!G9-'Balance sheet'!H9</f>
        <v>-18.326802064999981</v>
      </c>
      <c r="D9" s="29">
        <f>+'Balance sheet'!H9-'Balance sheet'!I9</f>
        <v>-18.244514927225111</v>
      </c>
      <c r="E9" s="29">
        <f>+'Balance sheet'!I9-'Balance sheet'!J9</f>
        <v>-19.045843680567941</v>
      </c>
      <c r="F9" s="29">
        <f>+'Balance sheet'!J9-'Balance sheet'!K9</f>
        <v>-19.88371881238885</v>
      </c>
    </row>
    <row r="10" spans="1:8" ht="14.4">
      <c r="A10" s="9" t="s">
        <v>5</v>
      </c>
      <c r="B10" s="29"/>
      <c r="C10" s="29"/>
      <c r="D10" s="29"/>
      <c r="E10" s="29"/>
      <c r="F10" s="29"/>
    </row>
    <row r="11" spans="1:8" ht="14.4">
      <c r="A11" s="8" t="s">
        <v>30</v>
      </c>
      <c r="B11" s="29">
        <f>+'Balance sheet'!F11-'Balance sheet'!G11</f>
        <v>-280.07703381192277</v>
      </c>
      <c r="C11" s="29">
        <f>+'Balance sheet'!G11-'Balance sheet'!H11</f>
        <v>-269.95095909099064</v>
      </c>
      <c r="D11" s="29">
        <f>+'Balance sheet'!H11-'Balance sheet'!I11</f>
        <v>-261.39934760617234</v>
      </c>
      <c r="E11" s="29">
        <f>+'Balance sheet'!I11-'Balance sheet'!J11</f>
        <v>-256.28841298357747</v>
      </c>
      <c r="F11" s="29">
        <f>+'Balance sheet'!J11-'Balance sheet'!K11</f>
        <v>-254.05457372521869</v>
      </c>
    </row>
    <row r="12" spans="1:8" ht="14.4">
      <c r="A12" s="8" t="s">
        <v>6</v>
      </c>
      <c r="B12" s="29">
        <f>+'Balance sheet'!F12-'Balance sheet'!G12</f>
        <v>0</v>
      </c>
      <c r="C12" s="29">
        <f>+'Balance sheet'!G12-'Balance sheet'!H12</f>
        <v>0</v>
      </c>
      <c r="D12" s="29">
        <f>+'Balance sheet'!H12-'Balance sheet'!I12</f>
        <v>0</v>
      </c>
      <c r="E12" s="29">
        <f>+'Balance sheet'!I12-'Balance sheet'!J12</f>
        <v>0</v>
      </c>
      <c r="F12" s="29">
        <f>+'Balance sheet'!J12-'Balance sheet'!K12</f>
        <v>0</v>
      </c>
    </row>
    <row r="13" spans="1:8" ht="14.4">
      <c r="A13" s="8" t="s">
        <v>7</v>
      </c>
      <c r="B13" s="29">
        <f>+'Balance sheet'!F13-'Balance sheet'!G13</f>
        <v>293</v>
      </c>
      <c r="C13" s="29">
        <f>+'Balance sheet'!G13-'Balance sheet'!H13</f>
        <v>287</v>
      </c>
      <c r="D13" s="29">
        <f>+'Balance sheet'!H13-'Balance sheet'!I13</f>
        <v>165</v>
      </c>
      <c r="E13" s="29">
        <f>+'Balance sheet'!I13-'Balance sheet'!J13</f>
        <v>157</v>
      </c>
      <c r="F13" s="29">
        <f>+'Balance sheet'!J13-'Balance sheet'!K13</f>
        <v>149</v>
      </c>
    </row>
    <row r="14" spans="1:8" ht="14.4">
      <c r="A14" s="8" t="s">
        <v>8</v>
      </c>
      <c r="B14" s="29">
        <f>+'Balance sheet'!F14-'Balance sheet'!G14</f>
        <v>-210.55020549999995</v>
      </c>
      <c r="C14" s="29">
        <f>+'Balance sheet'!G14-'Balance sheet'!H14</f>
        <v>-194.70401668249997</v>
      </c>
      <c r="D14" s="29">
        <f>+'Balance sheet'!H14-'Balance sheet'!I14</f>
        <v>-180.80034226372504</v>
      </c>
      <c r="E14" s="29">
        <f>+'Balance sheet'!I14-'Balance sheet'!J14</f>
        <v>-169.42388319881343</v>
      </c>
      <c r="F14" s="29">
        <f>+'Balance sheet'!J14-'Balance sheet'!K14</f>
        <v>-160.24709253951028</v>
      </c>
    </row>
    <row r="15" spans="1:8" ht="14.4">
      <c r="A15" s="8" t="s">
        <v>9</v>
      </c>
      <c r="B15" s="29">
        <f>+'Balance sheet'!F15-'Balance sheet'!G15</f>
        <v>19.112732240331752</v>
      </c>
      <c r="C15" s="29">
        <f>+'Balance sheet'!G15-'Balance sheet'!H15</f>
        <v>-25.676405330459033</v>
      </c>
      <c r="D15" s="29">
        <f>+'Balance sheet'!H15-'Balance sheet'!I15</f>
        <v>-15.812366444808504</v>
      </c>
      <c r="E15" s="29">
        <f>+'Balance sheet'!I15-'Balance sheet'!J15</f>
        <v>-32.719797094291835</v>
      </c>
      <c r="F15" s="29">
        <f>+'Balance sheet'!J15-'Balance sheet'!K15</f>
        <v>-46.571499376038446</v>
      </c>
    </row>
    <row r="16" spans="1:8" ht="14.4">
      <c r="A16" s="9" t="s">
        <v>10</v>
      </c>
    </row>
    <row r="17" spans="1:6" ht="14.4">
      <c r="A17" s="8"/>
    </row>
    <row r="18" spans="1:6" ht="14.4">
      <c r="A18" s="9" t="s">
        <v>11</v>
      </c>
    </row>
    <row r="19" spans="1:6" ht="14.4">
      <c r="A19" s="9" t="s">
        <v>31</v>
      </c>
    </row>
    <row r="20" spans="1:6" ht="14.4">
      <c r="A20" s="8" t="s">
        <v>12</v>
      </c>
      <c r="B20" s="31">
        <f>+'Balance sheet'!G20-'Balance sheet'!F20</f>
        <v>-43.300000000000068</v>
      </c>
      <c r="C20" s="31">
        <f>'Balance sheet'!H20-'Balance sheet'!G20</f>
        <v>8</v>
      </c>
      <c r="D20" s="31">
        <f>'Balance sheet'!I20-'Balance sheet'!H20</f>
        <v>20</v>
      </c>
      <c r="E20" s="31">
        <f>'Balance sheet'!J20-'Balance sheet'!I20</f>
        <v>28</v>
      </c>
      <c r="F20" s="31">
        <f>'Balance sheet'!K20-'Balance sheet'!J20</f>
        <v>40</v>
      </c>
    </row>
    <row r="21" spans="1:6" ht="14.4">
      <c r="A21" s="8" t="s">
        <v>13</v>
      </c>
      <c r="B21" s="31">
        <f>+'Balance sheet'!G21-'Balance sheet'!F21</f>
        <v>-172.49315370266822</v>
      </c>
      <c r="C21" s="31">
        <f>+'Balance sheet'!H21-'Balance sheet'!G21</f>
        <v>67.925395198609294</v>
      </c>
      <c r="D21" s="31">
        <f>+'Balance sheet'!I21-'Balance sheet'!H21</f>
        <v>72.898812696420919</v>
      </c>
      <c r="E21" s="31">
        <f>+'Balance sheet'!J21-'Balance sheet'!I21</f>
        <v>71.999889116586928</v>
      </c>
      <c r="F21" s="31">
        <f>+'Balance sheet'!K21-'Balance sheet'!J21</f>
        <v>75.094377117685326</v>
      </c>
    </row>
    <row r="22" spans="1:6" ht="14.4">
      <c r="A22" s="8" t="s">
        <v>14</v>
      </c>
      <c r="B22" s="31">
        <f>+'Balance sheet'!G22-'Balance sheet'!F22</f>
        <v>-22.021414399999912</v>
      </c>
      <c r="C22" s="31">
        <f>+'Balance sheet'!H22-'Balance sheet'!G22</f>
        <v>6.3634624007499951</v>
      </c>
      <c r="D22" s="31">
        <f>+'Balance sheet'!I22-'Balance sheet'!H22</f>
        <v>28.278998137198869</v>
      </c>
      <c r="E22" s="31">
        <f>+'Balance sheet'!J22-'Balance sheet'!I22</f>
        <v>4.6971188712407184</v>
      </c>
      <c r="F22" s="31">
        <f>+'Balance sheet'!K22-'Balance sheet'!J22</f>
        <v>29.82557821858336</v>
      </c>
    </row>
    <row r="23" spans="1:6" ht="14.4">
      <c r="A23" s="8" t="s">
        <v>32</v>
      </c>
      <c r="B23" s="31">
        <f>+'Balance sheet'!G23-'Balance sheet'!F23</f>
        <v>68.817591619532607</v>
      </c>
      <c r="C23" s="31">
        <f>+'Balance sheet'!H23-'Balance sheet'!G23</f>
        <v>-1.5826653747927253</v>
      </c>
      <c r="D23" s="31">
        <f>+'Balance sheet'!I23-'Balance sheet'!H23</f>
        <v>8.8003646793487178</v>
      </c>
      <c r="E23" s="31">
        <f>+'Balance sheet'!J23-'Balance sheet'!I23</f>
        <v>8.8104618389548648</v>
      </c>
      <c r="F23" s="31">
        <f>+'Balance sheet'!K23-'Balance sheet'!J23</f>
        <v>9.4336042260097202</v>
      </c>
    </row>
    <row r="24" spans="1:6" ht="14.4">
      <c r="A24" s="8" t="s">
        <v>15</v>
      </c>
      <c r="B24" s="31">
        <f>+'Balance sheet'!G24-'Balance sheet'!F24</f>
        <v>12.874110019856062</v>
      </c>
      <c r="C24" s="31">
        <f>+'Balance sheet'!H24-'Balance sheet'!G24</f>
        <v>41.468190849031771</v>
      </c>
      <c r="D24" s="31">
        <f>+'Balance sheet'!I24-'Balance sheet'!H24</f>
        <v>64.307948480289724</v>
      </c>
      <c r="E24" s="31">
        <f>+'Balance sheet'!J24-'Balance sheet'!I24</f>
        <v>67.10420450716606</v>
      </c>
      <c r="F24" s="31">
        <f>+'Balance sheet'!K24-'Balance sheet'!J24</f>
        <v>70.026926035344559</v>
      </c>
    </row>
    <row r="25" spans="1:6" ht="14.4">
      <c r="A25" s="9" t="s">
        <v>16</v>
      </c>
      <c r="B25" s="31"/>
      <c r="C25" s="31"/>
      <c r="D25" s="31"/>
      <c r="E25" s="31"/>
      <c r="F25" s="31"/>
    </row>
    <row r="26" spans="1:6" ht="14.4">
      <c r="A26" s="8" t="s">
        <v>17</v>
      </c>
      <c r="B26" s="31">
        <f>+'Balance sheet'!G26-'Balance sheet'!F26</f>
        <v>205.80000000000018</v>
      </c>
      <c r="C26" s="31">
        <f>+'Balance sheet'!H26-'Balance sheet'!G26</f>
        <v>100</v>
      </c>
      <c r="D26" s="31">
        <f>+'Balance sheet'!I26-'Balance sheet'!H26</f>
        <v>250</v>
      </c>
      <c r="E26" s="31">
        <f>+'Balance sheet'!J26-'Balance sheet'!I26</f>
        <v>350</v>
      </c>
      <c r="F26" s="31">
        <f>+'Balance sheet'!K26-'Balance sheet'!J26</f>
        <v>500</v>
      </c>
    </row>
    <row r="27" spans="1:6" ht="14.4">
      <c r="A27" s="8" t="s">
        <v>33</v>
      </c>
      <c r="B27" s="31">
        <f>+'Balance sheet'!G27-'Balance sheet'!F27</f>
        <v>0</v>
      </c>
      <c r="C27" s="31">
        <f>+'Balance sheet'!H27-'Balance sheet'!G27</f>
        <v>0</v>
      </c>
      <c r="D27" s="31">
        <f>+'Balance sheet'!I27-'Balance sheet'!H27</f>
        <v>0</v>
      </c>
      <c r="E27" s="31">
        <f>+'Balance sheet'!J27-'Balance sheet'!I27</f>
        <v>0</v>
      </c>
      <c r="F27" s="31">
        <f>+'Balance sheet'!K27-'Balance sheet'!J27</f>
        <v>0</v>
      </c>
    </row>
    <row r="28" spans="1:6" ht="14.4">
      <c r="A28" s="8" t="s">
        <v>18</v>
      </c>
      <c r="B28" s="31">
        <f>+'Balance sheet'!G28-'Balance sheet'!F28</f>
        <v>569.81131149880105</v>
      </c>
      <c r="C28" s="31">
        <f>+'Balance sheet'!H28-'Balance sheet'!G28</f>
        <v>-95.226023513032146</v>
      </c>
      <c r="D28" s="31">
        <f>+'Balance sheet'!I28-'Balance sheet'!H28</f>
        <v>-33.701941645958186</v>
      </c>
      <c r="E28" s="31">
        <f>+'Balance sheet'!J28-'Balance sheet'!I28</f>
        <v>-38.797935278115574</v>
      </c>
      <c r="F28" s="31">
        <f>+'Balance sheet'!K28-'Balance sheet'!J28</f>
        <v>49.621163119530252</v>
      </c>
    </row>
    <row r="29" spans="1:6" ht="14.4">
      <c r="A29" s="8" t="s">
        <v>19</v>
      </c>
      <c r="B29" s="31">
        <f>+'Balance sheet'!G29-'Balance sheet'!F29</f>
        <v>135.67616440000006</v>
      </c>
      <c r="C29" s="31">
        <f>+'Balance sheet'!H29-'Balance sheet'!G29</f>
        <v>141.94323636199999</v>
      </c>
      <c r="D29" s="31">
        <f>+'Balance sheet'!I29-'Balance sheet'!H29</f>
        <v>128.62714669542004</v>
      </c>
      <c r="E29" s="31">
        <f>+'Balance sheet'!J29-'Balance sheet'!I29</f>
        <v>134.97561777702799</v>
      </c>
      <c r="F29" s="31">
        <f>+'Balance sheet'!K29-'Balance sheet'!J29</f>
        <v>141.8096601678526</v>
      </c>
    </row>
    <row r="30" spans="1:6" ht="14.4">
      <c r="A30" s="8" t="s">
        <v>20</v>
      </c>
      <c r="B30" s="31">
        <f>+'Balance sheet'!G30-'Balance sheet'!F30</f>
        <v>38.620451235582607</v>
      </c>
      <c r="C30" s="31">
        <f>+'Balance sheet'!H30-'Balance sheet'!G30</f>
        <v>17.421924468741111</v>
      </c>
      <c r="D30" s="31">
        <f>+'Balance sheet'!I30-'Balance sheet'!H30</f>
        <v>17.327892762009526</v>
      </c>
      <c r="E30" s="31">
        <f>+'Balance sheet'!J30-'Balance sheet'!I30</f>
        <v>18.081348994308541</v>
      </c>
      <c r="F30" s="31">
        <f>+'Balance sheet'!K30-'Balance sheet'!J30</f>
        <v>18.868881584140922</v>
      </c>
    </row>
    <row r="31" spans="1:6" ht="14.4">
      <c r="A31" s="9" t="s">
        <v>21</v>
      </c>
      <c r="B31" s="31"/>
      <c r="C31" s="31"/>
      <c r="D31" s="31"/>
      <c r="E31" s="31"/>
      <c r="F31" s="31"/>
    </row>
    <row r="32" spans="1:6" ht="14.4">
      <c r="A32" s="8"/>
      <c r="B32" s="31"/>
      <c r="C32" s="31"/>
      <c r="D32" s="31"/>
      <c r="E32" s="31"/>
      <c r="F32" s="31"/>
    </row>
    <row r="33" spans="1:6" ht="14.4">
      <c r="A33" s="9" t="s">
        <v>34</v>
      </c>
      <c r="B33" s="31"/>
      <c r="C33" s="31"/>
      <c r="D33" s="31"/>
      <c r="E33" s="31"/>
      <c r="F33" s="31"/>
    </row>
    <row r="34" spans="1:6" ht="14.4">
      <c r="A34" s="8" t="s">
        <v>22</v>
      </c>
      <c r="B34" s="31">
        <f>+'Balance sheet'!G34-'Balance sheet'!F34</f>
        <v>2</v>
      </c>
      <c r="C34" s="31">
        <f>+'Balance sheet'!H34-'Balance sheet'!G34</f>
        <v>1.5</v>
      </c>
      <c r="D34" s="31">
        <f>+'Balance sheet'!I34-'Balance sheet'!H34</f>
        <v>1</v>
      </c>
      <c r="E34" s="31">
        <f>+'Balance sheet'!J34-'Balance sheet'!I34</f>
        <v>1</v>
      </c>
      <c r="F34" s="31">
        <f>+'Balance sheet'!K34-'Balance sheet'!J34</f>
        <v>1</v>
      </c>
    </row>
    <row r="35" spans="1:6" ht="14.4">
      <c r="A35" s="8" t="s">
        <v>23</v>
      </c>
      <c r="B35" s="31">
        <f>+'Balance sheet'!G35-'Balance sheet'!F35</f>
        <v>328.38968999999997</v>
      </c>
      <c r="C35" s="31">
        <f>+'Balance sheet'!H35-'Balance sheet'!G35</f>
        <v>342.55688995000037</v>
      </c>
      <c r="D35" s="31">
        <f>+'Balance sheet'!I35-'Balance sheet'!H35</f>
        <v>356.61466670450045</v>
      </c>
      <c r="E35" s="31">
        <f>+'Balance sheet'!J35-'Balance sheet'!I35</f>
        <v>371.28370760135294</v>
      </c>
      <c r="F35" s="31">
        <f>+'Balance sheet'!K35-'Balance sheet'!J35</f>
        <v>386.59165811559615</v>
      </c>
    </row>
    <row r="36" spans="1:6" ht="14.4">
      <c r="A36" s="8" t="s">
        <v>24</v>
      </c>
      <c r="B36" s="31"/>
      <c r="C36" s="31"/>
      <c r="D36" s="31"/>
      <c r="E36" s="31"/>
      <c r="F36" s="31"/>
    </row>
    <row r="37" spans="1:6" ht="28.8">
      <c r="A37" s="8" t="s">
        <v>35</v>
      </c>
      <c r="B37" s="31">
        <f>+'Balance sheet'!G37-'Balance sheet'!F37</f>
        <v>0</v>
      </c>
      <c r="C37" s="31">
        <f>+'Balance sheet'!H37-'Balance sheet'!G37</f>
        <v>32</v>
      </c>
      <c r="D37" s="31">
        <f>+'Balance sheet'!I37-'Balance sheet'!H37</f>
        <v>30</v>
      </c>
      <c r="E37" s="31">
        <f>+'Balance sheet'!J37-'Balance sheet'!I37</f>
        <v>20</v>
      </c>
      <c r="F37" s="31">
        <f>+'Balance sheet'!K37-'Balance sheet'!J37</f>
        <v>20</v>
      </c>
    </row>
    <row r="38" spans="1:6" ht="14.4">
      <c r="A38" s="8" t="s">
        <v>25</v>
      </c>
      <c r="B38" s="31">
        <f>+'Balance sheet'!G38-'Balance sheet'!F38</f>
        <v>-499.79999999999927</v>
      </c>
      <c r="C38" s="31">
        <f>+'Balance sheet'!H38-'Balance sheet'!G38</f>
        <v>-500</v>
      </c>
      <c r="D38" s="31">
        <f>+'Balance sheet'!I38-'Balance sheet'!H38</f>
        <v>-500</v>
      </c>
      <c r="E38" s="31">
        <f>+'Balance sheet'!J38-'Balance sheet'!I38</f>
        <v>-500</v>
      </c>
      <c r="F38" s="31">
        <f>+'Balance sheet'!K38-'Balance sheet'!J38</f>
        <v>-500</v>
      </c>
    </row>
    <row r="39" spans="1:6" ht="14.4">
      <c r="A39" s="9" t="s">
        <v>26</v>
      </c>
      <c r="B39" s="31"/>
      <c r="C39" s="31"/>
      <c r="D39" s="31"/>
      <c r="E39" s="31"/>
      <c r="F39" s="31"/>
    </row>
    <row r="40" spans="1:6" ht="14.4">
      <c r="A40" s="8" t="s">
        <v>36</v>
      </c>
      <c r="B40" s="31">
        <f>+'Balance sheet'!G40-'Balance sheet'!F40</f>
        <v>0</v>
      </c>
      <c r="C40" s="31">
        <f>+'Balance sheet'!H40-'Balance sheet'!G40</f>
        <v>0</v>
      </c>
      <c r="D40" s="31">
        <f>+'Balance sheet'!I40-'Balance sheet'!H40</f>
        <v>0</v>
      </c>
      <c r="E40" s="31">
        <f>+'Balance sheet'!J40-'Balance sheet'!I40</f>
        <v>0</v>
      </c>
      <c r="F40" s="31">
        <f>+'Balance sheet'!K40-'Balance sheet'!J40</f>
        <v>0</v>
      </c>
    </row>
    <row r="41" spans="1:6" ht="14.4">
      <c r="A41" s="9" t="s">
        <v>27</v>
      </c>
      <c r="B41" s="31"/>
      <c r="C41" s="31"/>
      <c r="D41" s="31"/>
      <c r="E41" s="31"/>
      <c r="F41" s="31"/>
    </row>
    <row r="42" spans="1:6" ht="14.4">
      <c r="A42" s="9" t="s">
        <v>28</v>
      </c>
      <c r="B42" s="31"/>
      <c r="C42" s="31"/>
      <c r="D42" s="31"/>
      <c r="E42" s="31"/>
      <c r="F42" s="31"/>
    </row>
    <row r="43" spans="1:6" ht="14.4">
      <c r="A43" s="9" t="s">
        <v>195</v>
      </c>
      <c r="B43" s="31">
        <f>Schedules!G7</f>
        <v>690.1</v>
      </c>
      <c r="C43" s="31">
        <f>Schedules!H7</f>
        <v>703.90200000000004</v>
      </c>
      <c r="D43" s="31">
        <f>Schedules!I7</f>
        <v>725.01906000000008</v>
      </c>
      <c r="E43" s="31">
        <f>Schedules!J7</f>
        <v>739.51944120000007</v>
      </c>
      <c r="F43" s="31">
        <f>Schedules!K7</f>
        <v>761.70502443600014</v>
      </c>
    </row>
    <row r="45" spans="1:6" ht="14.4">
      <c r="A45" s="9" t="s">
        <v>196</v>
      </c>
      <c r="B45" s="358">
        <f>B2+B7+B8+B9+B11+B12+B13+B14+B15+B20+B21+B22+B23+B24+B26+B27+B28+B29+B30+B34+B35+B37+B38+B40-B43</f>
        <v>1501.3239073147211</v>
      </c>
      <c r="C45" s="358">
        <f>C2+C7+C8+C9+C11+C12+C13+C14+C15+C20+C21+C22+C23+C24+C26+C27+C28+C29+C30+C34+C35+C37+C38+C40-C43</f>
        <v>1133.4450889310851</v>
      </c>
      <c r="D45" s="358">
        <f>D2+D7+D8+D9+D11+D12+D13+D14+D15+D20+D21+D22+D23+D24+D26+D27+D28+D29+D30+D34+D35+D37+D38+D40-D43</f>
        <v>1354.8244537686678</v>
      </c>
      <c r="E45" s="358">
        <f>E2+E7+E8+E9+E11+E12+E13+E14+E15+E20+E21+E22+E23+E24+E26+E27+E28+E29+E30+E34+E35+E37+E38+E40-E43</f>
        <v>1509.4723586951104</v>
      </c>
      <c r="F45" s="358">
        <f>F2+F7+F8+F9+F11+F12+F13+F14+F15+F20+F21+F22+F23+F24+F26+F27+F28+F29+F30+F34+F35+F37+F38+F40-F43</f>
        <v>1872.7438683124833</v>
      </c>
    </row>
    <row r="47" spans="1:6" ht="14.4">
      <c r="A47" s="9" t="s">
        <v>197</v>
      </c>
      <c r="B47" s="29">
        <f>'Balance sheet'!F6</f>
        <v>1256.8</v>
      </c>
      <c r="C47" s="29">
        <f>B49</f>
        <v>2758.1239073147208</v>
      </c>
      <c r="D47" s="29">
        <f>C49</f>
        <v>3891.5689962458059</v>
      </c>
      <c r="E47" s="29">
        <f>D49</f>
        <v>5246.3934500144733</v>
      </c>
      <c r="F47" s="29">
        <f>E49</f>
        <v>6755.8658087095837</v>
      </c>
    </row>
    <row r="49" spans="1:6" ht="14.4">
      <c r="A49" t="s">
        <v>399</v>
      </c>
      <c r="B49" s="29">
        <f>B47+B45</f>
        <v>2758.1239073147208</v>
      </c>
      <c r="C49" s="29">
        <f>C47+C45</f>
        <v>3891.5689962458059</v>
      </c>
      <c r="D49" s="29">
        <f>D47+D45</f>
        <v>5246.3934500144733</v>
      </c>
      <c r="E49" s="29">
        <f>E47+E45</f>
        <v>6755.8658087095837</v>
      </c>
      <c r="F49" s="29">
        <f>F47+F45</f>
        <v>8628.6096770220665</v>
      </c>
    </row>
    <row r="52" spans="1:6" ht="14.4">
      <c r="A52" s="11" t="s">
        <v>398</v>
      </c>
      <c r="B52" s="358">
        <f>B45+B43</f>
        <v>2191.423907314721</v>
      </c>
      <c r="C52" s="358">
        <f>C45+C43</f>
        <v>1837.3470889310852</v>
      </c>
      <c r="D52" s="358">
        <f>D45+D43</f>
        <v>2079.8435137686679</v>
      </c>
      <c r="E52" s="358">
        <f>E45+E43</f>
        <v>2248.9917998951105</v>
      </c>
      <c r="F52" s="358">
        <f>F45+F43</f>
        <v>2634.4488927484836</v>
      </c>
    </row>
    <row r="54" spans="1:6" ht="15" customHeight="1">
      <c r="A54" t="s">
        <v>400</v>
      </c>
      <c r="B54" s="31">
        <f>+'Balance sheet'!G16-'Balance sheet'!G42</f>
        <v>0.10000000000218279</v>
      </c>
      <c r="C54" s="31">
        <f>+'Balance sheet'!H16-'Balance sheet'!H42</f>
        <v>9.9999999998544808E-2</v>
      </c>
      <c r="D54" s="31">
        <f>+'Balance sheet'!I16-'Balance sheet'!I42</f>
        <v>0.10000000000218279</v>
      </c>
      <c r="E54" s="31">
        <f>+'Balance sheet'!J16-'Balance sheet'!J42</f>
        <v>0.10000000000218279</v>
      </c>
      <c r="F54" s="31">
        <f>+'Balance sheet'!K16-'Balance sheet'!K42</f>
        <v>9.9999999998544808E-2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4E61-1D05-4612-9789-974E5981AA5F}">
  <dimension ref="A1:J51"/>
  <sheetViews>
    <sheetView zoomScale="56" zoomScaleNormal="80" workbookViewId="0">
      <selection activeCell="M36" sqref="M36"/>
    </sheetView>
  </sheetViews>
  <sheetFormatPr defaultRowHeight="14.4"/>
  <cols>
    <col min="1" max="1" width="31" bestFit="1" customWidth="1"/>
    <col min="2" max="5" width="0" hidden="1" customWidth="1"/>
  </cols>
  <sheetData>
    <row r="1" spans="1:10">
      <c r="A1" s="357"/>
      <c r="B1" s="356">
        <v>2021</v>
      </c>
      <c r="C1" s="356">
        <v>2022</v>
      </c>
      <c r="D1" s="356">
        <v>2023</v>
      </c>
      <c r="E1" s="356">
        <v>2024</v>
      </c>
      <c r="F1" s="356">
        <v>2025</v>
      </c>
      <c r="G1" s="356">
        <v>2026</v>
      </c>
      <c r="H1" s="356">
        <v>2027</v>
      </c>
      <c r="I1" s="356">
        <v>2028</v>
      </c>
      <c r="J1" s="356">
        <v>2029</v>
      </c>
    </row>
    <row r="2" spans="1:10">
      <c r="A2" t="s">
        <v>194</v>
      </c>
      <c r="B2" s="29">
        <f>'Income statement'!C20</f>
        <v>1129.8999999999996</v>
      </c>
      <c r="C2" s="29">
        <f>'Income statement'!D20</f>
        <v>1091.700000000001</v>
      </c>
      <c r="D2" s="29">
        <f>'Income statement'!E20</f>
        <v>1372.3000000000011</v>
      </c>
      <c r="E2" s="29">
        <f>'Income statement'!F20</f>
        <v>2112.3999999999974</v>
      </c>
      <c r="F2" s="29">
        <f>'Income statement'!G20</f>
        <v>1931.3393418945111</v>
      </c>
      <c r="G2" s="29">
        <f>'Income statement'!H20</f>
        <v>2043.829337343298</v>
      </c>
      <c r="H2" s="29">
        <f>'Income statement'!I20</f>
        <v>2137.3369837573864</v>
      </c>
      <c r="I2" s="29">
        <f>'Income statement'!J20</f>
        <v>2230.9519168197717</v>
      </c>
      <c r="J2" s="29">
        <f>'Income statement'!K20</f>
        <v>2331.1880048135076</v>
      </c>
    </row>
    <row r="3" spans="1:10">
      <c r="A3" s="9" t="s">
        <v>0</v>
      </c>
    </row>
    <row r="4" spans="1:10">
      <c r="A4" s="9" t="s">
        <v>29</v>
      </c>
    </row>
    <row r="5" spans="1:10">
      <c r="A5" s="8" t="s">
        <v>1</v>
      </c>
    </row>
    <row r="6" spans="1:10">
      <c r="A6" s="8" t="s">
        <v>2</v>
      </c>
      <c r="B6" s="29">
        <f>'Balance sheet'!B7-'Balance sheet'!C7</f>
        <v>-204.59999999999991</v>
      </c>
      <c r="C6" s="29">
        <f>'Balance sheet'!C7-'Balance sheet'!D7</f>
        <v>-219.69999999999982</v>
      </c>
      <c r="D6" s="29">
        <f>'Balance sheet'!D7-'Balance sheet'!E7</f>
        <v>-136.09999999999991</v>
      </c>
      <c r="E6" s="29">
        <f>'Balance sheet'!E7-'Balance sheet'!F7</f>
        <v>-30.800000000000182</v>
      </c>
      <c r="F6" s="29">
        <f>'Balance sheet'!F7-'Balance sheet'!G7</f>
        <v>-104.00267671232905</v>
      </c>
      <c r="G6" s="29">
        <f>'Balance sheet'!G7-'Balance sheet'!H7</f>
        <v>-81.161411883561868</v>
      </c>
      <c r="H6" s="29">
        <f>'Balance sheet'!H7-'Balance sheet'!I7</f>
        <v>-125.17198480034267</v>
      </c>
      <c r="I6" s="29">
        <f>'Balance sheet'!I7-'Balance sheet'!J7</f>
        <v>-130.6147477117006</v>
      </c>
      <c r="J6" s="29">
        <f>'Balance sheet'!J7-'Balance sheet'!K7</f>
        <v>-136.30366896243686</v>
      </c>
    </row>
    <row r="7" spans="1:10">
      <c r="A7" s="8" t="s">
        <v>3</v>
      </c>
      <c r="B7" s="29">
        <f>'Balance sheet'!B8-'Balance sheet'!C8</f>
        <v>-206.59999999999991</v>
      </c>
      <c r="C7" s="29">
        <f>'Balance sheet'!C8-'Balance sheet'!D8</f>
        <v>-301</v>
      </c>
      <c r="D7" s="29">
        <f>'Balance sheet'!D8-'Balance sheet'!E8</f>
        <v>295.59999999999991</v>
      </c>
      <c r="E7" s="29">
        <f>'Balance sheet'!E8-'Balance sheet'!F8</f>
        <v>32.299999999999955</v>
      </c>
      <c r="F7" s="29">
        <f>'Balance sheet'!F8-'Balance sheet'!G8</f>
        <v>-79.911385466975162</v>
      </c>
      <c r="G7" s="29">
        <f>'Balance sheet'!G8-'Balance sheet'!H8</f>
        <v>-66.033063701008587</v>
      </c>
      <c r="H7" s="29">
        <f>'Balance sheet'!H8-'Balance sheet'!I8</f>
        <v>-65.218802455675132</v>
      </c>
      <c r="I7" s="29">
        <f>'Balance sheet'!I8-'Balance sheet'!J8</f>
        <v>-68.021845684232176</v>
      </c>
      <c r="J7" s="29">
        <f>'Balance sheet'!J8-'Balance sheet'!K8</f>
        <v>-70.950407234173554</v>
      </c>
    </row>
    <row r="8" spans="1:10">
      <c r="A8" s="8" t="s">
        <v>4</v>
      </c>
      <c r="B8" s="29">
        <f>'Balance sheet'!B9-'Balance sheet'!C9</f>
        <v>-58.800000000000011</v>
      </c>
      <c r="C8" s="29">
        <f>'Balance sheet'!C9-'Balance sheet'!D9</f>
        <v>-47.699999999999989</v>
      </c>
      <c r="D8" s="29">
        <f>'Balance sheet'!D9-'Balance sheet'!E9</f>
        <v>11.5</v>
      </c>
      <c r="E8" s="29">
        <f>'Balance sheet'!E9-'Balance sheet'!F9</f>
        <v>-45.800000000000011</v>
      </c>
      <c r="F8" s="29">
        <f>'Balance sheet'!F9-'Balance sheet'!G9</f>
        <v>-1.8616160000000832</v>
      </c>
      <c r="G8" s="29">
        <f>'Balance sheet'!G9-'Balance sheet'!H9</f>
        <v>-18.326802064999981</v>
      </c>
      <c r="H8" s="29">
        <f>'Balance sheet'!H9-'Balance sheet'!I9</f>
        <v>-18.244514927225111</v>
      </c>
      <c r="I8" s="29">
        <f>'Balance sheet'!I9-'Balance sheet'!J9</f>
        <v>-19.045843680567941</v>
      </c>
      <c r="J8" s="29">
        <f>'Balance sheet'!J9-'Balance sheet'!K9</f>
        <v>-19.88371881238885</v>
      </c>
    </row>
    <row r="9" spans="1:10">
      <c r="A9" s="9" t="s">
        <v>5</v>
      </c>
      <c r="B9" s="29"/>
      <c r="C9" s="29"/>
      <c r="D9" s="29"/>
      <c r="E9" s="29"/>
      <c r="F9" s="29"/>
      <c r="G9" s="29"/>
      <c r="H9" s="29"/>
      <c r="I9" s="29"/>
      <c r="J9" s="29"/>
    </row>
    <row r="10" spans="1:10">
      <c r="A10" s="8" t="s">
        <v>30</v>
      </c>
      <c r="B10" s="29">
        <f>'Balance sheet'!B11-'Balance sheet'!C11</f>
        <v>-163.59999999999991</v>
      </c>
      <c r="C10" s="29">
        <f>'Balance sheet'!C11-'Balance sheet'!D11</f>
        <v>-4.9000000000000909</v>
      </c>
      <c r="D10" s="29">
        <f>'Balance sheet'!D11-'Balance sheet'!E11</f>
        <v>-181.19999999999982</v>
      </c>
      <c r="E10" s="29">
        <f>'Balance sheet'!E11-'Balance sheet'!F11</f>
        <v>-277.80000000000018</v>
      </c>
      <c r="F10" s="29">
        <f>'Balance sheet'!F11-'Balance sheet'!G11</f>
        <v>-280.07703381192277</v>
      </c>
      <c r="G10" s="29">
        <f>'Balance sheet'!G11-'Balance sheet'!H11</f>
        <v>-269.95095909099064</v>
      </c>
      <c r="H10" s="29">
        <f>'Balance sheet'!H11-'Balance sheet'!I11</f>
        <v>-261.39934760617234</v>
      </c>
      <c r="I10" s="29">
        <f>'Balance sheet'!I11-'Balance sheet'!J11</f>
        <v>-256.28841298357747</v>
      </c>
      <c r="J10" s="29">
        <f>'Balance sheet'!J11-'Balance sheet'!K11</f>
        <v>-254.05457372521869</v>
      </c>
    </row>
    <row r="11" spans="1:10">
      <c r="A11" s="8" t="s">
        <v>6</v>
      </c>
      <c r="B11" s="29">
        <f>'Balance sheet'!B12-'Balance sheet'!C12</f>
        <v>-2057</v>
      </c>
      <c r="C11" s="29">
        <f>'Balance sheet'!C12-'Balance sheet'!D12</f>
        <v>51.199999999999818</v>
      </c>
      <c r="D11" s="29">
        <f>'Balance sheet'!D12-'Balance sheet'!E12</f>
        <v>-135.5</v>
      </c>
      <c r="E11" s="29">
        <f>'Balance sheet'!E12-'Balance sheet'!F12</f>
        <v>240.89999999999964</v>
      </c>
      <c r="F11" s="29">
        <f>'Balance sheet'!F12-'Balance sheet'!G12</f>
        <v>0</v>
      </c>
      <c r="G11" s="29">
        <f>'Balance sheet'!G12-'Balance sheet'!H12</f>
        <v>0</v>
      </c>
      <c r="H11" s="29">
        <f>'Balance sheet'!H12-'Balance sheet'!I12</f>
        <v>0</v>
      </c>
      <c r="I11" s="29">
        <f>'Balance sheet'!I12-'Balance sheet'!J12</f>
        <v>0</v>
      </c>
      <c r="J11" s="29">
        <f>'Balance sheet'!J12-'Balance sheet'!K12</f>
        <v>0</v>
      </c>
    </row>
    <row r="12" spans="1:10">
      <c r="A12" s="8" t="s">
        <v>7</v>
      </c>
      <c r="B12" s="29">
        <f>'Balance sheet'!B13-'Balance sheet'!C13</f>
        <v>-1247.1000000000004</v>
      </c>
      <c r="C12" s="29">
        <f>'Balance sheet'!C13-'Balance sheet'!D13</f>
        <v>543.40000000000055</v>
      </c>
      <c r="D12" s="29">
        <f>'Balance sheet'!D13-'Balance sheet'!E13</f>
        <v>187.19999999999982</v>
      </c>
      <c r="E12" s="29">
        <f>'Balance sheet'!E13-'Balance sheet'!F13</f>
        <v>184.69999999999982</v>
      </c>
      <c r="F12" s="29">
        <f>'Balance sheet'!F13-'Balance sheet'!G13</f>
        <v>293</v>
      </c>
      <c r="G12" s="29">
        <f>'Balance sheet'!G13-'Balance sheet'!H13</f>
        <v>287</v>
      </c>
      <c r="H12" s="29">
        <f>'Balance sheet'!H13-'Balance sheet'!I13</f>
        <v>165</v>
      </c>
      <c r="I12" s="29">
        <f>'Balance sheet'!I13-'Balance sheet'!J13</f>
        <v>157</v>
      </c>
      <c r="J12" s="29">
        <f>'Balance sheet'!J13-'Balance sheet'!K13</f>
        <v>149</v>
      </c>
    </row>
    <row r="13" spans="1:10">
      <c r="A13" s="8" t="s">
        <v>8</v>
      </c>
      <c r="B13" s="29">
        <f>'Balance sheet'!B14-'Balance sheet'!C14</f>
        <v>27</v>
      </c>
      <c r="C13" s="29">
        <f>'Balance sheet'!C14-'Balance sheet'!D14</f>
        <v>-51.399999999999977</v>
      </c>
      <c r="D13" s="29">
        <f>'Balance sheet'!D14-'Balance sheet'!E14</f>
        <v>-105.30000000000001</v>
      </c>
      <c r="E13" s="29">
        <f>'Balance sheet'!E14-'Balance sheet'!F14</f>
        <v>-169.70000000000005</v>
      </c>
      <c r="F13" s="29">
        <f>'Balance sheet'!F14-'Balance sheet'!G14</f>
        <v>-210.55020549999995</v>
      </c>
      <c r="G13" s="29">
        <f>'Balance sheet'!G14-'Balance sheet'!H14</f>
        <v>-194.70401668249997</v>
      </c>
      <c r="H13" s="29">
        <f>'Balance sheet'!H14-'Balance sheet'!I14</f>
        <v>-180.80034226372504</v>
      </c>
      <c r="I13" s="29">
        <f>'Balance sheet'!I14-'Balance sheet'!J14</f>
        <v>-169.42388319881343</v>
      </c>
      <c r="J13" s="29">
        <f>'Balance sheet'!J14-'Balance sheet'!K14</f>
        <v>-160.24709253951028</v>
      </c>
    </row>
    <row r="14" spans="1:10">
      <c r="A14" s="8" t="s">
        <v>9</v>
      </c>
      <c r="B14" s="29">
        <f>'Balance sheet'!B15-'Balance sheet'!C15</f>
        <v>-70</v>
      </c>
      <c r="C14" s="29">
        <f>'Balance sheet'!C15-'Balance sheet'!D15</f>
        <v>10.899999999999977</v>
      </c>
      <c r="D14" s="29">
        <f>'Balance sheet'!D15-'Balance sheet'!E15</f>
        <v>2.3999999999999773</v>
      </c>
      <c r="E14" s="29">
        <f>'Balance sheet'!E15-'Balance sheet'!F15</f>
        <v>-137.69999999999993</v>
      </c>
      <c r="F14" s="29">
        <f>'Balance sheet'!F15-'Balance sheet'!G15+15</f>
        <v>34.112732240331752</v>
      </c>
      <c r="G14" s="29">
        <f>'Balance sheet'!G15-'Balance sheet'!H15</f>
        <v>-25.676405330459033</v>
      </c>
      <c r="H14" s="29">
        <f>'Balance sheet'!H15-'Balance sheet'!I15</f>
        <v>-15.812366444808504</v>
      </c>
      <c r="I14" s="29">
        <f>'Balance sheet'!I15-'Balance sheet'!J15</f>
        <v>-32.719797094291835</v>
      </c>
      <c r="J14" s="29">
        <f>'Balance sheet'!J15-'Balance sheet'!K15</f>
        <v>-46.571499376038446</v>
      </c>
    </row>
    <row r="15" spans="1:10">
      <c r="A15" s="9" t="s">
        <v>10</v>
      </c>
    </row>
    <row r="16" spans="1:10">
      <c r="A16" s="9" t="s">
        <v>11</v>
      </c>
    </row>
    <row r="17" spans="1:10">
      <c r="A17" s="9" t="s">
        <v>31</v>
      </c>
    </row>
    <row r="18" spans="1:10">
      <c r="A18" s="8" t="s">
        <v>12</v>
      </c>
      <c r="B18" s="31">
        <f>'Balance sheet'!C20-'Balance sheet'!B20</f>
        <v>393.7</v>
      </c>
      <c r="C18" s="31">
        <f>'Balance sheet'!D20-'Balance sheet'!C20</f>
        <v>94.100000000000023</v>
      </c>
      <c r="D18" s="31">
        <f>'Balance sheet'!E20-'Balance sheet'!D20</f>
        <v>125.29999999999995</v>
      </c>
      <c r="E18" s="31">
        <f>'Balance sheet'!F20-'Balance sheet'!E20</f>
        <v>-14.699999999999932</v>
      </c>
      <c r="F18" s="31">
        <f>'Balance sheet'!G20-'Balance sheet'!F20</f>
        <v>-43.300000000000068</v>
      </c>
      <c r="G18" s="31">
        <f>'Balance sheet'!H20-'Balance sheet'!G20</f>
        <v>8</v>
      </c>
      <c r="H18" s="31">
        <f>'Balance sheet'!I20-'Balance sheet'!H20</f>
        <v>20</v>
      </c>
      <c r="I18" s="31">
        <f>'Balance sheet'!J20-'Balance sheet'!I20</f>
        <v>28</v>
      </c>
      <c r="J18" s="31">
        <f>'Balance sheet'!K20-'Balance sheet'!J20</f>
        <v>40</v>
      </c>
    </row>
    <row r="19" spans="1:10">
      <c r="A19" s="8" t="s">
        <v>13</v>
      </c>
      <c r="B19" s="31">
        <f>'Balance sheet'!C21-'Balance sheet'!B21</f>
        <v>223.60000000000014</v>
      </c>
      <c r="C19" s="31">
        <f>'Balance sheet'!D21-'Balance sheet'!C21</f>
        <v>344</v>
      </c>
      <c r="D19" s="31">
        <f>'Balance sheet'!E21-'Balance sheet'!D21</f>
        <v>-161.90000000000009</v>
      </c>
      <c r="E19" s="31">
        <f>'Balance sheet'!F21-'Balance sheet'!E21</f>
        <v>243.70000000000005</v>
      </c>
      <c r="F19" s="31">
        <f>'Balance sheet'!G21-'Balance sheet'!F21</f>
        <v>-172.49315370266822</v>
      </c>
      <c r="G19" s="31">
        <f>'Balance sheet'!H21-'Balance sheet'!G21</f>
        <v>67.925395198609294</v>
      </c>
      <c r="H19" s="31">
        <f>'Balance sheet'!I21-'Balance sheet'!H21</f>
        <v>72.898812696420919</v>
      </c>
      <c r="I19" s="31">
        <f>'Balance sheet'!J21-'Balance sheet'!I21</f>
        <v>71.999889116586928</v>
      </c>
      <c r="J19" s="31">
        <f>'Balance sheet'!K21-'Balance sheet'!J21</f>
        <v>75.094377117685326</v>
      </c>
    </row>
    <row r="20" spans="1:10">
      <c r="A20" s="8" t="s">
        <v>14</v>
      </c>
      <c r="B20" s="31">
        <f>'Balance sheet'!C22-'Balance sheet'!B22</f>
        <v>40.199999999999989</v>
      </c>
      <c r="C20" s="31">
        <f>'Balance sheet'!D22-'Balance sheet'!C22</f>
        <v>-15.899999999999977</v>
      </c>
      <c r="D20" s="31">
        <f>'Balance sheet'!E22-'Balance sheet'!D22</f>
        <v>161.89999999999998</v>
      </c>
      <c r="E20" s="31">
        <f>'Balance sheet'!F22-'Balance sheet'!E22</f>
        <v>71.899999999999977</v>
      </c>
      <c r="F20" s="31">
        <f>'Balance sheet'!G22-'Balance sheet'!F22</f>
        <v>-22.021414399999912</v>
      </c>
      <c r="G20" s="31">
        <f>'Balance sheet'!H22-'Balance sheet'!G22</f>
        <v>6.3634624007499951</v>
      </c>
      <c r="H20" s="31">
        <f>'Balance sheet'!I22-'Balance sheet'!H22</f>
        <v>28.278998137198869</v>
      </c>
      <c r="I20" s="31">
        <f>'Balance sheet'!J22-'Balance sheet'!I22</f>
        <v>4.6971188712407184</v>
      </c>
      <c r="J20" s="31">
        <f>'Balance sheet'!K22-'Balance sheet'!J22</f>
        <v>29.82557821858336</v>
      </c>
    </row>
    <row r="21" spans="1:10">
      <c r="A21" s="8" t="s">
        <v>32</v>
      </c>
      <c r="B21" s="31">
        <f>'Balance sheet'!C23-'Balance sheet'!B23</f>
        <v>8.2000000000000028</v>
      </c>
      <c r="C21" s="31">
        <f>'Balance sheet'!D23-'Balance sheet'!C23</f>
        <v>93.3</v>
      </c>
      <c r="D21" s="31">
        <f>'Balance sheet'!E23-'Balance sheet'!D23</f>
        <v>-38.900000000000006</v>
      </c>
      <c r="E21" s="31">
        <f>'Balance sheet'!F23-'Balance sheet'!E23</f>
        <v>-31.699999999999989</v>
      </c>
      <c r="F21" s="31">
        <f>'Balance sheet'!G23-'Balance sheet'!F23</f>
        <v>68.817591619532607</v>
      </c>
      <c r="G21" s="31">
        <f>'Balance sheet'!H23-'Balance sheet'!G23</f>
        <v>-1.5826653747927253</v>
      </c>
      <c r="H21" s="31">
        <f>'Balance sheet'!I23-'Balance sheet'!H23</f>
        <v>8.8003646793487178</v>
      </c>
      <c r="I21" s="31">
        <f>'Balance sheet'!J23-'Balance sheet'!I23</f>
        <v>8.8104618389548648</v>
      </c>
      <c r="J21" s="31">
        <f>'Balance sheet'!K23-'Balance sheet'!J23</f>
        <v>9.4336042260097202</v>
      </c>
    </row>
    <row r="22" spans="1:10">
      <c r="A22" s="8" t="s">
        <v>15</v>
      </c>
      <c r="B22" s="31">
        <f>'Balance sheet'!C24-'Balance sheet'!B24</f>
        <v>-44.700000000000045</v>
      </c>
      <c r="C22" s="31">
        <f>'Balance sheet'!D24-'Balance sheet'!C24</f>
        <v>141.70000000000005</v>
      </c>
      <c r="D22" s="31">
        <f>'Balance sheet'!E24-'Balance sheet'!D24</f>
        <v>49</v>
      </c>
      <c r="E22" s="31">
        <f>'Balance sheet'!F24-'Balance sheet'!E24</f>
        <v>177.79999999999995</v>
      </c>
      <c r="F22" s="31">
        <f>'Balance sheet'!G24-'Balance sheet'!F24</f>
        <v>12.874110019856062</v>
      </c>
      <c r="G22" s="31">
        <f>'Balance sheet'!H24-'Balance sheet'!G24</f>
        <v>41.468190849031771</v>
      </c>
      <c r="H22" s="31">
        <f>'Balance sheet'!I24-'Balance sheet'!H24</f>
        <v>64.307948480289724</v>
      </c>
      <c r="I22" s="31">
        <f>'Balance sheet'!J24-'Balance sheet'!I24</f>
        <v>67.10420450716606</v>
      </c>
      <c r="J22" s="31">
        <f>'Balance sheet'!K24-'Balance sheet'!J24</f>
        <v>70.026926035344559</v>
      </c>
    </row>
    <row r="23" spans="1:10">
      <c r="A23" s="9" t="s">
        <v>16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0">
      <c r="A24" s="8" t="s">
        <v>17</v>
      </c>
      <c r="B24" s="31">
        <f>'Balance sheet'!C26-'Balance sheet'!B26</f>
        <v>1677.9000000000005</v>
      </c>
      <c r="C24" s="31">
        <f>'Balance sheet'!D26-'Balance sheet'!C26</f>
        <v>-271.90000000000055</v>
      </c>
      <c r="D24" s="31">
        <f>'Balance sheet'!E26-'Balance sheet'!D26</f>
        <v>-523.90000000000055</v>
      </c>
      <c r="E24" s="31">
        <f>'Balance sheet'!F26-'Balance sheet'!E26</f>
        <v>-602.19999999999982</v>
      </c>
      <c r="F24" s="31">
        <f>'Balance sheet'!G26-'Balance sheet'!F26</f>
        <v>205.80000000000018</v>
      </c>
      <c r="G24" s="31">
        <f>'Balance sheet'!H26-'Balance sheet'!G26</f>
        <v>100</v>
      </c>
      <c r="H24" s="31">
        <f>'Balance sheet'!I26-'Balance sheet'!H26</f>
        <v>250</v>
      </c>
      <c r="I24" s="31">
        <f>'Balance sheet'!J26-'Balance sheet'!I26</f>
        <v>350</v>
      </c>
      <c r="J24" s="31">
        <f>'Balance sheet'!K26-'Balance sheet'!J26</f>
        <v>500</v>
      </c>
    </row>
    <row r="25" spans="1:10">
      <c r="A25" s="8" t="s">
        <v>33</v>
      </c>
      <c r="B25" s="31">
        <f>'Balance sheet'!C27-'Balance sheet'!B27</f>
        <v>-332</v>
      </c>
      <c r="C25" s="31">
        <f>'Balance sheet'!D27-'Balance sheet'!C27</f>
        <v>-223.90000000000009</v>
      </c>
      <c r="D25" s="31">
        <f>'Balance sheet'!E27-'Balance sheet'!D27</f>
        <v>-18.599999999999909</v>
      </c>
      <c r="E25" s="31">
        <f>'Balance sheet'!F27-'Balance sheet'!E27</f>
        <v>-16.800000000000068</v>
      </c>
      <c r="F25" s="31">
        <f>'Balance sheet'!G27-'Balance sheet'!F27</f>
        <v>0</v>
      </c>
      <c r="G25" s="31">
        <f>'Balance sheet'!H27-'Balance sheet'!G27</f>
        <v>0</v>
      </c>
      <c r="H25" s="31">
        <f>'Balance sheet'!I27-'Balance sheet'!H27</f>
        <v>0</v>
      </c>
      <c r="I25" s="31">
        <f>'Balance sheet'!J27-'Balance sheet'!I27</f>
        <v>0</v>
      </c>
      <c r="J25" s="31">
        <f>'Balance sheet'!K27-'Balance sheet'!J27</f>
        <v>0</v>
      </c>
    </row>
    <row r="26" spans="1:10">
      <c r="A26" s="8" t="s">
        <v>18</v>
      </c>
      <c r="B26" s="31">
        <f>'Balance sheet'!C28-'Balance sheet'!B28</f>
        <v>138.10000000000002</v>
      </c>
      <c r="C26" s="31">
        <f>'Balance sheet'!D28-'Balance sheet'!C28</f>
        <v>-116.39999999999998</v>
      </c>
      <c r="D26" s="31">
        <f>'Balance sheet'!E28-'Balance sheet'!D28</f>
        <v>-87.400000000000034</v>
      </c>
      <c r="E26" s="31">
        <f>'Balance sheet'!F28-'Balance sheet'!E28</f>
        <v>-138.19999999999999</v>
      </c>
      <c r="F26" s="31">
        <f>'Balance sheet'!G28-'Balance sheet'!F28</f>
        <v>569.81131149880105</v>
      </c>
      <c r="G26" s="31">
        <f>'Balance sheet'!H28-'Balance sheet'!G28</f>
        <v>-95.226023513032146</v>
      </c>
      <c r="H26" s="31">
        <f>'Balance sheet'!I28-'Balance sheet'!H28</f>
        <v>-33.701941645958186</v>
      </c>
      <c r="I26" s="31">
        <f>'Balance sheet'!J28-'Balance sheet'!I28</f>
        <v>-38.797935278115574</v>
      </c>
      <c r="J26" s="31">
        <f>'Balance sheet'!K28-'Balance sheet'!J28</f>
        <v>49.621163119530252</v>
      </c>
    </row>
    <row r="27" spans="1:10">
      <c r="A27" s="8" t="s">
        <v>19</v>
      </c>
      <c r="B27" s="31">
        <f>'Balance sheet'!C29-'Balance sheet'!B29</f>
        <v>-17.899999999999977</v>
      </c>
      <c r="C27" s="31">
        <f>'Balance sheet'!D29-'Balance sheet'!C29</f>
        <v>55.199999999999989</v>
      </c>
      <c r="D27" s="31">
        <f>'Balance sheet'!E29-'Balance sheet'!D29</f>
        <v>87.699999999999989</v>
      </c>
      <c r="E27" s="31">
        <f>'Balance sheet'!F29-'Balance sheet'!E29</f>
        <v>150</v>
      </c>
      <c r="F27" s="31">
        <f>'Balance sheet'!G29-'Balance sheet'!F29</f>
        <v>135.67616440000006</v>
      </c>
      <c r="G27" s="31">
        <f>'Balance sheet'!H29-'Balance sheet'!G29</f>
        <v>141.94323636199999</v>
      </c>
      <c r="H27" s="31">
        <f>'Balance sheet'!I29-'Balance sheet'!H29</f>
        <v>128.62714669542004</v>
      </c>
      <c r="I27" s="31">
        <f>'Balance sheet'!J29-'Balance sheet'!I29</f>
        <v>134.97561777702799</v>
      </c>
      <c r="J27" s="31">
        <f>'Balance sheet'!K29-'Balance sheet'!J29</f>
        <v>141.8096601678526</v>
      </c>
    </row>
    <row r="28" spans="1:10">
      <c r="A28" s="8" t="s">
        <v>20</v>
      </c>
      <c r="B28" s="31">
        <f>'Balance sheet'!C30-'Balance sheet'!B30</f>
        <v>-58.299999999999983</v>
      </c>
      <c r="C28" s="31">
        <f>'Balance sheet'!D30-'Balance sheet'!C30</f>
        <v>152.20000000000002</v>
      </c>
      <c r="D28" s="31">
        <f>'Balance sheet'!E30-'Balance sheet'!D30</f>
        <v>-24.5</v>
      </c>
      <c r="E28" s="31">
        <f>'Balance sheet'!F30-'Balance sheet'!E30</f>
        <v>-15.600000000000023</v>
      </c>
      <c r="F28" s="31">
        <f>'Balance sheet'!G30-'Balance sheet'!F30</f>
        <v>38.620451235582607</v>
      </c>
      <c r="G28" s="31">
        <f>'Balance sheet'!H30-'Balance sheet'!G30</f>
        <v>17.421924468741111</v>
      </c>
      <c r="H28" s="31">
        <f>'Balance sheet'!I30-'Balance sheet'!H30</f>
        <v>17.327892762009526</v>
      </c>
      <c r="I28" s="31">
        <f>'Balance sheet'!J30-'Balance sheet'!I30</f>
        <v>18.081348994308541</v>
      </c>
      <c r="J28" s="31">
        <f>'Balance sheet'!K30-'Balance sheet'!J30</f>
        <v>18.868881584140922</v>
      </c>
    </row>
    <row r="29" spans="1:10">
      <c r="A29" s="9" t="s">
        <v>21</v>
      </c>
      <c r="B29" s="31"/>
      <c r="C29" s="31"/>
      <c r="D29" s="31"/>
      <c r="E29" s="31"/>
      <c r="F29" s="31"/>
      <c r="G29" s="31"/>
      <c r="H29" s="31"/>
      <c r="I29" s="31"/>
      <c r="J29" s="31"/>
    </row>
    <row r="30" spans="1:10">
      <c r="A30" s="9" t="s">
        <v>34</v>
      </c>
      <c r="B30" s="31"/>
      <c r="C30" s="31"/>
      <c r="D30" s="31"/>
      <c r="E30" s="31"/>
      <c r="F30" s="31"/>
      <c r="G30" s="31"/>
      <c r="H30" s="31"/>
      <c r="I30" s="31"/>
      <c r="J30" s="31"/>
    </row>
    <row r="31" spans="1:10">
      <c r="A31" s="8" t="s">
        <v>22</v>
      </c>
      <c r="B31" s="31">
        <f>'Balance sheet'!C34-'Balance sheet'!B34</f>
        <v>1.5</v>
      </c>
      <c r="C31" s="31">
        <f>'Balance sheet'!D34-'Balance sheet'!C34</f>
        <v>0.59999999999996589</v>
      </c>
      <c r="D31" s="31">
        <f>'Balance sheet'!E34-'Balance sheet'!D34</f>
        <v>1</v>
      </c>
      <c r="E31" s="31">
        <f>'Balance sheet'!F34-'Balance sheet'!E34</f>
        <v>2.1000000000000227</v>
      </c>
      <c r="F31" s="31">
        <f>'Balance sheet'!G34-'Balance sheet'!F34</f>
        <v>2</v>
      </c>
      <c r="G31" s="31">
        <f>'Balance sheet'!H34-'Balance sheet'!G34</f>
        <v>1.5</v>
      </c>
      <c r="H31" s="31">
        <f>'Balance sheet'!I34-'Balance sheet'!H34</f>
        <v>1</v>
      </c>
      <c r="I31" s="31">
        <f>'Balance sheet'!J34-'Balance sheet'!I34</f>
        <v>1</v>
      </c>
      <c r="J31" s="31">
        <f>'Balance sheet'!K34-'Balance sheet'!J34</f>
        <v>1</v>
      </c>
    </row>
    <row r="32" spans="1:10">
      <c r="A32" s="8" t="s">
        <v>23</v>
      </c>
      <c r="B32" s="31">
        <f>'Balance sheet'!C35-'Balance sheet'!B35</f>
        <v>229.60000000000036</v>
      </c>
      <c r="C32" s="31">
        <f>'Balance sheet'!D35-'Balance sheet'!C35</f>
        <v>115.59999999999945</v>
      </c>
      <c r="D32" s="31">
        <f>'Balance sheet'!E35-'Balance sheet'!D35</f>
        <v>186.5</v>
      </c>
      <c r="E32" s="31">
        <f>'Balance sheet'!F35-'Balance sheet'!E35</f>
        <v>392.90000000000055</v>
      </c>
      <c r="F32" s="31">
        <f>'Balance sheet'!G35-'Balance sheet'!F35</f>
        <v>328.38968999999997</v>
      </c>
      <c r="G32" s="31">
        <f>'Balance sheet'!H35-'Balance sheet'!G35</f>
        <v>342.55688995000037</v>
      </c>
      <c r="H32" s="31">
        <f>'Balance sheet'!I35-'Balance sheet'!H35</f>
        <v>356.61466670450045</v>
      </c>
      <c r="I32" s="31">
        <f>'Balance sheet'!J35-'Balance sheet'!I35</f>
        <v>371.28370760135294</v>
      </c>
      <c r="J32" s="31">
        <f>'Balance sheet'!K35-'Balance sheet'!J35</f>
        <v>386.59165811559615</v>
      </c>
    </row>
    <row r="33" spans="1:10">
      <c r="A33" s="8" t="s">
        <v>24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28.8">
      <c r="A34" s="8" t="s">
        <v>35</v>
      </c>
      <c r="B34" s="31">
        <f>'Balance sheet'!C37-'Balance sheet'!B37</f>
        <v>359.60000000000014</v>
      </c>
      <c r="C34" s="31">
        <f>'Balance sheet'!D37-'Balance sheet'!C37</f>
        <v>-91.799999999999955</v>
      </c>
      <c r="D34" s="31">
        <f>'Balance sheet'!E37-'Balance sheet'!D37</f>
        <v>-123.80000000000018</v>
      </c>
      <c r="E34" s="31">
        <f>'Balance sheet'!F37-'Balance sheet'!E37</f>
        <v>-131.59999999999991</v>
      </c>
      <c r="F34" s="31">
        <f>'Balance sheet'!G37-'Balance sheet'!F37</f>
        <v>0</v>
      </c>
      <c r="G34" s="31">
        <f>'Balance sheet'!H37-'Balance sheet'!G37</f>
        <v>32</v>
      </c>
      <c r="H34" s="31">
        <f>'Balance sheet'!I37-'Balance sheet'!H37</f>
        <v>30</v>
      </c>
      <c r="I34" s="31">
        <f>'Balance sheet'!J37-'Balance sheet'!I37</f>
        <v>20</v>
      </c>
      <c r="J34" s="31">
        <f>'Balance sheet'!K37-'Balance sheet'!J37</f>
        <v>20</v>
      </c>
    </row>
    <row r="35" spans="1:10">
      <c r="A35" s="8" t="s">
        <v>25</v>
      </c>
      <c r="B35" s="31">
        <f>'Balance sheet'!C38-'Balance sheet'!B38</f>
        <v>-104.5</v>
      </c>
      <c r="C35" s="31">
        <f>'Balance sheet'!D38-'Balance sheet'!C38</f>
        <v>-516.80000000000018</v>
      </c>
      <c r="D35" s="31">
        <f>'Balance sheet'!E38-'Balance sheet'!D38</f>
        <v>-11.699999999999818</v>
      </c>
      <c r="E35" s="31">
        <f>'Balance sheet'!F38-'Balance sheet'!E38</f>
        <v>-992.50000000000091</v>
      </c>
      <c r="F35" s="31">
        <f>'Balance sheet'!G38-'Balance sheet'!F38</f>
        <v>-499.79999999999927</v>
      </c>
      <c r="G35" s="31">
        <f>'Balance sheet'!H38-'Balance sheet'!G38</f>
        <v>-500</v>
      </c>
      <c r="H35" s="31">
        <f>'Balance sheet'!I38-'Balance sheet'!H38</f>
        <v>-500</v>
      </c>
      <c r="I35" s="31">
        <f>'Balance sheet'!J38-'Balance sheet'!I38</f>
        <v>-500</v>
      </c>
      <c r="J35" s="31">
        <f>'Balance sheet'!K38-'Balance sheet'!J38</f>
        <v>-500</v>
      </c>
    </row>
    <row r="36" spans="1:10">
      <c r="A36" s="9" t="s">
        <v>26</v>
      </c>
    </row>
    <row r="37" spans="1:10">
      <c r="A37" s="8" t="s">
        <v>36</v>
      </c>
      <c r="B37">
        <f>'Balance sheet'!C40-'Balance sheet'!B40</f>
        <v>-6.1000000000000014</v>
      </c>
      <c r="C37">
        <f>'Balance sheet'!D40-'Balance sheet'!C40</f>
        <v>-6.3999999999999986</v>
      </c>
      <c r="D37">
        <f>'Balance sheet'!E40-'Balance sheet'!D40</f>
        <v>5</v>
      </c>
      <c r="E37">
        <f>'Balance sheet'!F40-'Balance sheet'!E40</f>
        <v>4.3999999999999986</v>
      </c>
      <c r="F37">
        <f>'Balance sheet'!G40-'Balance sheet'!F40</f>
        <v>0</v>
      </c>
      <c r="G37">
        <f>'Balance sheet'!H40-'Balance sheet'!G40</f>
        <v>0</v>
      </c>
      <c r="H37">
        <f>'Balance sheet'!I40-'Balance sheet'!H40</f>
        <v>0</v>
      </c>
      <c r="I37">
        <f>'Balance sheet'!J40-'Balance sheet'!I40</f>
        <v>0</v>
      </c>
      <c r="J37">
        <f>'Balance sheet'!K40-'Balance sheet'!J40</f>
        <v>0</v>
      </c>
    </row>
    <row r="38" spans="1:10">
      <c r="A38" s="9" t="s">
        <v>27</v>
      </c>
    </row>
    <row r="39" spans="1:10">
      <c r="A39" s="9" t="s">
        <v>28</v>
      </c>
    </row>
    <row r="40" spans="1:10">
      <c r="A40" s="9" t="s">
        <v>195</v>
      </c>
      <c r="B40" s="31">
        <f>Schedules!B7</f>
        <v>549</v>
      </c>
      <c r="C40" s="31">
        <f>Schedules!C7</f>
        <v>559</v>
      </c>
      <c r="D40" s="31">
        <f>Schedules!D7</f>
        <v>576</v>
      </c>
      <c r="E40" s="31">
        <f>Schedules!E7</f>
        <v>616</v>
      </c>
      <c r="F40" s="31">
        <f>Schedules!G7</f>
        <v>690.1</v>
      </c>
      <c r="G40" s="31">
        <f>Schedules!H7</f>
        <v>703.90200000000004</v>
      </c>
      <c r="H40" s="31">
        <f>Schedules!I7</f>
        <v>725.01906000000008</v>
      </c>
      <c r="I40" s="31">
        <f>Schedules!J7</f>
        <v>739.51944120000007</v>
      </c>
      <c r="J40" s="31">
        <f>Schedules!K7</f>
        <v>761.70502443600014</v>
      </c>
    </row>
    <row r="41" spans="1:10">
      <c r="A41" s="9" t="s">
        <v>449</v>
      </c>
    </row>
    <row r="42" spans="1:10">
      <c r="A42" s="9" t="s">
        <v>196</v>
      </c>
      <c r="B42" s="358">
        <f t="shared" ref="B42:J42" si="0">B2+B6+B7+B8+B10+B11+B12+B13+B14+B18+B19+B20+B21+B22+B24+B25+B26+B27+B28+B31+B32+B34+B35+B37-B40</f>
        <v>-890.89999999999907</v>
      </c>
      <c r="C42" s="358">
        <f t="shared" si="0"/>
        <v>267.0999999999998</v>
      </c>
      <c r="D42" s="358">
        <f t="shared" si="0"/>
        <v>360.60000000000014</v>
      </c>
      <c r="E42" s="358">
        <f t="shared" si="0"/>
        <v>391.99999999999579</v>
      </c>
      <c r="F42" s="358">
        <f>F2+F6+F7+F8+F10+F11+F12+F13+F14+F18+F19+F20+F21+F22+F24+F25+F26+F27+F28+F31+F32+F34+F35+F37-F40</f>
        <v>1516.3239073147211</v>
      </c>
      <c r="G42" s="358">
        <f t="shared" si="0"/>
        <v>1133.4450889310851</v>
      </c>
      <c r="H42" s="358">
        <f t="shared" si="0"/>
        <v>1354.8244537686678</v>
      </c>
      <c r="I42" s="358">
        <f t="shared" si="0"/>
        <v>1509.4723586951104</v>
      </c>
      <c r="J42" s="358">
        <f t="shared" si="0"/>
        <v>1872.7438683124833</v>
      </c>
    </row>
    <row r="44" spans="1:10">
      <c r="A44" s="9" t="s">
        <v>197</v>
      </c>
      <c r="F44" s="29">
        <f>'Balance sheet'!F6</f>
        <v>1256.8</v>
      </c>
      <c r="G44" s="29">
        <f>F46</f>
        <v>2773.1239073147208</v>
      </c>
      <c r="H44" s="29">
        <f t="shared" ref="H44:J44" si="1">G46</f>
        <v>3906.5689962458059</v>
      </c>
      <c r="I44" s="29">
        <f t="shared" si="1"/>
        <v>5261.3934500144733</v>
      </c>
      <c r="J44" s="29">
        <f t="shared" si="1"/>
        <v>6770.8658087095837</v>
      </c>
    </row>
    <row r="46" spans="1:10">
      <c r="A46" t="s">
        <v>399</v>
      </c>
      <c r="F46" s="29">
        <f>F44+F42</f>
        <v>2773.1239073147208</v>
      </c>
      <c r="G46" s="29">
        <f t="shared" ref="G46:J46" si="2">G44+G42</f>
        <v>3906.5689962458059</v>
      </c>
      <c r="H46" s="29">
        <f t="shared" si="2"/>
        <v>5261.3934500144733</v>
      </c>
      <c r="I46" s="29">
        <f t="shared" si="2"/>
        <v>6770.8658087095837</v>
      </c>
      <c r="J46" s="29">
        <f t="shared" si="2"/>
        <v>8643.6096770220665</v>
      </c>
    </row>
    <row r="49" spans="1:10">
      <c r="A49" s="11" t="s">
        <v>398</v>
      </c>
      <c r="B49" s="11"/>
      <c r="C49" s="11"/>
      <c r="D49" s="11"/>
      <c r="E49" s="11"/>
      <c r="F49" s="358">
        <f>F42+F40-F35</f>
        <v>2706.2239073147202</v>
      </c>
      <c r="G49" s="358">
        <f t="shared" ref="G49:J49" si="3">G42+G40-G35</f>
        <v>2337.3470889310852</v>
      </c>
      <c r="H49" s="358">
        <f t="shared" si="3"/>
        <v>2579.8435137686679</v>
      </c>
      <c r="I49" s="358">
        <f t="shared" si="3"/>
        <v>2748.9917998951105</v>
      </c>
      <c r="J49" s="358">
        <f t="shared" si="3"/>
        <v>3134.4488927484836</v>
      </c>
    </row>
    <row r="51" spans="1:10">
      <c r="F51" s="31"/>
      <c r="G51" s="31"/>
      <c r="H51" s="31"/>
      <c r="I51" s="31"/>
      <c r="J51" s="3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3101-F415-41B8-B73C-E5C1484FE426}">
  <dimension ref="A2:N104"/>
  <sheetViews>
    <sheetView topLeftCell="A42" zoomScale="45" zoomScaleNormal="80" workbookViewId="0">
      <selection activeCell="G90" sqref="G90"/>
    </sheetView>
  </sheetViews>
  <sheetFormatPr defaultRowHeight="14.4"/>
  <cols>
    <col min="1" max="1" width="39.44140625" customWidth="1"/>
    <col min="2" max="2" width="11.5546875" bestFit="1" customWidth="1"/>
    <col min="6" max="6" width="9.21875" customWidth="1"/>
  </cols>
  <sheetData>
    <row r="2" spans="1:12">
      <c r="A2" s="11" t="s">
        <v>397</v>
      </c>
    </row>
    <row r="3" spans="1:12">
      <c r="A3" s="359"/>
      <c r="B3" s="356">
        <v>2020</v>
      </c>
      <c r="C3" s="356">
        <v>2021</v>
      </c>
      <c r="D3" s="356">
        <v>2022</v>
      </c>
      <c r="E3" s="356">
        <v>2023</v>
      </c>
      <c r="F3" s="404">
        <v>2024</v>
      </c>
      <c r="G3" s="356">
        <v>2025</v>
      </c>
      <c r="H3" s="356">
        <v>2026</v>
      </c>
      <c r="I3" s="356">
        <v>2027</v>
      </c>
      <c r="J3" s="356">
        <v>2028</v>
      </c>
      <c r="K3" s="356">
        <v>2029</v>
      </c>
      <c r="L3" s="3"/>
    </row>
    <row r="4" spans="1:12">
      <c r="A4" s="9" t="s">
        <v>0</v>
      </c>
      <c r="B4" s="2"/>
      <c r="C4" s="2"/>
      <c r="D4" s="2"/>
      <c r="E4" s="2"/>
      <c r="F4" s="340"/>
    </row>
    <row r="5" spans="1:12">
      <c r="A5" s="9" t="s">
        <v>29</v>
      </c>
      <c r="B5" s="2"/>
      <c r="C5" s="2"/>
      <c r="D5" s="2"/>
      <c r="E5" s="2"/>
      <c r="F5" s="340"/>
    </row>
    <row r="6" spans="1:12">
      <c r="A6" s="8" t="s">
        <v>1</v>
      </c>
      <c r="B6" s="28">
        <v>1260.2</v>
      </c>
      <c r="C6" s="28">
        <v>359.9</v>
      </c>
      <c r="D6" s="28">
        <v>598.6</v>
      </c>
      <c r="E6" s="28">
        <v>919.5</v>
      </c>
      <c r="F6" s="440">
        <v>1256.8</v>
      </c>
      <c r="G6" s="29">
        <f>'Cash flow'!F46</f>
        <v>2773.1239073147208</v>
      </c>
      <c r="H6" s="29">
        <f>'Cash flow'!G46</f>
        <v>3906.5689962458059</v>
      </c>
      <c r="I6" s="29">
        <f>'Cash flow'!H46</f>
        <v>5261.3934500144733</v>
      </c>
      <c r="J6" s="29">
        <f>'Cash flow'!I46</f>
        <v>6770.8658087095837</v>
      </c>
      <c r="K6" s="29">
        <f>'Cash flow'!J46</f>
        <v>8643.6096770220665</v>
      </c>
    </row>
    <row r="7" spans="1:12">
      <c r="A7" s="8" t="s">
        <v>2</v>
      </c>
      <c r="B7" s="28">
        <v>2273.8000000000002</v>
      </c>
      <c r="C7" s="28">
        <v>2478.4</v>
      </c>
      <c r="D7" s="28">
        <v>2698.1</v>
      </c>
      <c r="E7" s="28">
        <v>2834.2</v>
      </c>
      <c r="F7" s="440">
        <v>2865</v>
      </c>
      <c r="G7" s="29">
        <f>G53</f>
        <v>2969.002676712329</v>
      </c>
      <c r="H7" s="29">
        <f t="shared" ref="H7:K7" si="0">H53</f>
        <v>3050.1640885958909</v>
      </c>
      <c r="I7" s="29">
        <f t="shared" si="0"/>
        <v>3175.3360733962336</v>
      </c>
      <c r="J7" s="29">
        <f t="shared" si="0"/>
        <v>3305.9508211079342</v>
      </c>
      <c r="K7" s="29">
        <f t="shared" si="0"/>
        <v>3442.254490070371</v>
      </c>
    </row>
    <row r="8" spans="1:12">
      <c r="A8" s="8" t="s">
        <v>3</v>
      </c>
      <c r="B8" s="28">
        <v>1285.2</v>
      </c>
      <c r="C8" s="28">
        <v>1491.8</v>
      </c>
      <c r="D8" s="28">
        <v>1792.8</v>
      </c>
      <c r="E8" s="28">
        <v>1497.2</v>
      </c>
      <c r="F8" s="440">
        <v>1464.9</v>
      </c>
      <c r="G8" s="29">
        <f>G55</f>
        <v>1544.8113854669753</v>
      </c>
      <c r="H8" s="29">
        <f t="shared" ref="H8:K8" si="1">H55</f>
        <v>1610.8444491679838</v>
      </c>
      <c r="I8" s="29">
        <f t="shared" si="1"/>
        <v>1676.063251623659</v>
      </c>
      <c r="J8" s="29">
        <f t="shared" si="1"/>
        <v>1744.0850973078911</v>
      </c>
      <c r="K8" s="29">
        <f t="shared" si="1"/>
        <v>1815.0355045420647</v>
      </c>
    </row>
    <row r="9" spans="1:12">
      <c r="A9" s="8" t="s">
        <v>4</v>
      </c>
      <c r="B9" s="28">
        <v>298.2</v>
      </c>
      <c r="C9" s="28">
        <v>357</v>
      </c>
      <c r="D9" s="28">
        <v>404.7</v>
      </c>
      <c r="E9" s="28">
        <v>393.2</v>
      </c>
      <c r="F9" s="440">
        <v>439</v>
      </c>
      <c r="G9" s="29">
        <f>G57*'Income statement'!G11</f>
        <v>440.86161600000008</v>
      </c>
      <c r="H9" s="29">
        <f>H57*'Income statement'!H11</f>
        <v>459.18841806500006</v>
      </c>
      <c r="I9" s="29">
        <f>I57*'Income statement'!I11</f>
        <v>477.43293299222518</v>
      </c>
      <c r="J9" s="29">
        <f>J57*'Income statement'!J11</f>
        <v>496.47877667279312</v>
      </c>
      <c r="K9" s="29">
        <f>K57*'Income statement'!K11</f>
        <v>516.36249548518197</v>
      </c>
    </row>
    <row r="10" spans="1:12">
      <c r="A10" s="9" t="s">
        <v>5</v>
      </c>
      <c r="B10" s="34">
        <f>SUM(B6:B9)</f>
        <v>5117.3999999999996</v>
      </c>
      <c r="C10" s="34">
        <f t="shared" ref="C10:K10" si="2">SUM(C6:C9)</f>
        <v>4687.1000000000004</v>
      </c>
      <c r="D10" s="34">
        <f t="shared" si="2"/>
        <v>5494.2</v>
      </c>
      <c r="E10" s="34">
        <f t="shared" si="2"/>
        <v>5644.0999999999995</v>
      </c>
      <c r="F10" s="441">
        <f t="shared" si="2"/>
        <v>6025.7000000000007</v>
      </c>
      <c r="G10" s="34">
        <f t="shared" si="2"/>
        <v>7727.7995854940255</v>
      </c>
      <c r="H10" s="34">
        <f t="shared" si="2"/>
        <v>9026.7659520746802</v>
      </c>
      <c r="I10" s="34">
        <f t="shared" si="2"/>
        <v>10590.225708026592</v>
      </c>
      <c r="J10" s="34">
        <f t="shared" si="2"/>
        <v>12317.380503798202</v>
      </c>
      <c r="K10" s="34">
        <f t="shared" si="2"/>
        <v>14417.262167119685</v>
      </c>
    </row>
    <row r="11" spans="1:12">
      <c r="A11" s="8" t="s">
        <v>30</v>
      </c>
      <c r="B11" s="28">
        <v>3124.9</v>
      </c>
      <c r="C11" s="28">
        <v>3288.5</v>
      </c>
      <c r="D11" s="28">
        <v>3293.4</v>
      </c>
      <c r="E11" s="28">
        <v>3474.6</v>
      </c>
      <c r="F11" s="440">
        <v>3752.4</v>
      </c>
      <c r="G11" s="29">
        <f>G100</f>
        <v>4032.4770338119229</v>
      </c>
      <c r="H11" s="29">
        <f t="shared" ref="H11:K11" si="3">H100</f>
        <v>4302.4279929029135</v>
      </c>
      <c r="I11" s="29">
        <f t="shared" si="3"/>
        <v>4563.8273405090858</v>
      </c>
      <c r="J11" s="29">
        <f t="shared" si="3"/>
        <v>4820.1157534926633</v>
      </c>
      <c r="K11" s="29">
        <f t="shared" si="3"/>
        <v>5074.170327217882</v>
      </c>
    </row>
    <row r="12" spans="1:12">
      <c r="A12" s="8" t="s">
        <v>6</v>
      </c>
      <c r="B12" s="28">
        <v>6006.9</v>
      </c>
      <c r="C12" s="28">
        <v>8063.9</v>
      </c>
      <c r="D12" s="28">
        <v>8012.7</v>
      </c>
      <c r="E12" s="28">
        <v>8148.2</v>
      </c>
      <c r="F12" s="440">
        <v>7907.3</v>
      </c>
      <c r="G12" s="29">
        <f>G60</f>
        <v>7907.3</v>
      </c>
      <c r="H12" s="29">
        <f t="shared" ref="H12:K12" si="4">H60</f>
        <v>7907.3</v>
      </c>
      <c r="I12" s="29">
        <f t="shared" si="4"/>
        <v>7907.3</v>
      </c>
      <c r="J12" s="29">
        <f t="shared" si="4"/>
        <v>7907.3</v>
      </c>
      <c r="K12" s="29">
        <f t="shared" si="4"/>
        <v>7907.3</v>
      </c>
    </row>
    <row r="13" spans="1:12">
      <c r="A13" s="8" t="s">
        <v>7</v>
      </c>
      <c r="B13" s="28">
        <v>2977</v>
      </c>
      <c r="C13" s="28">
        <v>4224.1000000000004</v>
      </c>
      <c r="D13" s="28">
        <v>3680.7</v>
      </c>
      <c r="E13" s="28">
        <v>3493.5</v>
      </c>
      <c r="F13" s="440">
        <v>3308.8</v>
      </c>
      <c r="G13" s="29">
        <f>Schedules!F75</f>
        <v>3015.8</v>
      </c>
      <c r="H13" s="29">
        <f>Schedules!G75</f>
        <v>2728.8</v>
      </c>
      <c r="I13" s="29">
        <f>Schedules!H75</f>
        <v>2563.8000000000002</v>
      </c>
      <c r="J13" s="29">
        <f>Schedules!I75</f>
        <v>2406.8000000000002</v>
      </c>
      <c r="K13" s="29">
        <f>Schedules!J75</f>
        <v>2257.8000000000002</v>
      </c>
    </row>
    <row r="14" spans="1:12">
      <c r="A14" s="8" t="s">
        <v>8</v>
      </c>
      <c r="B14" s="28">
        <v>423.8</v>
      </c>
      <c r="C14" s="28">
        <v>396.8</v>
      </c>
      <c r="D14" s="28">
        <v>448.2</v>
      </c>
      <c r="E14" s="28">
        <v>553.5</v>
      </c>
      <c r="F14" s="440">
        <v>723.2</v>
      </c>
      <c r="G14" s="29">
        <f>Schedules!G28</f>
        <v>933.75020549999999</v>
      </c>
      <c r="H14" s="29">
        <f>Schedules!H28</f>
        <v>1128.4542221825</v>
      </c>
      <c r="I14" s="29">
        <f>Schedules!I28</f>
        <v>1309.254564446225</v>
      </c>
      <c r="J14" s="29">
        <f>Schedules!J28</f>
        <v>1478.6784476450384</v>
      </c>
      <c r="K14" s="29">
        <f>Schedules!K28</f>
        <v>1638.9255401845487</v>
      </c>
    </row>
    <row r="15" spans="1:12">
      <c r="A15" s="8" t="s">
        <v>9</v>
      </c>
      <c r="B15" s="28">
        <v>476</v>
      </c>
      <c r="C15" s="28">
        <v>546</v>
      </c>
      <c r="D15" s="28">
        <v>535.1</v>
      </c>
      <c r="E15" s="28">
        <v>532.70000000000005</v>
      </c>
      <c r="F15" s="440">
        <v>670.4</v>
      </c>
      <c r="G15" s="29">
        <f>G66*'Income statement'!G7</f>
        <v>651.28726775966823</v>
      </c>
      <c r="H15" s="29">
        <f>H66*'Income statement'!H7</f>
        <v>676.96367309012726</v>
      </c>
      <c r="I15" s="29">
        <f>I66*'Income statement'!I7</f>
        <v>692.77603953493576</v>
      </c>
      <c r="J15" s="29">
        <f>J66*'Income statement'!J7</f>
        <v>725.4958366292276</v>
      </c>
      <c r="K15" s="29">
        <f>K66*'Income statement'!K7</f>
        <v>772.06733600526604</v>
      </c>
    </row>
    <row r="16" spans="1:12">
      <c r="A16" s="9" t="s">
        <v>10</v>
      </c>
      <c r="B16" s="34">
        <f>SUM(B10:B15)</f>
        <v>18125.999999999996</v>
      </c>
      <c r="C16" s="34">
        <f t="shared" ref="C16:K16" si="5">SUM(C10:C15)</f>
        <v>21206.399999999998</v>
      </c>
      <c r="D16" s="34">
        <f t="shared" si="5"/>
        <v>21464.3</v>
      </c>
      <c r="E16" s="34">
        <f t="shared" si="5"/>
        <v>21846.6</v>
      </c>
      <c r="F16" s="441">
        <f t="shared" si="5"/>
        <v>22387.800000000003</v>
      </c>
      <c r="G16" s="34">
        <f t="shared" si="5"/>
        <v>24268.414092565617</v>
      </c>
      <c r="H16" s="34">
        <f t="shared" si="5"/>
        <v>25770.711840250216</v>
      </c>
      <c r="I16" s="34">
        <f t="shared" si="5"/>
        <v>27627.18365251684</v>
      </c>
      <c r="J16" s="34">
        <f t="shared" si="5"/>
        <v>29655.770541565129</v>
      </c>
      <c r="K16" s="34">
        <f t="shared" si="5"/>
        <v>32067.525370527379</v>
      </c>
    </row>
    <row r="17" spans="1:11">
      <c r="A17" s="8"/>
      <c r="B17" s="2"/>
      <c r="C17" s="2"/>
      <c r="D17" s="2"/>
      <c r="E17" s="2"/>
      <c r="F17" s="440"/>
      <c r="G17" s="28"/>
      <c r="H17" s="28"/>
      <c r="I17" s="28"/>
      <c r="J17" s="28"/>
      <c r="K17" s="28"/>
    </row>
    <row r="18" spans="1:11">
      <c r="A18" s="9" t="s">
        <v>11</v>
      </c>
      <c r="B18" s="2"/>
      <c r="C18" s="2"/>
      <c r="D18" s="2"/>
      <c r="E18" s="2"/>
      <c r="F18" s="340"/>
      <c r="G18" s="19"/>
      <c r="H18" s="19"/>
      <c r="I18" s="19"/>
      <c r="J18" s="19"/>
      <c r="K18" s="19"/>
    </row>
    <row r="19" spans="1:11">
      <c r="A19" s="9" t="s">
        <v>31</v>
      </c>
      <c r="B19" s="2"/>
      <c r="C19" s="2"/>
      <c r="D19" s="2"/>
      <c r="E19" s="2"/>
      <c r="F19" s="340"/>
    </row>
    <row r="20" spans="1:11">
      <c r="A20" s="8" t="s">
        <v>12</v>
      </c>
      <c r="B20" s="2">
        <v>17.3</v>
      </c>
      <c r="C20" s="2">
        <v>411</v>
      </c>
      <c r="D20" s="2">
        <v>505.1</v>
      </c>
      <c r="E20" s="2">
        <v>630.4</v>
      </c>
      <c r="F20" s="340">
        <v>615.70000000000005</v>
      </c>
      <c r="G20">
        <f>G71*G26</f>
        <v>572.4</v>
      </c>
      <c r="H20">
        <f>H71*H26</f>
        <v>580.4</v>
      </c>
      <c r="I20">
        <f t="shared" ref="I20:K20" si="6">I71*I26</f>
        <v>600.4</v>
      </c>
      <c r="J20">
        <f t="shared" si="6"/>
        <v>628.4</v>
      </c>
      <c r="K20">
        <f t="shared" si="6"/>
        <v>668.4</v>
      </c>
    </row>
    <row r="21" spans="1:11">
      <c r="A21" s="8" t="s">
        <v>13</v>
      </c>
      <c r="B21" s="28">
        <v>1160.5999999999999</v>
      </c>
      <c r="C21" s="28">
        <v>1384.2</v>
      </c>
      <c r="D21" s="28">
        <v>1728.2</v>
      </c>
      <c r="E21" s="28">
        <v>1566.3</v>
      </c>
      <c r="F21" s="440">
        <v>1810</v>
      </c>
      <c r="G21" s="29">
        <f>G72</f>
        <v>1637.5068462973318</v>
      </c>
      <c r="H21" s="29">
        <f t="shared" ref="H21:K21" si="7">H72</f>
        <v>1705.4322414959411</v>
      </c>
      <c r="I21" s="29">
        <f t="shared" si="7"/>
        <v>1778.331054192362</v>
      </c>
      <c r="J21" s="29">
        <f t="shared" si="7"/>
        <v>1850.3309433089489</v>
      </c>
      <c r="K21" s="29">
        <f t="shared" si="7"/>
        <v>1925.4253204266342</v>
      </c>
    </row>
    <row r="22" spans="1:11">
      <c r="A22" s="8" t="s">
        <v>14</v>
      </c>
      <c r="B22" s="28">
        <v>469.3</v>
      </c>
      <c r="C22" s="28">
        <v>509.5</v>
      </c>
      <c r="D22" s="28">
        <v>493.6</v>
      </c>
      <c r="E22" s="28">
        <v>655.5</v>
      </c>
      <c r="F22" s="440">
        <v>727.4</v>
      </c>
      <c r="G22" s="29">
        <f>G74*'Income statement'!G11</f>
        <v>705.37858560000006</v>
      </c>
      <c r="H22" s="29">
        <f>H74*'Income statement'!H11</f>
        <v>711.74204800075006</v>
      </c>
      <c r="I22" s="29">
        <f>I74*'Income statement'!I11</f>
        <v>740.02104613794893</v>
      </c>
      <c r="J22" s="29">
        <f>J74*'Income statement'!J11</f>
        <v>744.71816500918965</v>
      </c>
      <c r="K22" s="29">
        <f>K74*'Income statement'!K11</f>
        <v>774.54374322777301</v>
      </c>
    </row>
    <row r="23" spans="1:11">
      <c r="A23" s="8" t="s">
        <v>32</v>
      </c>
      <c r="B23" s="28">
        <v>96.1</v>
      </c>
      <c r="C23" s="28">
        <v>104.3</v>
      </c>
      <c r="D23" s="28">
        <v>197.6</v>
      </c>
      <c r="E23" s="28">
        <v>158.69999999999999</v>
      </c>
      <c r="F23" s="440">
        <v>127</v>
      </c>
      <c r="G23" s="29">
        <f>G75*'Income statement'!G17</f>
        <v>195.81759161953261</v>
      </c>
      <c r="H23" s="29">
        <f>H75*'Income statement'!H17</f>
        <v>194.23492624473988</v>
      </c>
      <c r="I23" s="29">
        <f>I75*'Income statement'!I17</f>
        <v>203.0352909240886</v>
      </c>
      <c r="J23" s="29">
        <f>J75*'Income statement'!J17</f>
        <v>211.84575276304346</v>
      </c>
      <c r="K23" s="29">
        <f>K75*'Income statement'!K17</f>
        <v>221.27935698905318</v>
      </c>
    </row>
    <row r="24" spans="1:11">
      <c r="A24" s="8" t="s">
        <v>15</v>
      </c>
      <c r="B24" s="28">
        <v>1188.9000000000001</v>
      </c>
      <c r="C24" s="28">
        <v>1144.2</v>
      </c>
      <c r="D24" s="28">
        <v>1285.9000000000001</v>
      </c>
      <c r="E24" s="28">
        <v>1334.9</v>
      </c>
      <c r="F24" s="440">
        <v>1512.7</v>
      </c>
      <c r="G24" s="29">
        <f>G76*'Income statement'!G7</f>
        <v>1525.5741100198561</v>
      </c>
      <c r="H24" s="29">
        <f>H76*'Income statement'!H7</f>
        <v>1567.0423008688879</v>
      </c>
      <c r="I24" s="29">
        <f>I76*'Income statement'!I7</f>
        <v>1631.3502493491776</v>
      </c>
      <c r="J24" s="29">
        <f>J76*'Income statement'!J7</f>
        <v>1698.4544538563437</v>
      </c>
      <c r="K24" s="29">
        <f>K76*'Income statement'!K7</f>
        <v>1768.4813798916882</v>
      </c>
    </row>
    <row r="25" spans="1:11">
      <c r="A25" s="9" t="s">
        <v>16</v>
      </c>
      <c r="B25" s="34">
        <f>SUM(B20:B24)</f>
        <v>2932.2</v>
      </c>
      <c r="C25" s="34">
        <f t="shared" ref="C25:K25" si="8">SUM(C20:C24)</f>
        <v>3553.2</v>
      </c>
      <c r="D25" s="34">
        <f t="shared" si="8"/>
        <v>4210.3999999999996</v>
      </c>
      <c r="E25" s="34">
        <f t="shared" si="8"/>
        <v>4345.7999999999993</v>
      </c>
      <c r="F25" s="441">
        <f t="shared" si="8"/>
        <v>4792.8</v>
      </c>
      <c r="G25" s="34">
        <f t="shared" si="8"/>
        <v>4636.6771335367212</v>
      </c>
      <c r="H25" s="34">
        <f t="shared" si="8"/>
        <v>4758.8515166103189</v>
      </c>
      <c r="I25" s="34">
        <f t="shared" si="8"/>
        <v>4953.137640603577</v>
      </c>
      <c r="J25" s="34">
        <f t="shared" si="8"/>
        <v>5133.7493149375259</v>
      </c>
      <c r="K25" s="34">
        <f t="shared" si="8"/>
        <v>5358.1298005351491</v>
      </c>
    </row>
    <row r="26" spans="1:11">
      <c r="A26" s="8" t="s">
        <v>17</v>
      </c>
      <c r="B26" s="28">
        <v>6669.3</v>
      </c>
      <c r="C26" s="28">
        <v>8347.2000000000007</v>
      </c>
      <c r="D26" s="28">
        <v>8075.3</v>
      </c>
      <c r="E26" s="28">
        <v>7551.4</v>
      </c>
      <c r="F26" s="440">
        <v>6949.2</v>
      </c>
      <c r="G26" s="29">
        <f>Schedules!C48</f>
        <v>7155</v>
      </c>
      <c r="H26" s="29">
        <f>Schedules!D48</f>
        <v>7255</v>
      </c>
      <c r="I26" s="29">
        <f>Schedules!E48</f>
        <v>7505</v>
      </c>
      <c r="J26" s="29">
        <f>Schedules!F48</f>
        <v>7855</v>
      </c>
      <c r="K26" s="29">
        <f>Schedules!G48</f>
        <v>8355</v>
      </c>
    </row>
    <row r="27" spans="1:11">
      <c r="A27" s="8" t="s">
        <v>33</v>
      </c>
      <c r="B27" s="28">
        <v>1226.2</v>
      </c>
      <c r="C27" s="28">
        <v>894.2</v>
      </c>
      <c r="D27" s="28">
        <v>670.3</v>
      </c>
      <c r="E27" s="28">
        <v>651.70000000000005</v>
      </c>
      <c r="F27" s="440">
        <v>634.9</v>
      </c>
      <c r="G27" s="28">
        <v>634.9</v>
      </c>
      <c r="H27" s="28">
        <v>634.9</v>
      </c>
      <c r="I27" s="28">
        <v>634.9</v>
      </c>
      <c r="J27" s="28">
        <v>634.9</v>
      </c>
      <c r="K27" s="28">
        <v>634.9</v>
      </c>
    </row>
    <row r="28" spans="1:11">
      <c r="A28" s="8" t="s">
        <v>18</v>
      </c>
      <c r="B28" s="28">
        <v>483.9</v>
      </c>
      <c r="C28" s="28">
        <v>622</v>
      </c>
      <c r="D28" s="28">
        <v>505.6</v>
      </c>
      <c r="E28" s="28">
        <v>418.2</v>
      </c>
      <c r="F28" s="440">
        <v>280</v>
      </c>
      <c r="G28" s="29">
        <f>G80*'Income statement'!G17</f>
        <v>849.81131149880105</v>
      </c>
      <c r="H28" s="29">
        <f>H80*'Income statement'!H17</f>
        <v>754.5852879857689</v>
      </c>
      <c r="I28" s="29">
        <f>I80*'Income statement'!I17</f>
        <v>720.88334633981071</v>
      </c>
      <c r="J28" s="29">
        <f>J80*'Income statement'!J17</f>
        <v>682.08541106169514</v>
      </c>
      <c r="K28" s="29">
        <f>K80*'Income statement'!K17</f>
        <v>731.70657418122539</v>
      </c>
    </row>
    <row r="29" spans="1:11">
      <c r="A29" s="8" t="s">
        <v>19</v>
      </c>
      <c r="B29" s="28">
        <v>300.5</v>
      </c>
      <c r="C29" s="28">
        <v>282.60000000000002</v>
      </c>
      <c r="D29" s="28">
        <v>337.8</v>
      </c>
      <c r="E29" s="28">
        <v>425.5</v>
      </c>
      <c r="F29" s="440">
        <v>575.5</v>
      </c>
      <c r="G29" s="29">
        <f>Schedules!C39</f>
        <v>711.17616440000006</v>
      </c>
      <c r="H29" s="29">
        <f>Schedules!D39</f>
        <v>853.11940076200005</v>
      </c>
      <c r="I29" s="29">
        <f>Schedules!E39</f>
        <v>981.74654745742009</v>
      </c>
      <c r="J29" s="29">
        <f>Schedules!F39</f>
        <v>1116.7221652344481</v>
      </c>
      <c r="K29" s="29">
        <f>Schedules!G39</f>
        <v>1258.5318254023007</v>
      </c>
    </row>
    <row r="30" spans="1:11">
      <c r="A30" s="8" t="s">
        <v>20</v>
      </c>
      <c r="B30" s="28">
        <v>312.39999999999998</v>
      </c>
      <c r="C30" s="28">
        <v>254.1</v>
      </c>
      <c r="D30" s="28">
        <v>406.3</v>
      </c>
      <c r="E30" s="28">
        <v>381.8</v>
      </c>
      <c r="F30" s="440">
        <v>366.2</v>
      </c>
      <c r="G30" s="29">
        <f>G82*'Income statement'!G7</f>
        <v>404.8204512355826</v>
      </c>
      <c r="H30" s="29">
        <f>H82*'Income statement'!H7</f>
        <v>422.24237570432371</v>
      </c>
      <c r="I30" s="29">
        <f>I82*'Income statement'!I7</f>
        <v>439.57026846633323</v>
      </c>
      <c r="J30" s="29">
        <f>J82*'Income statement'!J7</f>
        <v>457.65161746064177</v>
      </c>
      <c r="K30" s="29">
        <f>K82*'Income statement'!K7</f>
        <v>476.5204990447827</v>
      </c>
    </row>
    <row r="31" spans="1:11">
      <c r="A31" s="9" t="s">
        <v>21</v>
      </c>
      <c r="B31" s="34">
        <f>SUM(B25:B30)</f>
        <v>11924.5</v>
      </c>
      <c r="C31" s="34">
        <f t="shared" ref="C31:K31" si="9">SUM(C25:C30)</f>
        <v>13953.300000000003</v>
      </c>
      <c r="D31" s="34">
        <f t="shared" si="9"/>
        <v>14205.699999999999</v>
      </c>
      <c r="E31" s="34">
        <f t="shared" si="9"/>
        <v>13774.4</v>
      </c>
      <c r="F31" s="441">
        <f t="shared" si="9"/>
        <v>13598.6</v>
      </c>
      <c r="G31" s="34">
        <f t="shared" si="9"/>
        <v>14392.385060671104</v>
      </c>
      <c r="H31" s="34">
        <f t="shared" si="9"/>
        <v>14678.69858106241</v>
      </c>
      <c r="I31" s="34">
        <f t="shared" si="9"/>
        <v>15235.237802867143</v>
      </c>
      <c r="J31" s="34">
        <f t="shared" si="9"/>
        <v>15880.108508694311</v>
      </c>
      <c r="K31" s="34">
        <f t="shared" si="9"/>
        <v>16814.788699163459</v>
      </c>
    </row>
    <row r="32" spans="1:11">
      <c r="A32" s="8"/>
      <c r="B32" s="2"/>
      <c r="C32" s="2"/>
      <c r="D32" s="2"/>
      <c r="E32" s="2"/>
      <c r="F32" s="340"/>
    </row>
    <row r="33" spans="1:11">
      <c r="A33" s="9" t="s">
        <v>34</v>
      </c>
      <c r="B33" s="2"/>
      <c r="C33" s="2"/>
      <c r="D33" s="2"/>
      <c r="E33" s="2"/>
      <c r="F33" s="340"/>
    </row>
    <row r="34" spans="1:11">
      <c r="A34" s="8" t="s">
        <v>22</v>
      </c>
      <c r="B34" s="30">
        <v>362.6</v>
      </c>
      <c r="C34" s="30">
        <v>364.1</v>
      </c>
      <c r="D34" s="30">
        <v>364.7</v>
      </c>
      <c r="E34" s="30">
        <v>365.7</v>
      </c>
      <c r="F34" s="442">
        <v>367.8</v>
      </c>
      <c r="G34" s="31">
        <f>F34+G86</f>
        <v>369.8</v>
      </c>
      <c r="H34" s="31">
        <f t="shared" ref="H34:K34" si="10">G34+H86</f>
        <v>371.3</v>
      </c>
      <c r="I34" s="31">
        <f t="shared" si="10"/>
        <v>372.3</v>
      </c>
      <c r="J34" s="31">
        <f t="shared" si="10"/>
        <v>373.3</v>
      </c>
      <c r="K34" s="31">
        <f t="shared" si="10"/>
        <v>374.3</v>
      </c>
    </row>
    <row r="35" spans="1:11">
      <c r="A35" s="8" t="s">
        <v>23</v>
      </c>
      <c r="B35" s="30">
        <v>6235</v>
      </c>
      <c r="C35" s="30">
        <v>6464.6</v>
      </c>
      <c r="D35" s="30">
        <v>6580.2</v>
      </c>
      <c r="E35" s="30">
        <v>6766.7</v>
      </c>
      <c r="F35" s="442">
        <v>7159.6</v>
      </c>
      <c r="G35" s="31">
        <f>F35+G88</f>
        <v>7487.9896900000003</v>
      </c>
      <c r="H35" s="31">
        <f>G35+H88</f>
        <v>7830.5465799500007</v>
      </c>
      <c r="I35" s="31">
        <f>H35+I88</f>
        <v>8187.1612466545012</v>
      </c>
      <c r="J35" s="31">
        <f>I35+J88</f>
        <v>8558.4449542558541</v>
      </c>
      <c r="K35" s="31">
        <f>J35+K88</f>
        <v>8945.0366123714502</v>
      </c>
    </row>
    <row r="36" spans="1:11">
      <c r="A36" s="8" t="s">
        <v>24</v>
      </c>
      <c r="B36" s="30">
        <v>8243</v>
      </c>
      <c r="C36" s="30">
        <v>8814.5</v>
      </c>
      <c r="D36" s="30">
        <v>9318.7999999999993</v>
      </c>
      <c r="E36" s="30">
        <v>10075.4</v>
      </c>
      <c r="F36" s="442">
        <v>11532</v>
      </c>
      <c r="G36" s="31">
        <f>Schedules!G8</f>
        <v>12773.23934189451</v>
      </c>
      <c r="H36" s="31">
        <f>Schedules!H8</f>
        <v>14113.166679237807</v>
      </c>
      <c r="I36" s="31">
        <f>Schedules!I8</f>
        <v>15525.484602995193</v>
      </c>
      <c r="J36" s="31">
        <f>Schedules!J8</f>
        <v>17016.917078614963</v>
      </c>
      <c r="K36" s="31">
        <f>Schedules!K8</f>
        <v>18586.400058992469</v>
      </c>
    </row>
    <row r="37" spans="1:11">
      <c r="A37" s="8" t="s">
        <v>35</v>
      </c>
      <c r="B37" s="30">
        <v>-1994.4</v>
      </c>
      <c r="C37" s="30">
        <v>-1634.8</v>
      </c>
      <c r="D37" s="30">
        <v>-1726.6</v>
      </c>
      <c r="E37" s="30">
        <v>-1850.4</v>
      </c>
      <c r="F37" s="442">
        <v>-1982</v>
      </c>
      <c r="G37" s="30">
        <v>-1982</v>
      </c>
      <c r="H37" s="30">
        <v>-1950</v>
      </c>
      <c r="I37" s="30">
        <v>-1920</v>
      </c>
      <c r="J37" s="30">
        <v>-1900</v>
      </c>
      <c r="K37" s="30">
        <v>-1880</v>
      </c>
    </row>
    <row r="38" spans="1:11">
      <c r="A38" s="8" t="s">
        <v>25</v>
      </c>
      <c r="B38" s="30">
        <v>-6679.7</v>
      </c>
      <c r="C38" s="30">
        <v>-6784.2</v>
      </c>
      <c r="D38" s="30">
        <v>-7301</v>
      </c>
      <c r="E38" s="30">
        <v>-7312.7</v>
      </c>
      <c r="F38" s="442">
        <v>-8305.2000000000007</v>
      </c>
      <c r="G38" s="31">
        <f>Schedules!C18</f>
        <v>-8805</v>
      </c>
      <c r="H38" s="31">
        <f>Schedules!D18</f>
        <v>-9305</v>
      </c>
      <c r="I38" s="31">
        <f>Schedules!E18</f>
        <v>-9805</v>
      </c>
      <c r="J38" s="31">
        <f>Schedules!F18</f>
        <v>-10305</v>
      </c>
      <c r="K38" s="31">
        <f>Schedules!G18</f>
        <v>-10805</v>
      </c>
    </row>
    <row r="39" spans="1:11">
      <c r="A39" s="9" t="s">
        <v>26</v>
      </c>
      <c r="B39" s="35">
        <f>SUM(B34:B38)</f>
        <v>6166.5000000000009</v>
      </c>
      <c r="C39" s="35">
        <f t="shared" ref="C39:K39" si="11">SUM(C34:C38)</f>
        <v>7224.2000000000016</v>
      </c>
      <c r="D39" s="35">
        <f t="shared" si="11"/>
        <v>7236.0999999999985</v>
      </c>
      <c r="E39" s="35">
        <f t="shared" si="11"/>
        <v>8044.7</v>
      </c>
      <c r="F39" s="443">
        <f t="shared" si="11"/>
        <v>8772.2000000000007</v>
      </c>
      <c r="G39" s="35">
        <f t="shared" si="11"/>
        <v>9844.0290318945117</v>
      </c>
      <c r="H39" s="35">
        <f t="shared" si="11"/>
        <v>11060.013259187806</v>
      </c>
      <c r="I39" s="35">
        <f t="shared" si="11"/>
        <v>12359.945849649695</v>
      </c>
      <c r="J39" s="35">
        <f t="shared" si="11"/>
        <v>13743.662032870816</v>
      </c>
      <c r="K39" s="35">
        <f t="shared" si="11"/>
        <v>15220.73667136392</v>
      </c>
    </row>
    <row r="40" spans="1:11">
      <c r="A40" s="8" t="s">
        <v>36</v>
      </c>
      <c r="B40" s="30">
        <v>35</v>
      </c>
      <c r="C40" s="30">
        <v>28.9</v>
      </c>
      <c r="D40" s="30">
        <v>22.5</v>
      </c>
      <c r="E40" s="30">
        <v>27.5</v>
      </c>
      <c r="F40" s="442">
        <v>31.9</v>
      </c>
      <c r="G40" s="30">
        <v>31.9</v>
      </c>
      <c r="H40" s="30">
        <v>31.9</v>
      </c>
      <c r="I40" s="30">
        <v>31.9</v>
      </c>
      <c r="J40" s="30">
        <v>31.9</v>
      </c>
      <c r="K40" s="30">
        <v>31.9</v>
      </c>
    </row>
    <row r="41" spans="1:11">
      <c r="A41" s="9" t="s">
        <v>27</v>
      </c>
      <c r="B41" s="35">
        <f>SUM(B39:B40)</f>
        <v>6201.5000000000009</v>
      </c>
      <c r="C41" s="35">
        <f t="shared" ref="C41:K41" si="12">SUM(C39:C40)</f>
        <v>7253.1000000000013</v>
      </c>
      <c r="D41" s="35">
        <f t="shared" si="12"/>
        <v>7258.5999999999985</v>
      </c>
      <c r="E41" s="35">
        <f t="shared" si="12"/>
        <v>8072.2</v>
      </c>
      <c r="F41" s="443">
        <f t="shared" si="12"/>
        <v>8804.1</v>
      </c>
      <c r="G41" s="35">
        <f t="shared" si="12"/>
        <v>9875.9290318945114</v>
      </c>
      <c r="H41" s="35">
        <f t="shared" si="12"/>
        <v>11091.913259187806</v>
      </c>
      <c r="I41" s="35">
        <f t="shared" si="12"/>
        <v>12391.845849649695</v>
      </c>
      <c r="J41" s="35">
        <f t="shared" si="12"/>
        <v>13775.562032870816</v>
      </c>
      <c r="K41" s="35">
        <f t="shared" si="12"/>
        <v>15252.63667136392</v>
      </c>
    </row>
    <row r="42" spans="1:11">
      <c r="A42" s="9" t="s">
        <v>28</v>
      </c>
      <c r="B42" s="35">
        <f>SUM(B41+B31)</f>
        <v>18126</v>
      </c>
      <c r="C42" s="35">
        <f t="shared" ref="C42:K42" si="13">SUM(C41+C31)</f>
        <v>21206.400000000005</v>
      </c>
      <c r="D42" s="35">
        <f t="shared" si="13"/>
        <v>21464.299999999996</v>
      </c>
      <c r="E42" s="35">
        <f t="shared" si="13"/>
        <v>21846.6</v>
      </c>
      <c r="F42" s="443">
        <f t="shared" si="13"/>
        <v>22402.7</v>
      </c>
      <c r="G42" s="35">
        <f>SUM(G41+G31)</f>
        <v>24268.314092565615</v>
      </c>
      <c r="H42" s="35">
        <f t="shared" si="13"/>
        <v>25770.611840250218</v>
      </c>
      <c r="I42" s="35">
        <f t="shared" si="13"/>
        <v>27627.083652516838</v>
      </c>
      <c r="J42" s="35">
        <f t="shared" si="13"/>
        <v>29655.670541565127</v>
      </c>
      <c r="K42" s="35">
        <f t="shared" si="13"/>
        <v>32067.42537052738</v>
      </c>
    </row>
    <row r="44" spans="1:11">
      <c r="G44" s="31">
        <f>G42-G16</f>
        <v>-0.10000000000218279</v>
      </c>
      <c r="H44" s="31">
        <f t="shared" ref="H44:K44" si="14">H42-H16</f>
        <v>-9.9999999998544808E-2</v>
      </c>
      <c r="I44" s="31">
        <f t="shared" si="14"/>
        <v>-0.10000000000218279</v>
      </c>
      <c r="J44" s="31">
        <f t="shared" si="14"/>
        <v>-0.10000000000218279</v>
      </c>
      <c r="K44" s="31">
        <f t="shared" si="14"/>
        <v>-9.9999999998544808E-2</v>
      </c>
    </row>
    <row r="49" spans="1:14">
      <c r="A49" s="359"/>
      <c r="B49" s="356">
        <v>2020</v>
      </c>
      <c r="C49" s="356">
        <v>2021</v>
      </c>
      <c r="D49" s="356">
        <v>2022</v>
      </c>
      <c r="E49" s="356">
        <v>2023</v>
      </c>
      <c r="F49" s="404">
        <v>2024</v>
      </c>
      <c r="G49" s="356">
        <v>2025</v>
      </c>
      <c r="H49" s="356">
        <v>2026</v>
      </c>
      <c r="I49" s="356">
        <v>2027</v>
      </c>
      <c r="J49" s="356">
        <v>2028</v>
      </c>
      <c r="K49" s="356">
        <v>2029</v>
      </c>
    </row>
    <row r="50" spans="1:14">
      <c r="A50" s="9" t="s">
        <v>0</v>
      </c>
      <c r="B50" s="2"/>
      <c r="C50" s="2"/>
      <c r="D50" s="2"/>
      <c r="E50" s="2"/>
      <c r="F50" s="340"/>
    </row>
    <row r="51" spans="1:14">
      <c r="A51" s="9" t="s">
        <v>29</v>
      </c>
      <c r="B51" s="2"/>
      <c r="C51" s="2"/>
      <c r="D51" s="2"/>
      <c r="E51" s="2"/>
      <c r="F51" s="340"/>
    </row>
    <row r="52" spans="1:14">
      <c r="A52" s="8" t="s">
        <v>1</v>
      </c>
      <c r="B52" s="7"/>
      <c r="C52" s="2"/>
      <c r="D52" s="2"/>
      <c r="E52" s="2"/>
      <c r="F52" s="444"/>
      <c r="N52" t="s">
        <v>409</v>
      </c>
    </row>
    <row r="53" spans="1:14">
      <c r="A53" s="8" t="s">
        <v>2</v>
      </c>
      <c r="B53" s="7"/>
      <c r="C53" s="7"/>
      <c r="D53" s="7"/>
      <c r="E53" s="7"/>
      <c r="F53" s="444"/>
      <c r="G53">
        <f>'Income statement'!G7/(365/'Balance sheet'!G54)</f>
        <v>2969.002676712329</v>
      </c>
      <c r="H53">
        <f>'Income statement'!H7/(365/'Balance sheet'!H54)</f>
        <v>3050.1640885958909</v>
      </c>
      <c r="I53">
        <f>'Income statement'!I7/(365/'Balance sheet'!I54)</f>
        <v>3175.3360733962336</v>
      </c>
      <c r="J53">
        <f>'Income statement'!J7/(365/'Balance sheet'!J54)</f>
        <v>3305.9508211079342</v>
      </c>
      <c r="K53">
        <f>'Income statement'!K7/(365/'Balance sheet'!K54)</f>
        <v>3442.254490070371</v>
      </c>
    </row>
    <row r="54" spans="1:14">
      <c r="A54" s="2" t="s">
        <v>142</v>
      </c>
      <c r="B54" s="7"/>
      <c r="C54" s="7">
        <f>(((B7+C7)/2)/'Income statement'!C7)*365</f>
        <v>68.111968020356414</v>
      </c>
      <c r="D54" s="7">
        <f>(((C7+D7)/2)/'Income statement'!D7)*365</f>
        <v>66.586169103032177</v>
      </c>
      <c r="E54" s="7">
        <f>(((D7+E7)/2)/'Income statement'!E7)*365</f>
        <v>65.902843957650674</v>
      </c>
      <c r="F54" s="444">
        <f>(((E7+F7)/2)/'Income statement'!F7)*365</f>
        <v>66.074427941606217</v>
      </c>
      <c r="G54">
        <v>66</v>
      </c>
      <c r="H54">
        <v>65</v>
      </c>
      <c r="I54">
        <v>65</v>
      </c>
      <c r="J54">
        <v>65</v>
      </c>
      <c r="K54">
        <v>65</v>
      </c>
      <c r="N54" t="s">
        <v>410</v>
      </c>
    </row>
    <row r="55" spans="1:14">
      <c r="A55" s="8" t="s">
        <v>3</v>
      </c>
      <c r="B55" s="7"/>
      <c r="C55" s="7"/>
      <c r="D55" s="7"/>
      <c r="E55" s="7"/>
      <c r="F55" s="444"/>
      <c r="G55">
        <f>'Income statement'!G10/'Balance sheet'!G56</f>
        <v>1544.8113854669753</v>
      </c>
      <c r="H55">
        <f>'Income statement'!H10/'Balance sheet'!H56</f>
        <v>1610.8444491679838</v>
      </c>
      <c r="I55">
        <f>'Income statement'!I10/'Balance sheet'!I56</f>
        <v>1676.063251623659</v>
      </c>
      <c r="J55">
        <f>'Income statement'!J10/'Balance sheet'!J56</f>
        <v>1744.0850973078911</v>
      </c>
      <c r="K55">
        <f>'Income statement'!K10/'Balance sheet'!K56</f>
        <v>1815.0355045420647</v>
      </c>
    </row>
    <row r="56" spans="1:14">
      <c r="A56" s="2" t="s">
        <v>143</v>
      </c>
      <c r="B56" s="7"/>
      <c r="C56" s="7">
        <f>'Income statement'!C10/(('Balance sheet'!C8+'Balance sheet'!B8)/2)</f>
        <v>5.4849117752970828</v>
      </c>
      <c r="D56" s="7">
        <f>'Income statement'!D10/(('Balance sheet'!D8+'Balance sheet'!C8)/2)</f>
        <v>5.3772148815685323</v>
      </c>
      <c r="E56" s="7">
        <f>'Income statement'!E10/(('Balance sheet'!E8+'Balance sheet'!D8)/2)</f>
        <v>5.5652887537993916</v>
      </c>
      <c r="F56" s="444">
        <f>'Income statement'!F10/(('Balance sheet'!F8+'Balance sheet'!E8)/2)</f>
        <v>6.0090476351237294</v>
      </c>
      <c r="G56" s="6">
        <v>6</v>
      </c>
      <c r="H56" s="6">
        <v>6</v>
      </c>
      <c r="I56" s="6">
        <v>6</v>
      </c>
      <c r="J56" s="6">
        <v>6</v>
      </c>
      <c r="K56" s="6">
        <v>6</v>
      </c>
      <c r="N56" t="s">
        <v>447</v>
      </c>
    </row>
    <row r="57" spans="1:14">
      <c r="A57" s="8" t="s">
        <v>4</v>
      </c>
      <c r="B57" s="18">
        <f>B9/'Income statement'!B11</f>
        <v>9.0115137046326801E-2</v>
      </c>
      <c r="C57" s="18">
        <f>C9/'Income statement'!C11</f>
        <v>0.10450513743742865</v>
      </c>
      <c r="D57" s="18">
        <f>D9/'Income statement'!D11</f>
        <v>0.11076139909135693</v>
      </c>
      <c r="E57" s="18">
        <f>E9/'Income statement'!E11</f>
        <v>9.6809139255465831E-2</v>
      </c>
      <c r="F57" s="423">
        <f>F9/'Income statement'!F11</f>
        <v>0.10382668747930562</v>
      </c>
      <c r="G57" s="16">
        <v>0.1</v>
      </c>
      <c r="H57" s="16">
        <v>0.1</v>
      </c>
      <c r="I57" s="16">
        <v>0.1</v>
      </c>
      <c r="J57" s="16">
        <v>0.1</v>
      </c>
      <c r="K57" s="16">
        <v>0.1</v>
      </c>
      <c r="N57" t="s">
        <v>411</v>
      </c>
    </row>
    <row r="58" spans="1:14">
      <c r="A58" s="9" t="s">
        <v>5</v>
      </c>
      <c r="B58" s="10"/>
      <c r="C58" s="10"/>
      <c r="D58" s="10"/>
      <c r="E58" s="10"/>
      <c r="F58" s="445"/>
    </row>
    <row r="59" spans="1:14">
      <c r="A59" s="8" t="s">
        <v>30</v>
      </c>
      <c r="B59" s="7"/>
      <c r="C59" s="7"/>
      <c r="D59" s="7"/>
      <c r="E59" s="7"/>
      <c r="F59" s="444"/>
      <c r="N59" t="s">
        <v>412</v>
      </c>
    </row>
    <row r="60" spans="1:14">
      <c r="A60" s="8" t="s">
        <v>6</v>
      </c>
      <c r="B60" s="7">
        <f>B12</f>
        <v>6006.9</v>
      </c>
      <c r="C60" s="7">
        <f t="shared" ref="C60:F60" si="15">C12</f>
        <v>8063.9</v>
      </c>
      <c r="D60" s="7">
        <f t="shared" si="15"/>
        <v>8012.7</v>
      </c>
      <c r="E60" s="7">
        <f t="shared" si="15"/>
        <v>8148.2</v>
      </c>
      <c r="F60" s="444">
        <f t="shared" si="15"/>
        <v>7907.3</v>
      </c>
      <c r="G60" s="6">
        <f>+CHOOSE(Cover!$I$15,G61,G62,G63)</f>
        <v>7907.3</v>
      </c>
      <c r="H60" s="6">
        <f>+CHOOSE(Cover!$I$15,H61,H62,H63)</f>
        <v>7907.3</v>
      </c>
      <c r="I60" s="6">
        <f>+CHOOSE(Cover!$I$15,I61,I62,I63)</f>
        <v>7907.3</v>
      </c>
      <c r="J60" s="6">
        <f>+CHOOSE(Cover!$I$15,J61,J62,J63)</f>
        <v>7907.3</v>
      </c>
      <c r="K60" s="6">
        <f>+CHOOSE(Cover!$I$15,K61,K62,K63)</f>
        <v>7907.3</v>
      </c>
      <c r="N60" t="s">
        <v>413</v>
      </c>
    </row>
    <row r="61" spans="1:14">
      <c r="A61" s="2" t="s">
        <v>149</v>
      </c>
      <c r="B61" s="7"/>
      <c r="C61" s="7"/>
      <c r="D61" s="7"/>
      <c r="E61" s="7"/>
      <c r="F61" s="444">
        <v>7000</v>
      </c>
      <c r="G61">
        <v>7000</v>
      </c>
      <c r="H61">
        <v>7000</v>
      </c>
      <c r="I61" s="7">
        <v>7000</v>
      </c>
      <c r="J61" s="7">
        <v>7000</v>
      </c>
      <c r="K61" s="7">
        <v>7000</v>
      </c>
    </row>
    <row r="62" spans="1:14">
      <c r="A62" s="2" t="s">
        <v>150</v>
      </c>
      <c r="B62" s="7">
        <f>B12</f>
        <v>6006.9</v>
      </c>
      <c r="C62" s="7">
        <f t="shared" ref="C62:F62" si="16">C12</f>
        <v>8063.9</v>
      </c>
      <c r="D62" s="7">
        <f t="shared" si="16"/>
        <v>8012.7</v>
      </c>
      <c r="E62" s="7">
        <f t="shared" si="16"/>
        <v>8148.2</v>
      </c>
      <c r="F62" s="444">
        <f t="shared" si="16"/>
        <v>7907.3</v>
      </c>
      <c r="G62" s="6">
        <f>F62</f>
        <v>7907.3</v>
      </c>
      <c r="H62" s="6">
        <f t="shared" ref="H62:K62" si="17">G62</f>
        <v>7907.3</v>
      </c>
      <c r="I62" s="6">
        <f t="shared" si="17"/>
        <v>7907.3</v>
      </c>
      <c r="J62" s="6">
        <f t="shared" si="17"/>
        <v>7907.3</v>
      </c>
      <c r="K62" s="6">
        <f t="shared" si="17"/>
        <v>7907.3</v>
      </c>
    </row>
    <row r="63" spans="1:14">
      <c r="A63" s="2" t="s">
        <v>151</v>
      </c>
      <c r="B63" s="7"/>
      <c r="C63" s="7"/>
      <c r="D63" s="7"/>
      <c r="E63" s="7"/>
      <c r="F63" s="444">
        <v>8500</v>
      </c>
      <c r="G63">
        <v>8500</v>
      </c>
      <c r="H63">
        <v>8500</v>
      </c>
      <c r="I63" s="7">
        <v>8500</v>
      </c>
      <c r="J63" s="7">
        <v>8500</v>
      </c>
      <c r="K63" s="7">
        <v>8500</v>
      </c>
    </row>
    <row r="64" spans="1:14">
      <c r="A64" s="8" t="s">
        <v>7</v>
      </c>
      <c r="B64" s="18">
        <f>B13/'Income statement'!B7</f>
        <v>0.25249633808216437</v>
      </c>
      <c r="C64" s="18">
        <f>C13/'Income statement'!C7</f>
        <v>0.33174168113028257</v>
      </c>
      <c r="D64" s="18">
        <f>D13/'Income statement'!D7</f>
        <v>0.2594271134354868</v>
      </c>
      <c r="E64" s="18">
        <f>E13/'Income statement'!E7</f>
        <v>0.22803227111917598</v>
      </c>
      <c r="F64" s="423">
        <f>F13/'Income statement'!F7</f>
        <v>0.21019731408896292</v>
      </c>
      <c r="G64" s="18">
        <f>G13/'Income statement'!G7</f>
        <v>0.18367202697502469</v>
      </c>
      <c r="H64" s="18">
        <f>H13/'Income statement'!H7</f>
        <v>0.15931952210322195</v>
      </c>
      <c r="I64" s="18">
        <f>I13/'Income statement'!I7</f>
        <v>0.14378544907825846</v>
      </c>
      <c r="J64" s="18">
        <f>J13/'Income statement'!J7</f>
        <v>0.1296474879303986</v>
      </c>
      <c r="K64" s="18">
        <f>K13/'Income statement'!K7</f>
        <v>0.11680541742703052</v>
      </c>
      <c r="N64" t="s">
        <v>414</v>
      </c>
    </row>
    <row r="65" spans="1:14">
      <c r="A65" s="8" t="s">
        <v>8</v>
      </c>
      <c r="B65" s="2"/>
      <c r="C65" s="2"/>
      <c r="D65" s="2"/>
      <c r="E65" s="2"/>
      <c r="F65" s="340"/>
      <c r="N65" t="s">
        <v>415</v>
      </c>
    </row>
    <row r="66" spans="1:14">
      <c r="A66" s="8" t="s">
        <v>9</v>
      </c>
      <c r="B66" s="18">
        <f>B15/'Income statement'!B7</f>
        <v>4.0372273069234209E-2</v>
      </c>
      <c r="C66" s="18">
        <f>C15/'Income statement'!C7</f>
        <v>4.288036691771839E-2</v>
      </c>
      <c r="D66" s="18">
        <f>D15/'Income statement'!D7</f>
        <v>3.7715502051057948E-2</v>
      </c>
      <c r="E66" s="18">
        <f>E15/'Income statement'!E7</f>
        <v>3.4771086539340218E-2</v>
      </c>
      <c r="F66" s="423">
        <f>F15/'Income statement'!F7</f>
        <v>4.2588333947425262E-2</v>
      </c>
      <c r="G66" s="21">
        <f>AVERAGE(B66:F66)</f>
        <v>3.9665512504955203E-2</v>
      </c>
      <c r="H66" s="21">
        <f t="shared" ref="H66:K66" si="18">AVERAGE(C66:G66)</f>
        <v>3.9524160392099404E-2</v>
      </c>
      <c r="I66" s="21">
        <f t="shared" si="18"/>
        <v>3.8852919086975607E-2</v>
      </c>
      <c r="J66" s="21">
        <f t="shared" si="18"/>
        <v>3.9080402494159137E-2</v>
      </c>
      <c r="K66" s="21">
        <f t="shared" si="18"/>
        <v>3.9942265685122921E-2</v>
      </c>
      <c r="N66" t="s">
        <v>416</v>
      </c>
    </row>
    <row r="67" spans="1:14">
      <c r="A67" s="9" t="s">
        <v>10</v>
      </c>
      <c r="B67" s="10"/>
      <c r="C67" s="10"/>
      <c r="D67" s="10"/>
      <c r="E67" s="10"/>
      <c r="F67" s="445"/>
    </row>
    <row r="68" spans="1:14">
      <c r="A68" s="8"/>
      <c r="B68" s="2"/>
      <c r="C68" s="2"/>
      <c r="D68" s="2"/>
      <c r="E68" s="2"/>
      <c r="F68" s="340"/>
    </row>
    <row r="69" spans="1:14">
      <c r="A69" s="9" t="s">
        <v>11</v>
      </c>
      <c r="B69" s="2"/>
      <c r="C69" s="2"/>
      <c r="D69" s="2"/>
      <c r="E69" s="2"/>
      <c r="F69" s="340"/>
    </row>
    <row r="70" spans="1:14">
      <c r="A70" s="9" t="s">
        <v>31</v>
      </c>
      <c r="B70" s="2"/>
      <c r="C70" s="2"/>
      <c r="D70" s="2"/>
      <c r="E70" s="2"/>
      <c r="F70" s="340"/>
    </row>
    <row r="71" spans="1:14">
      <c r="A71" s="8" t="s">
        <v>12</v>
      </c>
      <c r="B71" s="405">
        <f>B20/B26</f>
        <v>2.5939753797250085E-3</v>
      </c>
      <c r="C71" s="405">
        <f t="shared" ref="C71:F71" si="19">C20/C26</f>
        <v>4.9238067855089128E-2</v>
      </c>
      <c r="D71" s="405">
        <f t="shared" si="19"/>
        <v>6.254875979839758E-2</v>
      </c>
      <c r="E71" s="405">
        <f t="shared" si="19"/>
        <v>8.3481208782477417E-2</v>
      </c>
      <c r="F71" s="446">
        <f t="shared" si="19"/>
        <v>8.860012663328154E-2</v>
      </c>
      <c r="G71" s="32">
        <v>0.08</v>
      </c>
      <c r="H71" s="32">
        <v>0.08</v>
      </c>
      <c r="I71" s="32">
        <v>0.08</v>
      </c>
      <c r="J71" s="32">
        <v>0.08</v>
      </c>
      <c r="K71" s="32">
        <v>0.08</v>
      </c>
      <c r="N71" t="s">
        <v>417</v>
      </c>
    </row>
    <row r="72" spans="1:14">
      <c r="A72" s="8" t="s">
        <v>13</v>
      </c>
      <c r="B72" s="7"/>
      <c r="C72" s="7"/>
      <c r="D72" s="7"/>
      <c r="E72" s="7"/>
      <c r="F72" s="444"/>
      <c r="G72">
        <f>G73*'Income statement'!F10/365</f>
        <v>1637.5068462973318</v>
      </c>
      <c r="H72">
        <f>H73*'Income statement'!G10/365</f>
        <v>1705.4322414959411</v>
      </c>
      <c r="I72">
        <f>I73*'Income statement'!H10/365</f>
        <v>1778.331054192362</v>
      </c>
      <c r="J72">
        <f>J73*'Income statement'!I10/365</f>
        <v>1850.3309433089489</v>
      </c>
      <c r="K72">
        <f>K73*'Income statement'!J10/365</f>
        <v>1925.4253204266342</v>
      </c>
      <c r="N72" t="s">
        <v>418</v>
      </c>
    </row>
    <row r="73" spans="1:14">
      <c r="A73" s="2" t="s">
        <v>152</v>
      </c>
      <c r="B73" s="7">
        <f>(B21/'Income statement'!B10)*365</f>
        <v>61.34249471458773</v>
      </c>
      <c r="C73" s="7">
        <f>(C21/'Income statement'!C10)*365</f>
        <v>66.340108721342474</v>
      </c>
      <c r="D73" s="7">
        <f>(D21/'Income statement'!D10)*365</f>
        <v>71.429396444343794</v>
      </c>
      <c r="E73" s="7">
        <f>(E21/'Income statement'!E10)*365</f>
        <v>62.447377906913239</v>
      </c>
      <c r="F73" s="444">
        <f>(F21/'Income statement'!F10)*365</f>
        <v>74.232839309190197</v>
      </c>
      <c r="G73" s="6">
        <f>AVERAGE(B73:F73)</f>
        <v>67.158443419275486</v>
      </c>
      <c r="H73" s="6">
        <v>67.158443419275486</v>
      </c>
      <c r="I73" s="6">
        <v>67.158443419275486</v>
      </c>
      <c r="J73" s="6">
        <v>67.158443419275486</v>
      </c>
      <c r="K73" s="6">
        <v>67.158443419275486</v>
      </c>
    </row>
    <row r="74" spans="1:14">
      <c r="A74" s="8" t="s">
        <v>14</v>
      </c>
      <c r="B74" s="18">
        <f>B22/'Income statement'!B11</f>
        <v>0.1418210389531897</v>
      </c>
      <c r="C74" s="18">
        <f>C22/'Income statement'!C11</f>
        <v>0.14914668774333303</v>
      </c>
      <c r="D74" s="18">
        <f>D22/'Income statement'!D11</f>
        <v>0.13509223274399257</v>
      </c>
      <c r="E74" s="18">
        <f>E22/'Income statement'!E11</f>
        <v>0.16138960015757337</v>
      </c>
      <c r="F74" s="423">
        <f>F22/'Income statement'!F11</f>
        <v>0.17203538148621164</v>
      </c>
      <c r="G74" s="18">
        <v>0.16</v>
      </c>
      <c r="H74" s="18">
        <v>0.155</v>
      </c>
      <c r="I74" s="18">
        <v>0.155</v>
      </c>
      <c r="J74" s="18">
        <v>0.15</v>
      </c>
      <c r="K74" s="18">
        <v>0.15</v>
      </c>
      <c r="N74" t="s">
        <v>419</v>
      </c>
    </row>
    <row r="75" spans="1:14">
      <c r="A75" s="8" t="s">
        <v>32</v>
      </c>
      <c r="B75" s="18">
        <f>B23/'Income statement'!B17</f>
        <v>0.54416761041902606</v>
      </c>
      <c r="C75" s="18">
        <f>C23/'Income statement'!C17</f>
        <v>0.3860103626943005</v>
      </c>
      <c r="D75" s="18">
        <f>D23/'Income statement'!D17</f>
        <v>0.84264392324093818</v>
      </c>
      <c r="E75" s="18">
        <f>E23/'Income statement'!E17</f>
        <v>0.43779310344827582</v>
      </c>
      <c r="F75" s="423">
        <f>F23/'Income statement'!F17</f>
        <v>0.2890962895515593</v>
      </c>
      <c r="G75" s="19">
        <f>AVERAGE(B75,C75,E75,F75)</f>
        <v>0.41426684152829041</v>
      </c>
      <c r="H75" s="19">
        <v>0.41426684152829041</v>
      </c>
      <c r="I75" s="19">
        <v>0.41426684152829041</v>
      </c>
      <c r="J75" s="19">
        <v>0.41426684152829041</v>
      </c>
      <c r="K75" s="19">
        <v>0.41426684152829041</v>
      </c>
      <c r="N75" t="s">
        <v>478</v>
      </c>
    </row>
    <row r="76" spans="1:14">
      <c r="A76" s="8" t="s">
        <v>15</v>
      </c>
      <c r="B76" s="18">
        <f>B24/'Income statement'!B7</f>
        <v>0.10083738540338771</v>
      </c>
      <c r="C76" s="18">
        <f>C24/'Income statement'!C7</f>
        <v>8.9860285397899975E-2</v>
      </c>
      <c r="D76" s="18">
        <f>D24/'Income statement'!D7</f>
        <v>9.0634206853775781E-2</v>
      </c>
      <c r="E76" s="18">
        <f>E24/'Income statement'!E7</f>
        <v>8.7133327241158728E-2</v>
      </c>
      <c r="F76" s="423">
        <f>F24/'Income statement'!F7</f>
        <v>9.6096916411500893E-2</v>
      </c>
      <c r="G76" s="18">
        <f>AVERAGE(B76:F76)</f>
        <v>9.2912424261544627E-2</v>
      </c>
      <c r="H76" s="18">
        <v>9.1490922929479829E-2</v>
      </c>
      <c r="I76" s="18">
        <v>9.1490922929479829E-2</v>
      </c>
      <c r="J76" s="18">
        <v>9.1490922929479829E-2</v>
      </c>
      <c r="K76" s="18">
        <v>9.1490922929479829E-2</v>
      </c>
      <c r="N76" t="s">
        <v>420</v>
      </c>
    </row>
    <row r="77" spans="1:14">
      <c r="A77" s="9" t="s">
        <v>16</v>
      </c>
      <c r="B77" s="10"/>
      <c r="C77" s="10"/>
      <c r="D77" s="10"/>
      <c r="E77" s="10"/>
      <c r="F77" s="445"/>
    </row>
    <row r="78" spans="1:14">
      <c r="A78" s="8" t="s">
        <v>17</v>
      </c>
      <c r="B78" s="7"/>
      <c r="C78" s="7"/>
      <c r="D78" s="7"/>
      <c r="E78" s="7"/>
      <c r="F78" s="444"/>
    </row>
    <row r="79" spans="1:14">
      <c r="A79" s="8" t="s">
        <v>33</v>
      </c>
      <c r="B79" s="7"/>
      <c r="C79" s="2"/>
      <c r="D79" s="2"/>
      <c r="E79" s="2"/>
      <c r="F79" s="340"/>
      <c r="N79" t="s">
        <v>421</v>
      </c>
    </row>
    <row r="80" spans="1:14">
      <c r="A80" s="8" t="s">
        <v>18</v>
      </c>
      <c r="B80" s="18">
        <f>B28/'Income statement'!B17</f>
        <v>2.7400906002265004</v>
      </c>
      <c r="C80" s="18">
        <f>C28/'Income statement'!C17</f>
        <v>2.3019985196151</v>
      </c>
      <c r="D80" s="18">
        <f>D28/'Income statement'!D17</f>
        <v>2.1560767590618339</v>
      </c>
      <c r="E80" s="18">
        <f>E28/'Income statement'!E17</f>
        <v>1.1536551724137931</v>
      </c>
      <c r="F80" s="423">
        <f>F28/'Income statement'!F17</f>
        <v>0.63737764625540627</v>
      </c>
      <c r="G80" s="19">
        <f>AVERAGE(B80:F80)</f>
        <v>1.7978397395145265</v>
      </c>
      <c r="H80" s="19">
        <f t="shared" ref="H80:K80" si="20">AVERAGE(C80:G80)</f>
        <v>1.6093895673721321</v>
      </c>
      <c r="I80" s="19">
        <f t="shared" si="20"/>
        <v>1.4708677769235383</v>
      </c>
      <c r="J80" s="19">
        <f t="shared" si="20"/>
        <v>1.3338259804958794</v>
      </c>
      <c r="K80" s="19">
        <f t="shared" si="20"/>
        <v>1.3698601421122965</v>
      </c>
      <c r="N80" t="s">
        <v>422</v>
      </c>
    </row>
    <row r="81" spans="1:14">
      <c r="A81" s="8" t="s">
        <v>19</v>
      </c>
      <c r="B81" s="2"/>
      <c r="C81" s="2"/>
      <c r="D81" s="2"/>
      <c r="E81" s="2"/>
      <c r="F81" s="340"/>
      <c r="N81" t="s">
        <v>423</v>
      </c>
    </row>
    <row r="82" spans="1:14">
      <c r="A82" s="8" t="s">
        <v>20</v>
      </c>
      <c r="B82" s="18">
        <f>B30/'Income statement'!B7</f>
        <v>2.6496424594178079E-2</v>
      </c>
      <c r="C82" s="18">
        <f>C30/'Income statement'!C7</f>
        <v>1.995586306555356E-2</v>
      </c>
      <c r="D82" s="18">
        <f>D30/'Income statement'!D7</f>
        <v>2.863727991654802E-2</v>
      </c>
      <c r="E82" s="18">
        <f>E30/'Income statement'!E7</f>
        <v>2.4921345674338454E-2</v>
      </c>
      <c r="F82" s="423">
        <f>F30/'Income statement'!F7</f>
        <v>2.3263496258274362E-2</v>
      </c>
      <c r="G82" s="19">
        <f>AVERAGE(B82:F82)</f>
        <v>2.4654881901778496E-2</v>
      </c>
      <c r="H82" s="19">
        <v>2.4652394279149056E-2</v>
      </c>
      <c r="I82" s="19">
        <v>2.4652394279149056E-2</v>
      </c>
      <c r="J82" s="19">
        <v>2.4652394279149056E-2</v>
      </c>
      <c r="K82" s="19">
        <v>2.4652394279149056E-2</v>
      </c>
      <c r="N82" t="s">
        <v>424</v>
      </c>
    </row>
    <row r="83" spans="1:14">
      <c r="A83" s="9" t="s">
        <v>21</v>
      </c>
      <c r="B83" s="10"/>
      <c r="C83" s="10"/>
      <c r="D83" s="10"/>
      <c r="E83" s="10"/>
      <c r="F83" s="445"/>
    </row>
    <row r="84" spans="1:14">
      <c r="A84" s="8"/>
      <c r="B84" s="2"/>
      <c r="C84" s="2"/>
      <c r="D84" s="2"/>
      <c r="E84" s="2"/>
      <c r="F84" s="340"/>
    </row>
    <row r="85" spans="1:14">
      <c r="A85" s="9" t="s">
        <v>34</v>
      </c>
      <c r="B85" s="2"/>
      <c r="C85" s="2"/>
      <c r="D85" s="2"/>
      <c r="E85" s="2"/>
      <c r="F85" s="340"/>
    </row>
    <row r="86" spans="1:14">
      <c r="A86" s="8" t="s">
        <v>22</v>
      </c>
      <c r="B86" s="2"/>
      <c r="C86" s="36">
        <f>C34-B34</f>
        <v>1.5</v>
      </c>
      <c r="D86" s="36">
        <f t="shared" ref="D86:F86" si="21">D34-C34</f>
        <v>0.59999999999996589</v>
      </c>
      <c r="E86" s="36">
        <f t="shared" si="21"/>
        <v>1</v>
      </c>
      <c r="F86" s="422">
        <f t="shared" si="21"/>
        <v>2.1000000000000227</v>
      </c>
      <c r="G86" s="33">
        <v>2</v>
      </c>
      <c r="H86" s="33">
        <v>1.5</v>
      </c>
      <c r="I86" s="33">
        <v>1</v>
      </c>
      <c r="J86" s="33">
        <v>1</v>
      </c>
      <c r="K86" s="33">
        <v>1</v>
      </c>
      <c r="N86" t="s">
        <v>425</v>
      </c>
    </row>
    <row r="87" spans="1:14">
      <c r="A87" s="8" t="s">
        <v>23</v>
      </c>
      <c r="B87" s="438"/>
      <c r="C87" s="438"/>
      <c r="D87" s="438"/>
      <c r="E87" s="438"/>
      <c r="F87" s="427"/>
      <c r="G87" s="438"/>
      <c r="H87" s="438"/>
      <c r="I87" s="438"/>
      <c r="J87" s="438"/>
      <c r="K87" s="438"/>
      <c r="N87" t="s">
        <v>464</v>
      </c>
    </row>
    <row r="88" spans="1:14">
      <c r="A88" s="2" t="s">
        <v>465</v>
      </c>
      <c r="B88" s="7">
        <v>229.6</v>
      </c>
      <c r="C88" s="7">
        <v>229.6</v>
      </c>
      <c r="D88" s="7">
        <v>115.6</v>
      </c>
      <c r="E88" s="7">
        <v>191</v>
      </c>
      <c r="F88" s="444">
        <v>392.9</v>
      </c>
      <c r="G88" s="7">
        <f>G89*'Income statement'!G7</f>
        <v>328.38969000000003</v>
      </c>
      <c r="H88" s="7">
        <f>H89*'Income statement'!H7</f>
        <v>342.55688995000003</v>
      </c>
      <c r="I88" s="7">
        <f>I89*'Income statement'!I7</f>
        <v>356.61466670450005</v>
      </c>
      <c r="J88" s="7">
        <f>J89*'Income statement'!J7</f>
        <v>371.2837076013526</v>
      </c>
      <c r="K88" s="7">
        <f>K89*'Income statement'!K7</f>
        <v>386.59165811559552</v>
      </c>
      <c r="N88" t="s">
        <v>467</v>
      </c>
    </row>
    <row r="89" spans="1:14">
      <c r="A89" s="2" t="s">
        <v>466</v>
      </c>
      <c r="B89" s="18">
        <f>B88/'Income statement'!B7</f>
        <v>1.9473684656924735E-2</v>
      </c>
      <c r="C89" s="18">
        <f>C88/'Income statement'!C7</f>
        <v>1.8031744037194399E-2</v>
      </c>
      <c r="D89" s="18">
        <f>D88/'Income statement'!D7</f>
        <v>8.1478453319048742E-3</v>
      </c>
      <c r="E89" s="18">
        <f>E88/'Income statement'!E7</f>
        <v>1.2467200167099646E-2</v>
      </c>
      <c r="F89" s="423">
        <f>F88/'Income statement'!F7</f>
        <v>2.4959660513042044E-2</v>
      </c>
      <c r="G89" s="438">
        <v>0.02</v>
      </c>
      <c r="H89" s="438">
        <v>0.02</v>
      </c>
      <c r="I89" s="438">
        <v>0.02</v>
      </c>
      <c r="J89" s="438">
        <v>0.02</v>
      </c>
      <c r="K89" s="438">
        <v>0.02</v>
      </c>
      <c r="N89" t="s">
        <v>468</v>
      </c>
    </row>
    <row r="90" spans="1:14">
      <c r="A90" s="2" t="s">
        <v>485</v>
      </c>
      <c r="B90" s="18"/>
      <c r="C90" s="18"/>
      <c r="D90" s="18"/>
      <c r="E90" s="18"/>
      <c r="F90" s="449">
        <f>F88/Schedules!B20</f>
        <v>1.9165853658536585</v>
      </c>
      <c r="G90" s="449">
        <f>G88/Schedules!C20</f>
        <v>1.4574487391067574</v>
      </c>
      <c r="H90" s="449">
        <f>H88/Schedules!D20</f>
        <v>1.3832291045137575</v>
      </c>
      <c r="I90" s="449">
        <f>I88/Schedules!E20</f>
        <v>1.3101416346398231</v>
      </c>
      <c r="J90" s="449">
        <f>J88/Schedules!F20</f>
        <v>1.2410308455551424</v>
      </c>
      <c r="K90" s="449">
        <f>K88/Schedules!G20</f>
        <v>1.1756736874460663</v>
      </c>
    </row>
    <row r="91" spans="1:14">
      <c r="A91" s="8" t="s">
        <v>24</v>
      </c>
      <c r="B91" s="7"/>
      <c r="C91" s="7"/>
      <c r="D91" s="7"/>
      <c r="E91" s="7"/>
      <c r="F91" s="444"/>
      <c r="N91" t="s">
        <v>426</v>
      </c>
    </row>
    <row r="92" spans="1:14">
      <c r="A92" s="8" t="s">
        <v>35</v>
      </c>
      <c r="B92" s="7"/>
      <c r="C92" s="7"/>
      <c r="D92" s="7"/>
      <c r="E92" s="7"/>
      <c r="F92" s="444"/>
      <c r="N92" t="s">
        <v>427</v>
      </c>
    </row>
    <row r="93" spans="1:14">
      <c r="A93" s="8" t="s">
        <v>25</v>
      </c>
      <c r="B93" s="7"/>
      <c r="C93" s="7"/>
      <c r="D93" s="7"/>
      <c r="E93" s="7"/>
      <c r="F93" s="444"/>
      <c r="N93" t="s">
        <v>428</v>
      </c>
    </row>
    <row r="94" spans="1:14">
      <c r="A94" s="9" t="s">
        <v>26</v>
      </c>
      <c r="B94" s="10"/>
      <c r="C94" s="10"/>
      <c r="D94" s="10"/>
      <c r="E94" s="10"/>
      <c r="F94" s="445"/>
    </row>
    <row r="95" spans="1:14">
      <c r="A95" s="8" t="s">
        <v>36</v>
      </c>
      <c r="B95" s="2"/>
      <c r="C95" s="2"/>
      <c r="D95" s="2"/>
      <c r="E95" s="2"/>
      <c r="F95" s="340"/>
      <c r="N95" t="s">
        <v>429</v>
      </c>
    </row>
    <row r="96" spans="1:14">
      <c r="A96" s="9" t="s">
        <v>27</v>
      </c>
      <c r="B96" s="10"/>
      <c r="C96" s="10"/>
      <c r="D96" s="10"/>
      <c r="E96" s="10"/>
      <c r="F96" s="445"/>
    </row>
    <row r="97" spans="1:13">
      <c r="A97" s="9" t="s">
        <v>28</v>
      </c>
      <c r="B97" s="10"/>
      <c r="C97" s="10"/>
      <c r="D97" s="10"/>
      <c r="E97" s="10"/>
      <c r="F97" s="445"/>
    </row>
    <row r="98" spans="1:13">
      <c r="F98" s="346"/>
    </row>
    <row r="99" spans="1:13">
      <c r="A99" s="9" t="s">
        <v>479</v>
      </c>
      <c r="B99" s="3">
        <v>2020</v>
      </c>
      <c r="C99" s="3">
        <v>2021</v>
      </c>
      <c r="D99" s="3">
        <v>2022</v>
      </c>
      <c r="E99" s="3">
        <v>2023</v>
      </c>
      <c r="F99" s="447">
        <v>2024</v>
      </c>
      <c r="G99" s="3">
        <v>2025</v>
      </c>
      <c r="H99" s="3">
        <v>2026</v>
      </c>
      <c r="I99" s="3">
        <v>2027</v>
      </c>
      <c r="J99" s="3">
        <v>2028</v>
      </c>
      <c r="K99" s="3">
        <v>2029</v>
      </c>
    </row>
    <row r="100" spans="1:13">
      <c r="A100" t="s">
        <v>144</v>
      </c>
      <c r="B100" s="6">
        <f>B11</f>
        <v>3124.9</v>
      </c>
      <c r="C100" s="6">
        <f>C11</f>
        <v>3288.5</v>
      </c>
      <c r="D100" s="6">
        <f>D11</f>
        <v>3293.4</v>
      </c>
      <c r="E100" s="6">
        <f>E11</f>
        <v>3474.6</v>
      </c>
      <c r="F100" s="376">
        <f>F11</f>
        <v>3752.4</v>
      </c>
      <c r="G100" s="6">
        <f>F100+G104-G101</f>
        <v>4032.4770338119229</v>
      </c>
      <c r="H100" s="6">
        <f t="shared" ref="H100:K100" si="22">G100+H104-H101</f>
        <v>4302.4279929029135</v>
      </c>
      <c r="I100" s="6">
        <f t="shared" si="22"/>
        <v>4563.8273405090858</v>
      </c>
      <c r="J100" s="6">
        <f t="shared" si="22"/>
        <v>4820.1157534926633</v>
      </c>
      <c r="K100" s="6">
        <f t="shared" si="22"/>
        <v>5074.170327217882</v>
      </c>
    </row>
    <row r="101" spans="1:13">
      <c r="A101" t="s">
        <v>146</v>
      </c>
      <c r="B101">
        <v>594</v>
      </c>
      <c r="C101">
        <v>604</v>
      </c>
      <c r="D101">
        <v>619</v>
      </c>
      <c r="E101">
        <v>617</v>
      </c>
      <c r="F101" s="346">
        <v>635</v>
      </c>
      <c r="G101">
        <f>G102*F100</f>
        <v>705.09203618807771</v>
      </c>
      <c r="H101">
        <f t="shared" ref="H101:K101" si="23">H102*G100</f>
        <v>757.7197107590099</v>
      </c>
      <c r="I101">
        <f t="shared" si="23"/>
        <v>808.44465250732856</v>
      </c>
      <c r="J101">
        <f t="shared" si="23"/>
        <v>857.56270982048045</v>
      </c>
      <c r="K101">
        <f t="shared" si="23"/>
        <v>905.72040062156827</v>
      </c>
      <c r="M101" t="s">
        <v>481</v>
      </c>
    </row>
    <row r="102" spans="1:13">
      <c r="A102" t="s">
        <v>147</v>
      </c>
      <c r="B102" s="16"/>
      <c r="C102" s="19">
        <f>C101/B100</f>
        <v>0.19328618515792506</v>
      </c>
      <c r="D102" s="19">
        <f t="shared" ref="D102:F102" si="24">D101/C100</f>
        <v>0.18823171658811008</v>
      </c>
      <c r="E102" s="19">
        <f t="shared" si="24"/>
        <v>0.18734438574117931</v>
      </c>
      <c r="F102" s="394">
        <f t="shared" si="24"/>
        <v>0.18275484947907672</v>
      </c>
      <c r="G102" s="19">
        <f>AVERAGE(C102:F102)</f>
        <v>0.18790428424157279</v>
      </c>
      <c r="H102" s="19">
        <v>0.18790428424157279</v>
      </c>
      <c r="I102" s="19">
        <v>0.18790428424157279</v>
      </c>
      <c r="J102" s="19">
        <v>0.18790428424157279</v>
      </c>
      <c r="K102" s="19">
        <v>0.18790428424157279</v>
      </c>
    </row>
    <row r="103" spans="1:13">
      <c r="A103" t="s">
        <v>148</v>
      </c>
      <c r="C103" s="19">
        <f>(C100-B100+C101)/'Income statement'!C7</f>
        <v>6.0283827190550615E-2</v>
      </c>
      <c r="D103" s="19">
        <f>(D100-C100+D101)/'Income statement'!D7</f>
        <v>4.3974400541310139E-2</v>
      </c>
      <c r="E103" s="19">
        <f>(E100-D100+E101)/'Income statement'!E7</f>
        <v>5.2101147504601757E-2</v>
      </c>
      <c r="F103" s="394">
        <f>(F100-E100+F101)/'Income statement'!F7</f>
        <v>5.79872184176757E-2</v>
      </c>
      <c r="G103" s="19">
        <v>0.06</v>
      </c>
      <c r="H103" s="19">
        <v>0.06</v>
      </c>
      <c r="I103" s="19">
        <v>0.06</v>
      </c>
      <c r="J103" s="19">
        <v>0.06</v>
      </c>
      <c r="K103" s="19">
        <v>0.06</v>
      </c>
    </row>
    <row r="104" spans="1:13">
      <c r="A104" t="s">
        <v>145</v>
      </c>
      <c r="F104" s="346"/>
      <c r="G104">
        <f>G103*'Income statement'!G7</f>
        <v>985.16907000000015</v>
      </c>
      <c r="H104">
        <f>H103*'Income statement'!H7</f>
        <v>1027.6706698500002</v>
      </c>
      <c r="I104">
        <f>I103*'Income statement'!I7</f>
        <v>1069.8440001135002</v>
      </c>
      <c r="J104">
        <f>J103*'Income statement'!J7</f>
        <v>1113.8511228040577</v>
      </c>
      <c r="K104">
        <f>K103*'Income statement'!K7</f>
        <v>1159.7749743467864</v>
      </c>
      <c r="M104" t="s">
        <v>480</v>
      </c>
    </row>
  </sheetData>
  <pageMargins left="0.7" right="0.7" top="0.75" bottom="0.75" header="0.3" footer="0.3"/>
  <ignoredErrors>
    <ignoredError sqref="G14 H14:K14" formula="1"/>
  </ignoredErrors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9899-A73F-4826-BA6B-2654E97EBE11}">
  <dimension ref="A3:N86"/>
  <sheetViews>
    <sheetView zoomScale="39" workbookViewId="0">
      <selection activeCell="O21" sqref="O21"/>
    </sheetView>
  </sheetViews>
  <sheetFormatPr defaultRowHeight="14.4"/>
  <cols>
    <col min="1" max="1" width="20.33203125" customWidth="1"/>
    <col min="2" max="2" width="8.21875" customWidth="1"/>
    <col min="3" max="6" width="12.33203125" bestFit="1" customWidth="1"/>
    <col min="7" max="7" width="12.6640625" bestFit="1" customWidth="1"/>
    <col min="8" max="8" width="13.21875" bestFit="1" customWidth="1"/>
    <col min="9" max="9" width="12.44140625" bestFit="1" customWidth="1"/>
    <col min="10" max="10" width="12.109375" bestFit="1" customWidth="1"/>
    <col min="11" max="11" width="13.21875" bestFit="1" customWidth="1"/>
  </cols>
  <sheetData>
    <row r="3" spans="1:14">
      <c r="A3" s="11" t="s">
        <v>24</v>
      </c>
    </row>
    <row r="4" spans="1:14">
      <c r="A4" s="355" t="s">
        <v>153</v>
      </c>
      <c r="B4" s="355">
        <v>2020</v>
      </c>
      <c r="C4" s="355">
        <v>2021</v>
      </c>
      <c r="D4" s="355">
        <v>2022</v>
      </c>
      <c r="E4" s="355">
        <v>2023</v>
      </c>
      <c r="F4" s="355">
        <v>2024</v>
      </c>
      <c r="G4" s="355">
        <v>2025</v>
      </c>
      <c r="H4" s="355">
        <v>2026</v>
      </c>
      <c r="I4" s="355">
        <v>2027</v>
      </c>
      <c r="J4" s="355">
        <v>2028</v>
      </c>
      <c r="K4" s="355">
        <v>2029</v>
      </c>
    </row>
    <row r="5" spans="1:14">
      <c r="A5" s="1" t="s">
        <v>157</v>
      </c>
      <c r="B5" s="1"/>
      <c r="C5" s="37">
        <f>B8</f>
        <v>8243</v>
      </c>
      <c r="D5" s="37">
        <f t="shared" ref="D5:K5" si="0">C8</f>
        <v>8813.9</v>
      </c>
      <c r="E5" s="37">
        <f t="shared" si="0"/>
        <v>9329.6</v>
      </c>
      <c r="F5" s="37">
        <f t="shared" si="0"/>
        <v>10085.900000000001</v>
      </c>
      <c r="G5" s="37">
        <f>+'Balance sheet'!F36</f>
        <v>11532</v>
      </c>
      <c r="H5" s="37">
        <f t="shared" si="0"/>
        <v>12773.23934189451</v>
      </c>
      <c r="I5" s="37">
        <f t="shared" si="0"/>
        <v>14113.166679237807</v>
      </c>
      <c r="J5" s="37">
        <f t="shared" si="0"/>
        <v>15525.484602995193</v>
      </c>
      <c r="K5" s="37">
        <f t="shared" si="0"/>
        <v>17016.917078614963</v>
      </c>
    </row>
    <row r="6" spans="1:14" ht="28.8">
      <c r="A6" s="1" t="s">
        <v>154</v>
      </c>
      <c r="B6" s="37">
        <f>'Income statement'!B20</f>
        <v>967.47000000000048</v>
      </c>
      <c r="C6" s="37">
        <f>'Income statement'!C20</f>
        <v>1129.8999999999996</v>
      </c>
      <c r="D6" s="37">
        <f>'Income statement'!D20</f>
        <v>1091.700000000001</v>
      </c>
      <c r="E6" s="37">
        <f>'Income statement'!E20</f>
        <v>1372.3000000000011</v>
      </c>
      <c r="F6" s="37">
        <f>'Income statement'!F20</f>
        <v>2112.3999999999974</v>
      </c>
      <c r="G6" s="38">
        <f>'Income statement'!G20</f>
        <v>1931.3393418945111</v>
      </c>
      <c r="H6" s="38">
        <f>'Income statement'!H20</f>
        <v>2043.829337343298</v>
      </c>
      <c r="I6" s="38">
        <f>'Income statement'!I20</f>
        <v>2137.3369837573864</v>
      </c>
      <c r="J6" s="38">
        <f>'Income statement'!J20</f>
        <v>2230.9519168197717</v>
      </c>
      <c r="K6" s="38">
        <f>'Income statement'!K20</f>
        <v>2331.1880048135076</v>
      </c>
    </row>
    <row r="7" spans="1:14">
      <c r="A7" s="1" t="s">
        <v>155</v>
      </c>
      <c r="B7" s="37">
        <v>549</v>
      </c>
      <c r="C7" s="37">
        <v>559</v>
      </c>
      <c r="D7" s="37">
        <v>576</v>
      </c>
      <c r="E7" s="37">
        <v>616</v>
      </c>
      <c r="F7" s="37">
        <v>670</v>
      </c>
      <c r="G7" s="38">
        <f>F7*(1+G11)</f>
        <v>690.1</v>
      </c>
      <c r="H7" s="38">
        <f t="shared" ref="H7:K7" si="1">G7*(1+H11)</f>
        <v>703.90200000000004</v>
      </c>
      <c r="I7" s="38">
        <f t="shared" si="1"/>
        <v>725.01906000000008</v>
      </c>
      <c r="J7" s="38">
        <f t="shared" si="1"/>
        <v>739.51944120000007</v>
      </c>
      <c r="K7" s="38">
        <f t="shared" si="1"/>
        <v>761.70502443600014</v>
      </c>
      <c r="N7" t="s">
        <v>432</v>
      </c>
    </row>
    <row r="8" spans="1:14">
      <c r="A8" s="1" t="s">
        <v>156</v>
      </c>
      <c r="B8" s="39">
        <v>8243</v>
      </c>
      <c r="C8" s="39">
        <f>C5+C6-C7</f>
        <v>8813.9</v>
      </c>
      <c r="D8" s="39">
        <f t="shared" ref="D8:F8" si="2">D5+D6-D7</f>
        <v>9329.6</v>
      </c>
      <c r="E8" s="39">
        <f t="shared" si="2"/>
        <v>10085.900000000001</v>
      </c>
      <c r="F8" s="39">
        <f t="shared" si="2"/>
        <v>11528.3</v>
      </c>
      <c r="G8" s="39">
        <f t="shared" ref="G8" si="3">G5+G6-G7</f>
        <v>12773.23934189451</v>
      </c>
      <c r="H8" s="39">
        <f t="shared" ref="H8" si="4">H5+H6-H7</f>
        <v>14113.166679237807</v>
      </c>
      <c r="I8" s="39">
        <f t="shared" ref="I8" si="5">I5+I6-I7</f>
        <v>15525.484602995193</v>
      </c>
      <c r="J8" s="39">
        <f t="shared" ref="J8" si="6">J5+J6-J7</f>
        <v>17016.917078614963</v>
      </c>
      <c r="K8" s="39">
        <f t="shared" ref="K8" si="7">K5+K6-K7</f>
        <v>18586.400058992469</v>
      </c>
    </row>
    <row r="9" spans="1:14">
      <c r="A9" s="2" t="s">
        <v>158</v>
      </c>
      <c r="B9" s="4"/>
      <c r="C9" s="14">
        <f>(C6-B6)/B6</f>
        <v>0.16789151084788062</v>
      </c>
      <c r="D9" s="14">
        <f t="shared" ref="D9:K9" si="8">(D6-C6)/C6</f>
        <v>-3.3808301619611202E-2</v>
      </c>
      <c r="E9" s="14">
        <f t="shared" si="8"/>
        <v>0.25703031968489504</v>
      </c>
      <c r="F9" s="14">
        <f t="shared" si="8"/>
        <v>0.53931356117466711</v>
      </c>
      <c r="G9" s="14">
        <f t="shared" si="8"/>
        <v>-8.5713244700571137E-2</v>
      </c>
      <c r="H9" s="14">
        <f t="shared" si="8"/>
        <v>5.8244552372884367E-2</v>
      </c>
      <c r="I9" s="14">
        <f t="shared" si="8"/>
        <v>4.5751200800178221E-2</v>
      </c>
      <c r="J9" s="14">
        <f t="shared" si="8"/>
        <v>4.3799800300003459E-2</v>
      </c>
      <c r="K9" s="14">
        <f t="shared" si="8"/>
        <v>4.4929739291119639E-2</v>
      </c>
    </row>
    <row r="10" spans="1:14">
      <c r="A10" s="2"/>
      <c r="B10" s="14"/>
      <c r="C10" s="14"/>
      <c r="D10" s="14"/>
      <c r="E10" s="14"/>
      <c r="F10" s="14"/>
      <c r="G10" s="16"/>
      <c r="H10" s="16"/>
      <c r="I10" s="16"/>
      <c r="J10" s="16"/>
      <c r="K10" s="16"/>
      <c r="N10" t="s">
        <v>433</v>
      </c>
    </row>
    <row r="11" spans="1:14">
      <c r="A11" s="2" t="s">
        <v>159</v>
      </c>
      <c r="C11" s="16">
        <f>(C7-B7)/B7</f>
        <v>1.8214936247723135E-2</v>
      </c>
      <c r="D11" s="16">
        <f t="shared" ref="D11:F11" si="9">(D7-C7)/C7</f>
        <v>3.041144901610018E-2</v>
      </c>
      <c r="E11" s="16">
        <f t="shared" si="9"/>
        <v>6.9444444444444448E-2</v>
      </c>
      <c r="F11" s="16">
        <f t="shared" si="9"/>
        <v>8.7662337662337664E-2</v>
      </c>
      <c r="G11" s="16">
        <v>0.03</v>
      </c>
      <c r="H11" s="16">
        <v>0.02</v>
      </c>
      <c r="I11" s="16">
        <v>0.03</v>
      </c>
      <c r="J11" s="16">
        <v>0.02</v>
      </c>
      <c r="K11" s="16">
        <v>0.03</v>
      </c>
    </row>
    <row r="14" spans="1:14">
      <c r="A14" s="11" t="s">
        <v>25</v>
      </c>
    </row>
    <row r="15" spans="1:14">
      <c r="A15" s="355" t="s">
        <v>153</v>
      </c>
      <c r="B15" s="360" t="s">
        <v>163</v>
      </c>
      <c r="C15" s="360" t="s">
        <v>164</v>
      </c>
      <c r="D15" s="360" t="s">
        <v>165</v>
      </c>
      <c r="E15" s="360" t="s">
        <v>166</v>
      </c>
      <c r="F15" s="360" t="s">
        <v>167</v>
      </c>
      <c r="G15" s="360" t="s">
        <v>168</v>
      </c>
    </row>
    <row r="16" spans="1:14">
      <c r="A16" s="1" t="s">
        <v>160</v>
      </c>
      <c r="B16" s="4" t="s">
        <v>169</v>
      </c>
      <c r="C16" s="4">
        <v>-8305</v>
      </c>
      <c r="D16" s="4">
        <f>C18</f>
        <v>-8805</v>
      </c>
      <c r="E16" s="4">
        <f t="shared" ref="E16:G16" si="10">D18</f>
        <v>-9305</v>
      </c>
      <c r="F16" s="4">
        <f t="shared" si="10"/>
        <v>-9805</v>
      </c>
      <c r="G16" s="4">
        <f t="shared" si="10"/>
        <v>-10305</v>
      </c>
    </row>
    <row r="17" spans="1:14">
      <c r="A17" s="1" t="s">
        <v>161</v>
      </c>
      <c r="B17" s="4">
        <v>189.5</v>
      </c>
      <c r="C17" s="4">
        <v>500</v>
      </c>
      <c r="D17" s="4">
        <v>500</v>
      </c>
      <c r="E17" s="4">
        <v>500</v>
      </c>
      <c r="F17" s="4">
        <v>500</v>
      </c>
      <c r="G17" s="4">
        <v>500</v>
      </c>
      <c r="L17" t="s">
        <v>469</v>
      </c>
      <c r="N17" t="s">
        <v>434</v>
      </c>
    </row>
    <row r="18" spans="1:14">
      <c r="A18" s="1" t="s">
        <v>162</v>
      </c>
      <c r="B18" s="4" t="s">
        <v>169</v>
      </c>
      <c r="C18" s="4">
        <f>C16-C17</f>
        <v>-8805</v>
      </c>
      <c r="D18" s="4">
        <f t="shared" ref="D18:G18" si="11">D16-D17</f>
        <v>-9305</v>
      </c>
      <c r="E18" s="4">
        <f t="shared" si="11"/>
        <v>-9805</v>
      </c>
      <c r="F18" s="4">
        <f t="shared" si="11"/>
        <v>-10305</v>
      </c>
      <c r="G18" s="4">
        <f t="shared" si="11"/>
        <v>-10805</v>
      </c>
    </row>
    <row r="19" spans="1:14">
      <c r="A19" s="4" t="s">
        <v>431</v>
      </c>
      <c r="B19" s="368">
        <f>B17/B20</f>
        <v>0.92439024390243907</v>
      </c>
      <c r="C19" s="368">
        <f>C17/C20</f>
        <v>2.219084190960376</v>
      </c>
      <c r="D19" s="368">
        <f t="shared" ref="D19:G19" si="12">D17/D20</f>
        <v>2.0189772050938095</v>
      </c>
      <c r="E19" s="368">
        <f t="shared" si="12"/>
        <v>1.8369149630705455</v>
      </c>
      <c r="F19" s="368">
        <f t="shared" si="12"/>
        <v>1.6712702714222483</v>
      </c>
      <c r="G19" s="368">
        <f t="shared" si="12"/>
        <v>1.5205626696354189</v>
      </c>
      <c r="H19" s="4"/>
      <c r="I19" s="4"/>
      <c r="J19" s="4"/>
      <c r="L19" t="s">
        <v>471</v>
      </c>
    </row>
    <row r="20" spans="1:14" ht="28.8">
      <c r="A20" s="4" t="s">
        <v>430</v>
      </c>
      <c r="B20" s="4">
        <v>205</v>
      </c>
      <c r="C20" s="4">
        <f>B20*(1+Ke!$D$38)</f>
        <v>225.31817496460548</v>
      </c>
      <c r="D20" s="4">
        <f>C20*(1+Ke!$D$38)</f>
        <v>247.65014619210032</v>
      </c>
      <c r="E20" s="4">
        <f>D20*(1+Ke!$D$38)</f>
        <v>272.19550716937454</v>
      </c>
      <c r="F20" s="4">
        <f>E20*(1+Ke!$D$38)</f>
        <v>299.17363370228611</v>
      </c>
      <c r="G20" s="4">
        <f>F20*(1+Ke!$D$38)</f>
        <v>328.82564460160239</v>
      </c>
      <c r="H20" s="4"/>
      <c r="I20" s="4"/>
      <c r="J20" s="4"/>
      <c r="L20" t="s">
        <v>472</v>
      </c>
    </row>
    <row r="21" spans="1:14">
      <c r="A21" s="4" t="s">
        <v>470</v>
      </c>
      <c r="B21" s="4">
        <v>282</v>
      </c>
      <c r="C21" s="368">
        <f>B21-C19+'Balance sheet'!G90</f>
        <v>281.23836454814642</v>
      </c>
      <c r="D21" s="368">
        <f>C21-D19+'Balance sheet'!H90</f>
        <v>280.60261644756639</v>
      </c>
      <c r="E21" s="368">
        <f>D21-E19+'Balance sheet'!I90</f>
        <v>280.07584311913564</v>
      </c>
      <c r="F21" s="368">
        <f>E21-F19+'Balance sheet'!J90</f>
        <v>279.64560369326853</v>
      </c>
      <c r="G21" s="368">
        <f>F21-G19+'Balance sheet'!K90</f>
        <v>279.30071471107919</v>
      </c>
      <c r="H21" s="4"/>
      <c r="I21" s="4"/>
      <c r="J21" s="4"/>
      <c r="L21" t="s">
        <v>473</v>
      </c>
    </row>
    <row r="22" spans="1:14">
      <c r="A22" s="4"/>
      <c r="B22" s="4"/>
      <c r="C22" s="4"/>
      <c r="D22" s="4"/>
      <c r="G22" s="4"/>
      <c r="H22" s="4"/>
      <c r="I22" s="4"/>
      <c r="J22" s="4"/>
    </row>
    <row r="23" spans="1:14">
      <c r="A23" t="s">
        <v>178</v>
      </c>
      <c r="B23" s="4"/>
      <c r="C23" s="4"/>
      <c r="D23" s="4"/>
      <c r="G23" s="4"/>
      <c r="H23" s="4"/>
      <c r="I23" s="4"/>
      <c r="J23" s="4"/>
    </row>
    <row r="24" spans="1:14">
      <c r="A24" s="359"/>
      <c r="B24" s="356" t="s">
        <v>170</v>
      </c>
      <c r="C24" s="356" t="s">
        <v>171</v>
      </c>
      <c r="D24" s="356" t="s">
        <v>172</v>
      </c>
      <c r="E24" s="356" t="s">
        <v>173</v>
      </c>
      <c r="F24" s="356" t="s">
        <v>163</v>
      </c>
      <c r="G24" s="356" t="s">
        <v>164</v>
      </c>
      <c r="H24" s="356" t="s">
        <v>165</v>
      </c>
      <c r="I24" s="356" t="s">
        <v>166</v>
      </c>
      <c r="J24" s="356" t="s">
        <v>167</v>
      </c>
      <c r="K24" s="356" t="s">
        <v>168</v>
      </c>
    </row>
    <row r="25" spans="1:14">
      <c r="A25" s="9" t="s">
        <v>174</v>
      </c>
      <c r="B25" s="2" t="s">
        <v>62</v>
      </c>
      <c r="C25" s="2">
        <v>424</v>
      </c>
      <c r="D25" s="2">
        <v>397</v>
      </c>
      <c r="E25" s="2">
        <v>448</v>
      </c>
      <c r="F25" s="2">
        <v>554</v>
      </c>
      <c r="G25" s="2">
        <f>F28</f>
        <v>723</v>
      </c>
      <c r="H25" s="30">
        <f t="shared" ref="H25:K25" si="13">G28</f>
        <v>933.75020549999999</v>
      </c>
      <c r="I25" s="30">
        <f t="shared" si="13"/>
        <v>1128.4542221825</v>
      </c>
      <c r="J25" s="30">
        <f t="shared" si="13"/>
        <v>1309.254564446225</v>
      </c>
      <c r="K25" s="30">
        <f t="shared" si="13"/>
        <v>1478.6784476450384</v>
      </c>
    </row>
    <row r="26" spans="1:14" ht="28.8">
      <c r="A26" s="9" t="s">
        <v>175</v>
      </c>
      <c r="B26" s="2" t="s">
        <v>62</v>
      </c>
      <c r="C26" s="2" t="s">
        <v>62</v>
      </c>
      <c r="D26" s="2" t="s">
        <v>62</v>
      </c>
      <c r="E26" s="2" t="s">
        <v>62</v>
      </c>
      <c r="F26" s="2">
        <v>336</v>
      </c>
      <c r="G26" s="41">
        <f>1.9%*'Income statement'!G7</f>
        <v>311.97020550000002</v>
      </c>
      <c r="H26" s="41">
        <f>1.9%*'Income statement'!H7</f>
        <v>325.42904545250002</v>
      </c>
      <c r="I26" s="41">
        <f>1.9%*'Income statement'!I7</f>
        <v>338.78393336927502</v>
      </c>
      <c r="J26" s="41">
        <f>1.9%*'Income statement'!J7</f>
        <v>352.71952222128493</v>
      </c>
      <c r="K26" s="41">
        <f>1.9%*'Income statement'!K7</f>
        <v>367.26207520981569</v>
      </c>
    </row>
    <row r="27" spans="1:14" ht="28.8">
      <c r="A27" s="9" t="s">
        <v>176</v>
      </c>
      <c r="B27" s="2" t="s">
        <v>62</v>
      </c>
      <c r="C27" s="2" t="s">
        <v>62</v>
      </c>
      <c r="D27" s="2" t="s">
        <v>62</v>
      </c>
      <c r="E27" s="2" t="s">
        <v>62</v>
      </c>
      <c r="F27" s="2">
        <v>-267</v>
      </c>
      <c r="G27" s="40">
        <f>-14%*G25</f>
        <v>-101.22000000000001</v>
      </c>
      <c r="H27" s="40">
        <f t="shared" ref="H27:K27" si="14">-14%*H25</f>
        <v>-130.72502877000002</v>
      </c>
      <c r="I27" s="40">
        <f t="shared" si="14"/>
        <v>-157.98359110555</v>
      </c>
      <c r="J27" s="40">
        <f t="shared" si="14"/>
        <v>-183.29563902247151</v>
      </c>
      <c r="K27" s="40">
        <f t="shared" si="14"/>
        <v>-207.01498267030539</v>
      </c>
    </row>
    <row r="28" spans="1:14">
      <c r="A28" s="9" t="s">
        <v>177</v>
      </c>
      <c r="B28" s="2">
        <v>424</v>
      </c>
      <c r="C28" s="2">
        <v>397</v>
      </c>
      <c r="D28" s="2">
        <v>448</v>
      </c>
      <c r="E28" s="2">
        <v>554</v>
      </c>
      <c r="F28" s="2">
        <v>723</v>
      </c>
      <c r="G28" s="41">
        <f>G25+G26+G27</f>
        <v>933.75020549999999</v>
      </c>
      <c r="H28" s="42">
        <f t="shared" ref="H28:K28" si="15">H25+H26+H27</f>
        <v>1128.4542221825</v>
      </c>
      <c r="I28" s="42">
        <f t="shared" si="15"/>
        <v>1309.254564446225</v>
      </c>
      <c r="J28" s="42">
        <f t="shared" si="15"/>
        <v>1478.6784476450384</v>
      </c>
      <c r="K28" s="42">
        <f t="shared" si="15"/>
        <v>1638.9255401845487</v>
      </c>
    </row>
    <row r="29" spans="1:14">
      <c r="F29" s="16">
        <f>(F28-E28)/E28</f>
        <v>0.30505415162454874</v>
      </c>
      <c r="G29" s="16">
        <f t="shared" ref="G29:K29" si="16">(G28-F28)/F28</f>
        <v>0.29149406016597507</v>
      </c>
      <c r="H29" s="16">
        <f t="shared" si="16"/>
        <v>0.20851831200212781</v>
      </c>
      <c r="I29" s="16">
        <f t="shared" si="16"/>
        <v>0.1602194743124325</v>
      </c>
      <c r="J29" s="16">
        <f t="shared" si="16"/>
        <v>0.12940484440508679</v>
      </c>
      <c r="K29" s="16">
        <f t="shared" si="16"/>
        <v>0.10837183215507183</v>
      </c>
    </row>
    <row r="31" spans="1:14">
      <c r="A31" s="9" t="s">
        <v>448</v>
      </c>
    </row>
    <row r="32" spans="1:14">
      <c r="A32" s="359"/>
      <c r="B32" s="356" t="s">
        <v>163</v>
      </c>
      <c r="C32" s="356" t="s">
        <v>164</v>
      </c>
      <c r="D32" s="356" t="s">
        <v>165</v>
      </c>
      <c r="E32" s="356" t="s">
        <v>166</v>
      </c>
      <c r="F32" s="356" t="s">
        <v>167</v>
      </c>
      <c r="G32" s="356" t="s">
        <v>168</v>
      </c>
    </row>
    <row r="33" spans="1:10">
      <c r="A33" s="9" t="s">
        <v>174</v>
      </c>
      <c r="B33" s="2"/>
      <c r="C33" s="30">
        <f>B37</f>
        <v>718</v>
      </c>
      <c r="D33" s="30">
        <f t="shared" ref="D33:G33" si="17">C37</f>
        <v>888.97020550000002</v>
      </c>
      <c r="E33" s="30">
        <f t="shared" si="17"/>
        <v>1066.3992509525001</v>
      </c>
      <c r="F33" s="30">
        <f t="shared" si="17"/>
        <v>1227.1831843217751</v>
      </c>
      <c r="G33" s="30">
        <f t="shared" si="17"/>
        <v>1395.90270654306</v>
      </c>
    </row>
    <row r="34" spans="1:10">
      <c r="A34" s="9" t="s">
        <v>179</v>
      </c>
      <c r="B34" s="2"/>
      <c r="C34" s="42">
        <f>4.8%*F17</f>
        <v>24</v>
      </c>
      <c r="D34" s="42">
        <f>4.8%*G17</f>
        <v>24</v>
      </c>
      <c r="E34" s="42">
        <f>4.8%*H17</f>
        <v>0</v>
      </c>
      <c r="F34" s="42">
        <f>4.8%*I17</f>
        <v>0</v>
      </c>
      <c r="G34" s="42">
        <f>4.8%*J17</f>
        <v>0</v>
      </c>
    </row>
    <row r="35" spans="1:10" ht="28.8">
      <c r="A35" s="9" t="s">
        <v>180</v>
      </c>
      <c r="B35" s="2"/>
      <c r="C35" s="42">
        <f>1.9%*'Income statement'!G7</f>
        <v>311.97020550000002</v>
      </c>
      <c r="D35" s="42">
        <f>1.9%*'Income statement'!H7</f>
        <v>325.42904545250002</v>
      </c>
      <c r="E35" s="42">
        <f>1.9%*'Income statement'!I7</f>
        <v>338.78393336927502</v>
      </c>
      <c r="F35" s="42">
        <f>1.9%*'Income statement'!J7</f>
        <v>352.71952222128493</v>
      </c>
      <c r="G35" s="42">
        <f>1.9%*'Income statement'!K7</f>
        <v>367.26207520981569</v>
      </c>
    </row>
    <row r="36" spans="1:10">
      <c r="A36" s="9" t="s">
        <v>181</v>
      </c>
      <c r="B36" s="2">
        <v>-208</v>
      </c>
      <c r="C36" s="30">
        <v>-165</v>
      </c>
      <c r="D36" s="30">
        <v>-172</v>
      </c>
      <c r="E36" s="30">
        <v>-178</v>
      </c>
      <c r="F36" s="30">
        <v>-184</v>
      </c>
      <c r="G36" s="30">
        <v>-190</v>
      </c>
    </row>
    <row r="37" spans="1:10">
      <c r="A37" s="9" t="s">
        <v>177</v>
      </c>
      <c r="B37" s="2">
        <v>718</v>
      </c>
      <c r="C37" s="42">
        <f>C33+C34+C35+C36</f>
        <v>888.97020550000002</v>
      </c>
      <c r="D37" s="42">
        <f t="shared" ref="D37:G37" si="18">D33+D34+D35+D36</f>
        <v>1066.3992509525001</v>
      </c>
      <c r="E37" s="42">
        <f t="shared" si="18"/>
        <v>1227.1831843217751</v>
      </c>
      <c r="F37" s="42">
        <f t="shared" si="18"/>
        <v>1395.90270654306</v>
      </c>
      <c r="G37" s="42">
        <f t="shared" si="18"/>
        <v>1573.1647817528758</v>
      </c>
    </row>
    <row r="38" spans="1:10" ht="28.8">
      <c r="A38" s="8" t="s">
        <v>182</v>
      </c>
      <c r="B38" s="2">
        <v>143</v>
      </c>
      <c r="C38" s="42">
        <f>20%*C37</f>
        <v>177.79404110000002</v>
      </c>
      <c r="D38" s="42">
        <f t="shared" ref="D38:G38" si="19">20%*D37</f>
        <v>213.27985019050004</v>
      </c>
      <c r="E38" s="42">
        <f t="shared" si="19"/>
        <v>245.43663686435502</v>
      </c>
      <c r="F38" s="42">
        <f t="shared" si="19"/>
        <v>279.18054130861202</v>
      </c>
      <c r="G38" s="42">
        <f t="shared" si="19"/>
        <v>314.63295635057517</v>
      </c>
    </row>
    <row r="39" spans="1:10">
      <c r="A39" s="8" t="s">
        <v>183</v>
      </c>
      <c r="B39" s="2">
        <v>575</v>
      </c>
      <c r="C39" s="42">
        <f>C37-C38</f>
        <v>711.17616440000006</v>
      </c>
      <c r="D39" s="42">
        <f t="shared" ref="D39:G39" si="20">D37-D38</f>
        <v>853.11940076200005</v>
      </c>
      <c r="E39" s="42">
        <f t="shared" si="20"/>
        <v>981.74654745742009</v>
      </c>
      <c r="F39" s="42">
        <f t="shared" si="20"/>
        <v>1116.7221652344481</v>
      </c>
      <c r="G39" s="42">
        <f t="shared" si="20"/>
        <v>1258.5318254023007</v>
      </c>
    </row>
    <row r="40" spans="1:10">
      <c r="C40" s="16">
        <f>(C39-B39)/B39</f>
        <v>0.23682811200000012</v>
      </c>
      <c r="D40" s="16">
        <f t="shared" ref="D40:G40" si="21">(D39-C39)/C39</f>
        <v>0.19958941745714107</v>
      </c>
      <c r="E40" s="16">
        <f t="shared" si="21"/>
        <v>0.15077273659528925</v>
      </c>
      <c r="F40" s="16">
        <f t="shared" si="21"/>
        <v>0.13748519730127404</v>
      </c>
      <c r="G40" s="16">
        <f t="shared" si="21"/>
        <v>0.12698741422230178</v>
      </c>
    </row>
    <row r="43" spans="1:10">
      <c r="A43" t="s">
        <v>193</v>
      </c>
    </row>
    <row r="44" spans="1:10">
      <c r="A44" s="361"/>
      <c r="B44" s="362" t="s">
        <v>163</v>
      </c>
      <c r="C44" s="362" t="s">
        <v>164</v>
      </c>
      <c r="D44" s="362" t="s">
        <v>165</v>
      </c>
      <c r="E44" s="362" t="s">
        <v>166</v>
      </c>
      <c r="F44" s="362" t="s">
        <v>167</v>
      </c>
      <c r="G44" s="363" t="s">
        <v>168</v>
      </c>
    </row>
    <row r="45" spans="1:10">
      <c r="A45" s="339" t="s">
        <v>184</v>
      </c>
      <c r="B45" s="2">
        <v>6949</v>
      </c>
      <c r="C45" s="2">
        <f>B48</f>
        <v>6949</v>
      </c>
      <c r="D45" s="2">
        <f t="shared" ref="D45:G45" si="22">C48</f>
        <v>7155</v>
      </c>
      <c r="E45" s="2">
        <f t="shared" si="22"/>
        <v>7255</v>
      </c>
      <c r="F45" s="2">
        <f t="shared" si="22"/>
        <v>7505</v>
      </c>
      <c r="G45" s="340">
        <f t="shared" si="22"/>
        <v>7855</v>
      </c>
    </row>
    <row r="46" spans="1:10">
      <c r="A46" s="339" t="s">
        <v>185</v>
      </c>
      <c r="B46" s="2">
        <v>0</v>
      </c>
      <c r="C46" s="2">
        <v>600</v>
      </c>
      <c r="D46" s="2">
        <v>1100</v>
      </c>
      <c r="E46" s="2">
        <v>850</v>
      </c>
      <c r="F46" s="2">
        <v>1100</v>
      </c>
      <c r="G46" s="340">
        <v>1000</v>
      </c>
      <c r="J46" t="s">
        <v>475</v>
      </c>
    </row>
    <row r="47" spans="1:10" ht="28.8">
      <c r="A47" s="339" t="s">
        <v>186</v>
      </c>
      <c r="B47" s="2">
        <v>0</v>
      </c>
      <c r="C47" s="2">
        <v>-394</v>
      </c>
      <c r="D47" s="2">
        <v>-1000</v>
      </c>
      <c r="E47" s="2">
        <v>-600</v>
      </c>
      <c r="F47" s="2">
        <v>-750</v>
      </c>
      <c r="G47" s="340">
        <v>-500</v>
      </c>
      <c r="J47" t="s">
        <v>476</v>
      </c>
    </row>
    <row r="48" spans="1:10">
      <c r="A48" s="339" t="s">
        <v>190</v>
      </c>
      <c r="B48" s="2">
        <v>6949</v>
      </c>
      <c r="C48" s="40">
        <f>C45+C46+C47</f>
        <v>7155</v>
      </c>
      <c r="D48" s="40">
        <f t="shared" ref="D48:G48" si="23">D45+D46+D47</f>
        <v>7255</v>
      </c>
      <c r="E48" s="40">
        <f t="shared" si="23"/>
        <v>7505</v>
      </c>
      <c r="F48" s="40">
        <f t="shared" si="23"/>
        <v>7855</v>
      </c>
      <c r="G48" s="341">
        <f t="shared" si="23"/>
        <v>8355</v>
      </c>
    </row>
    <row r="49" spans="1:10">
      <c r="A49" s="339" t="s">
        <v>187</v>
      </c>
      <c r="B49" s="2">
        <f>AVERAGE(B48,B45)</f>
        <v>6949</v>
      </c>
      <c r="C49" s="2">
        <f t="shared" ref="C49:G49" si="24">AVERAGE(C48,C45)</f>
        <v>7052</v>
      </c>
      <c r="D49" s="2">
        <f t="shared" si="24"/>
        <v>7205</v>
      </c>
      <c r="E49" s="2">
        <f t="shared" si="24"/>
        <v>7380</v>
      </c>
      <c r="F49" s="2">
        <f t="shared" si="24"/>
        <v>7680</v>
      </c>
      <c r="G49" s="340">
        <f t="shared" si="24"/>
        <v>8105</v>
      </c>
    </row>
    <row r="50" spans="1:10">
      <c r="A50" s="339" t="s">
        <v>188</v>
      </c>
      <c r="B50" s="27">
        <v>3.6999999999999998E-2</v>
      </c>
      <c r="C50" s="27">
        <v>3.7999999999999999E-2</v>
      </c>
      <c r="D50" s="27">
        <v>0.04</v>
      </c>
      <c r="E50" s="27">
        <v>4.1000000000000002E-2</v>
      </c>
      <c r="F50" s="27">
        <v>4.2000000000000003E-2</v>
      </c>
      <c r="G50" s="342">
        <v>4.2000000000000003E-2</v>
      </c>
    </row>
    <row r="51" spans="1:10">
      <c r="A51" s="343" t="s">
        <v>189</v>
      </c>
      <c r="B51" s="344">
        <f>B49*B50</f>
        <v>257.113</v>
      </c>
      <c r="C51" s="344">
        <f t="shared" ref="C51:G51" si="25">C49*C50</f>
        <v>267.976</v>
      </c>
      <c r="D51" s="344">
        <f t="shared" si="25"/>
        <v>288.2</v>
      </c>
      <c r="E51" s="344">
        <f t="shared" si="25"/>
        <v>302.58000000000004</v>
      </c>
      <c r="F51" s="344">
        <f t="shared" si="25"/>
        <v>322.56</v>
      </c>
      <c r="G51" s="345">
        <f t="shared" si="25"/>
        <v>340.41</v>
      </c>
    </row>
    <row r="55" spans="1:10">
      <c r="A55" s="334"/>
      <c r="B55" s="439">
        <v>2024</v>
      </c>
      <c r="C55" s="439">
        <v>2025</v>
      </c>
      <c r="D55" s="439">
        <v>2026</v>
      </c>
      <c r="E55" s="439">
        <v>2027</v>
      </c>
      <c r="F55" s="439">
        <v>2028</v>
      </c>
      <c r="G55" s="439">
        <v>2029</v>
      </c>
    </row>
    <row r="56" spans="1:10">
      <c r="A56" s="334" t="s">
        <v>191</v>
      </c>
      <c r="B56" s="335">
        <v>21131</v>
      </c>
      <c r="C56" s="335">
        <v>22266.627153186048</v>
      </c>
      <c r="D56" s="335">
        <v>23268.221397009609</v>
      </c>
      <c r="E56" s="335">
        <v>24194.187271661114</v>
      </c>
      <c r="F56" s="335">
        <v>25249.319940013906</v>
      </c>
      <c r="G56" s="335">
        <v>26235.863602338974</v>
      </c>
      <c r="H56" s="28"/>
    </row>
    <row r="57" spans="1:10">
      <c r="A57" s="334"/>
      <c r="B57" s="336"/>
      <c r="C57" s="337"/>
      <c r="D57" s="337"/>
      <c r="E57" s="337"/>
      <c r="F57" s="337"/>
      <c r="G57" s="337"/>
      <c r="H57" s="19"/>
    </row>
    <row r="58" spans="1:10">
      <c r="A58" s="334"/>
      <c r="B58" s="334"/>
      <c r="C58" s="334"/>
      <c r="D58" s="334"/>
      <c r="E58" s="334"/>
      <c r="F58" s="334"/>
      <c r="G58" s="334"/>
    </row>
    <row r="59" spans="1:10">
      <c r="A59" s="334" t="s">
        <v>192</v>
      </c>
      <c r="B59" s="338">
        <f>B45/B56</f>
        <v>0.32885334342908523</v>
      </c>
      <c r="C59" s="338">
        <f t="shared" ref="C59:G59" si="26">C45/C56</f>
        <v>0.31208139212973229</v>
      </c>
      <c r="D59" s="338">
        <f t="shared" si="26"/>
        <v>0.30750094207542428</v>
      </c>
      <c r="E59" s="338">
        <f t="shared" si="26"/>
        <v>0.29986541471875983</v>
      </c>
      <c r="F59" s="338">
        <f t="shared" si="26"/>
        <v>0.29723572824258276</v>
      </c>
      <c r="G59" s="338">
        <f t="shared" si="26"/>
        <v>0.29939933059034934</v>
      </c>
      <c r="I59" t="s">
        <v>474</v>
      </c>
    </row>
    <row r="60" spans="1:10">
      <c r="A60" t="s">
        <v>482</v>
      </c>
    </row>
    <row r="61" spans="1:10">
      <c r="A61" s="355" t="s">
        <v>453</v>
      </c>
      <c r="B61" s="360">
        <v>2021</v>
      </c>
      <c r="C61" s="360">
        <v>2022</v>
      </c>
      <c r="D61" s="360">
        <v>2023</v>
      </c>
      <c r="E61" s="360">
        <v>2024</v>
      </c>
      <c r="F61" s="435">
        <v>2025</v>
      </c>
      <c r="G61" s="435">
        <v>2026</v>
      </c>
      <c r="H61" s="436">
        <v>2027</v>
      </c>
      <c r="I61" s="435">
        <v>2028</v>
      </c>
      <c r="J61" s="435">
        <v>2029</v>
      </c>
    </row>
    <row r="62" spans="1:10" ht="28.8">
      <c r="A62" s="1" t="s">
        <v>454</v>
      </c>
      <c r="B62" s="434">
        <v>1230</v>
      </c>
      <c r="C62" s="434">
        <v>1230</v>
      </c>
      <c r="D62" s="434">
        <v>1230</v>
      </c>
      <c r="E62" s="434">
        <v>1230</v>
      </c>
      <c r="F62" s="434">
        <v>1230</v>
      </c>
      <c r="G62" s="434">
        <v>1230</v>
      </c>
      <c r="H62" s="434">
        <v>1230</v>
      </c>
      <c r="I62" s="434">
        <v>1230</v>
      </c>
      <c r="J62" s="434">
        <v>1230</v>
      </c>
    </row>
    <row r="63" spans="1:10" ht="28.8">
      <c r="A63" s="1" t="s">
        <v>455</v>
      </c>
      <c r="B63" s="434">
        <v>2530.9</v>
      </c>
      <c r="C63" s="434">
        <v>3444.6</v>
      </c>
      <c r="D63" s="434">
        <v>3385.1</v>
      </c>
      <c r="E63" s="434">
        <v>3279.8</v>
      </c>
      <c r="F63" s="434">
        <v>3279.8</v>
      </c>
      <c r="G63" s="434">
        <v>3279.8</v>
      </c>
      <c r="H63" s="434">
        <v>3279.8</v>
      </c>
      <c r="I63" s="434">
        <v>3279.8</v>
      </c>
      <c r="J63" s="434">
        <v>3279.8</v>
      </c>
    </row>
    <row r="64" spans="1:10">
      <c r="A64" s="1"/>
      <c r="B64" s="434"/>
      <c r="C64" s="385">
        <f>(C63-B63)/B63</f>
        <v>0.36101781974791569</v>
      </c>
      <c r="D64" s="385">
        <f t="shared" ref="D64:E64" si="27">(D63-C63)/C63</f>
        <v>-1.7273413458747024E-2</v>
      </c>
      <c r="E64" s="385">
        <f t="shared" si="27"/>
        <v>-3.110690969247577E-2</v>
      </c>
    </row>
    <row r="65" spans="1:13">
      <c r="A65" s="1" t="s">
        <v>456</v>
      </c>
      <c r="B65" s="434">
        <v>492.5</v>
      </c>
      <c r="C65" s="434">
        <v>496.3</v>
      </c>
      <c r="D65" s="434">
        <v>503.6</v>
      </c>
      <c r="E65" s="434">
        <v>504.6</v>
      </c>
      <c r="F65" s="434">
        <v>504.6</v>
      </c>
      <c r="G65" s="434">
        <v>504.6</v>
      </c>
      <c r="H65" s="434">
        <v>504.6</v>
      </c>
      <c r="I65" s="434">
        <v>504.6</v>
      </c>
      <c r="J65" s="434">
        <v>504.6</v>
      </c>
      <c r="M65" t="s">
        <v>483</v>
      </c>
    </row>
    <row r="66" spans="1:13">
      <c r="A66" s="1"/>
      <c r="B66" s="434"/>
      <c r="C66" s="385">
        <f>(C65-B65)/B65</f>
        <v>7.7157360406091601E-3</v>
      </c>
      <c r="D66" s="385">
        <f t="shared" ref="D66:E66" si="28">(D65-C65)/C65</f>
        <v>1.4708845456377214E-2</v>
      </c>
      <c r="E66" s="385">
        <f t="shared" si="28"/>
        <v>1.9857029388403494E-3</v>
      </c>
    </row>
    <row r="67" spans="1:13">
      <c r="A67" s="1" t="s">
        <v>457</v>
      </c>
      <c r="B67" s="434">
        <v>348</v>
      </c>
      <c r="C67" s="434">
        <v>561.1</v>
      </c>
      <c r="D67" s="434">
        <v>406.5</v>
      </c>
      <c r="E67" s="434">
        <v>371.9</v>
      </c>
      <c r="F67" s="434">
        <v>371.9</v>
      </c>
      <c r="G67" s="434">
        <v>371.9</v>
      </c>
      <c r="H67" s="434">
        <v>371.9</v>
      </c>
      <c r="I67" s="434">
        <v>371.9</v>
      </c>
      <c r="J67" s="434">
        <v>371.9</v>
      </c>
      <c r="M67" t="s">
        <v>463</v>
      </c>
    </row>
    <row r="68" spans="1:13">
      <c r="A68" s="1"/>
      <c r="B68" s="434"/>
      <c r="C68" s="385">
        <f>(C67-B67)/B67</f>
        <v>0.61235632183908051</v>
      </c>
      <c r="D68" s="385">
        <f>(D67-C67)/C67</f>
        <v>-0.27553020851898058</v>
      </c>
      <c r="E68" s="385">
        <f>(E67-D67)/D67</f>
        <v>-8.511685116851174E-2</v>
      </c>
    </row>
    <row r="69" spans="1:13">
      <c r="A69" s="1" t="s">
        <v>458</v>
      </c>
      <c r="B69" s="434">
        <v>240.1</v>
      </c>
      <c r="C69" s="434">
        <v>527.20000000000005</v>
      </c>
      <c r="D69" s="434">
        <v>551.20000000000005</v>
      </c>
      <c r="E69" s="434">
        <v>541.79999999999995</v>
      </c>
      <c r="F69" s="434">
        <v>541.79999999999995</v>
      </c>
      <c r="G69" s="434">
        <v>541.79999999999995</v>
      </c>
      <c r="H69" s="434">
        <v>541.79999999999995</v>
      </c>
      <c r="I69" s="434">
        <v>541.79999999999995</v>
      </c>
      <c r="J69" s="434">
        <v>541.79999999999995</v>
      </c>
    </row>
    <row r="70" spans="1:13">
      <c r="A70" s="1"/>
      <c r="B70" s="434"/>
      <c r="C70" s="385">
        <f>(C69-B69)/B69</f>
        <v>1.1957517700957936</v>
      </c>
      <c r="D70" s="385">
        <f t="shared" ref="D70:E70" si="29">(D69-C69)/C69</f>
        <v>4.5523520485584217E-2</v>
      </c>
      <c r="E70" s="385">
        <f t="shared" si="29"/>
        <v>-1.7053701015965331E-2</v>
      </c>
    </row>
    <row r="71" spans="1:13" ht="28.8">
      <c r="A71" s="1" t="s">
        <v>459</v>
      </c>
      <c r="B71" s="434">
        <f>B63+B65+B67+B69</f>
        <v>3611.5</v>
      </c>
      <c r="C71" s="434">
        <f t="shared" ref="C71:E71" si="30">C63+C65+C67+C69</f>
        <v>5029.2</v>
      </c>
      <c r="D71" s="434">
        <f t="shared" si="30"/>
        <v>4846.3999999999996</v>
      </c>
      <c r="E71" s="434">
        <f t="shared" si="30"/>
        <v>4698.1000000000004</v>
      </c>
      <c r="F71" s="434">
        <f t="shared" ref="F71" si="31">F63+F65+F67+F69</f>
        <v>4698.1000000000004</v>
      </c>
      <c r="G71" s="434">
        <f t="shared" ref="G71" si="32">G63+G65+G67+G69</f>
        <v>4698.1000000000004</v>
      </c>
      <c r="H71" s="434">
        <f t="shared" ref="H71" si="33">H63+H65+H67+H69</f>
        <v>4698.1000000000004</v>
      </c>
      <c r="I71" s="434">
        <f t="shared" ref="I71" si="34">I63+I65+I67+I69</f>
        <v>4698.1000000000004</v>
      </c>
      <c r="J71" s="434">
        <f t="shared" ref="J71" si="35">J63+J65+J67+J69</f>
        <v>4698.1000000000004</v>
      </c>
    </row>
    <row r="72" spans="1:13">
      <c r="A72" s="1"/>
      <c r="B72" s="434"/>
      <c r="C72" s="434">
        <v>-320</v>
      </c>
      <c r="D72" s="434">
        <v>-307</v>
      </c>
      <c r="E72" s="434">
        <v>-301</v>
      </c>
      <c r="F72">
        <v>-293</v>
      </c>
      <c r="G72">
        <v>-287</v>
      </c>
      <c r="H72">
        <v>-165</v>
      </c>
      <c r="I72">
        <v>-157</v>
      </c>
      <c r="J72">
        <v>-149</v>
      </c>
    </row>
    <row r="73" spans="1:13" ht="28.8">
      <c r="A73" s="1" t="s">
        <v>460</v>
      </c>
      <c r="B73" s="434">
        <v>-1864.5</v>
      </c>
      <c r="C73" s="434">
        <v>-2035.1</v>
      </c>
      <c r="D73" s="434">
        <v>-2582.9</v>
      </c>
      <c r="E73" s="434">
        <v>-2619.3000000000002</v>
      </c>
      <c r="F73" s="437">
        <f>E73+F72</f>
        <v>-2912.3</v>
      </c>
      <c r="G73" s="437">
        <f t="shared" ref="G73:J73" si="36">F73+G72</f>
        <v>-3199.3</v>
      </c>
      <c r="H73" s="437">
        <f t="shared" si="36"/>
        <v>-3364.3</v>
      </c>
      <c r="I73" s="437">
        <f t="shared" si="36"/>
        <v>-3521.3</v>
      </c>
      <c r="J73" s="437">
        <f t="shared" si="36"/>
        <v>-3670.3</v>
      </c>
    </row>
    <row r="74" spans="1:13">
      <c r="A74" s="1" t="s">
        <v>461</v>
      </c>
      <c r="B74" s="434">
        <f>B71+B73</f>
        <v>1747</v>
      </c>
      <c r="C74" s="434">
        <f t="shared" ref="C74:E74" si="37">C71+C73</f>
        <v>2994.1</v>
      </c>
      <c r="D74" s="434">
        <f t="shared" si="37"/>
        <v>2263.4999999999995</v>
      </c>
      <c r="E74" s="434">
        <f t="shared" si="37"/>
        <v>2078.8000000000002</v>
      </c>
      <c r="F74" s="434">
        <f t="shared" ref="F74" si="38">F71+F73</f>
        <v>1785.8000000000002</v>
      </c>
      <c r="G74" s="434">
        <f t="shared" ref="G74" si="39">G71+G73</f>
        <v>1498.8000000000002</v>
      </c>
      <c r="H74" s="434">
        <f t="shared" ref="H74" si="40">H71+H73</f>
        <v>1333.8000000000002</v>
      </c>
      <c r="I74" s="434">
        <f t="shared" ref="I74" si="41">I71+I73</f>
        <v>1176.8000000000002</v>
      </c>
      <c r="J74" s="434">
        <f t="shared" ref="J74" si="42">J71+J73</f>
        <v>1027.8000000000002</v>
      </c>
    </row>
    <row r="75" spans="1:13">
      <c r="A75" s="1" t="s">
        <v>462</v>
      </c>
      <c r="B75" s="23">
        <f>B74+B62</f>
        <v>2977</v>
      </c>
      <c r="C75" s="23">
        <f t="shared" ref="C75:E75" si="43">C74+C62</f>
        <v>4224.1000000000004</v>
      </c>
      <c r="D75" s="23">
        <f t="shared" si="43"/>
        <v>3493.4999999999995</v>
      </c>
      <c r="E75" s="23">
        <f t="shared" si="43"/>
        <v>3308.8</v>
      </c>
      <c r="F75" s="23">
        <f t="shared" ref="F75" si="44">F74+F62</f>
        <v>3015.8</v>
      </c>
      <c r="G75" s="23">
        <f t="shared" ref="G75" si="45">G74+G62</f>
        <v>2728.8</v>
      </c>
      <c r="H75" s="23">
        <f t="shared" ref="H75" si="46">H74+H62</f>
        <v>2563.8000000000002</v>
      </c>
      <c r="I75" s="23">
        <f t="shared" ref="I75" si="47">I74+I62</f>
        <v>2406.8000000000002</v>
      </c>
      <c r="J75" s="23">
        <f t="shared" ref="J75" si="48">J74+J62</f>
        <v>2257.8000000000002</v>
      </c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5"/>
      <c r="B83" s="12"/>
      <c r="C83" s="12"/>
      <c r="D83" s="4"/>
      <c r="E83" s="4"/>
      <c r="F83" s="4"/>
      <c r="G83" s="12"/>
      <c r="H83" s="12"/>
      <c r="I83" s="12"/>
      <c r="J83" s="13"/>
    </row>
    <row r="84" spans="1:10">
      <c r="A84" s="5"/>
      <c r="B84" s="12"/>
      <c r="C84" s="12"/>
      <c r="D84" s="4"/>
      <c r="E84" s="4"/>
      <c r="F84" s="4"/>
      <c r="G84" s="12"/>
      <c r="H84" s="12"/>
      <c r="I84" s="12"/>
      <c r="J84" s="13"/>
    </row>
    <row r="85" spans="1:10">
      <c r="A85" s="5"/>
      <c r="B85" s="12"/>
      <c r="C85" s="12"/>
      <c r="D85" s="4"/>
      <c r="E85" s="4"/>
      <c r="F85" s="4"/>
      <c r="G85" s="12"/>
      <c r="H85" s="12"/>
      <c r="I85" s="12"/>
      <c r="J85" s="13"/>
    </row>
    <row r="86" spans="1:10">
      <c r="A86" s="5"/>
      <c r="B86" s="12"/>
      <c r="C86" s="12"/>
      <c r="D86" s="4"/>
      <c r="E86" s="4"/>
      <c r="F86" s="4"/>
      <c r="G86" s="12"/>
      <c r="H86" s="12"/>
      <c r="I86" s="12"/>
      <c r="J86" s="13"/>
    </row>
  </sheetData>
  <phoneticPr fontId="8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DC58-E0E8-43C5-80AD-B7D32DED98D9}">
  <dimension ref="A1:T46"/>
  <sheetViews>
    <sheetView zoomScale="67" workbookViewId="0">
      <selection activeCell="A30" sqref="A30"/>
    </sheetView>
  </sheetViews>
  <sheetFormatPr defaultRowHeight="14.4"/>
  <cols>
    <col min="1" max="1" width="33.6640625" bestFit="1" customWidth="1"/>
    <col min="2" max="2" width="8.5546875" bestFit="1" customWidth="1"/>
    <col min="3" max="3" width="12.109375" bestFit="1" customWidth="1"/>
    <col min="4" max="4" width="28.77734375" bestFit="1" customWidth="1"/>
    <col min="5" max="6" width="8.5546875" bestFit="1" customWidth="1"/>
    <col min="7" max="7" width="12.109375" bestFit="1" customWidth="1"/>
    <col min="8" max="8" width="22.44140625" bestFit="1" customWidth="1"/>
    <col min="9" max="9" width="25.5546875" bestFit="1" customWidth="1"/>
    <col min="10" max="10" width="27.77734375" bestFit="1" customWidth="1"/>
    <col min="11" max="11" width="34.21875" bestFit="1" customWidth="1"/>
    <col min="12" max="12" width="32.21875" bestFit="1" customWidth="1"/>
    <col min="13" max="13" width="29.21875" bestFit="1" customWidth="1"/>
    <col min="14" max="14" width="19.77734375" bestFit="1" customWidth="1"/>
    <col min="15" max="15" width="21.109375" bestFit="1" customWidth="1"/>
    <col min="16" max="16" width="9.21875" bestFit="1" customWidth="1"/>
    <col min="17" max="17" width="28.6640625" bestFit="1" customWidth="1"/>
    <col min="18" max="18" width="11.109375" bestFit="1" customWidth="1"/>
  </cols>
  <sheetData>
    <row r="1" spans="1:20" ht="15.6">
      <c r="A1" s="43"/>
      <c r="B1" s="44"/>
      <c r="C1" s="43" t="s">
        <v>198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5"/>
      <c r="T1" s="45"/>
    </row>
    <row r="2" spans="1:20" ht="15.6">
      <c r="A2" s="364" t="s">
        <v>199</v>
      </c>
      <c r="B2" s="365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43"/>
      <c r="S2" s="45"/>
      <c r="T2" s="45"/>
    </row>
    <row r="3" spans="1:20" ht="15.6">
      <c r="A3" s="46" t="s">
        <v>200</v>
      </c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3"/>
      <c r="S3" s="45"/>
      <c r="T3" s="45"/>
    </row>
    <row r="4" spans="1:20" ht="15.6">
      <c r="A4" s="49" t="s">
        <v>201</v>
      </c>
      <c r="B4" s="50"/>
      <c r="C4" s="51" t="s">
        <v>202</v>
      </c>
      <c r="D4" s="52" t="s">
        <v>203</v>
      </c>
      <c r="E4" s="52" t="s">
        <v>204</v>
      </c>
      <c r="F4" s="52" t="s">
        <v>205</v>
      </c>
      <c r="G4" s="52" t="s">
        <v>82</v>
      </c>
      <c r="H4" s="52"/>
      <c r="I4" s="52" t="s">
        <v>206</v>
      </c>
      <c r="J4" s="53" t="s">
        <v>207</v>
      </c>
      <c r="K4" s="53"/>
      <c r="L4" s="54" t="s">
        <v>208</v>
      </c>
      <c r="M4" s="43"/>
      <c r="N4" s="43"/>
      <c r="O4" s="43"/>
      <c r="P4" s="43"/>
      <c r="Q4" s="43"/>
      <c r="R4" s="43"/>
      <c r="S4" s="45"/>
      <c r="T4" s="45"/>
    </row>
    <row r="5" spans="1:20" ht="15.6">
      <c r="A5" s="55" t="s">
        <v>209</v>
      </c>
      <c r="B5" s="55" t="s">
        <v>210</v>
      </c>
      <c r="C5" s="56" t="s">
        <v>211</v>
      </c>
      <c r="D5" s="57" t="s">
        <v>212</v>
      </c>
      <c r="E5" s="57" t="s">
        <v>213</v>
      </c>
      <c r="F5" s="57" t="s">
        <v>214</v>
      </c>
      <c r="G5" s="57" t="s">
        <v>193</v>
      </c>
      <c r="H5" s="57" t="s">
        <v>215</v>
      </c>
      <c r="I5" s="57" t="s">
        <v>216</v>
      </c>
      <c r="J5" s="58" t="s">
        <v>216</v>
      </c>
      <c r="K5" s="58" t="s">
        <v>217</v>
      </c>
      <c r="L5" s="55" t="s">
        <v>218</v>
      </c>
      <c r="M5" s="43"/>
      <c r="N5" s="43"/>
      <c r="O5" s="43"/>
      <c r="P5" s="43"/>
      <c r="Q5" s="43"/>
      <c r="R5" s="43"/>
      <c r="S5" s="45"/>
      <c r="T5" s="45"/>
    </row>
    <row r="6" spans="1:20" ht="15.6">
      <c r="A6" s="59" t="str" cm="1">
        <f t="array" ref="A6">IF($B6="","",_xll.RDP.Data($B6,"TR.CompanyName"))</f>
        <v>Clorox Co</v>
      </c>
      <c r="B6" s="60" t="s">
        <v>269</v>
      </c>
      <c r="C6" s="61">
        <f>IF(B6="","",_xll.RDP.Data($B6,"TR.PriceClose","Curn=#1",,$C$1))</f>
        <v>104.01</v>
      </c>
      <c r="D6" s="62">
        <f>IF($B6="","",_xll.RDP.Data($B6,"MAX(TR.PriceHigh(SDate=0D,EDate=0D-364C))/*52 Week High*/","Curn=#1",,$C$1))</f>
        <v>166.35</v>
      </c>
      <c r="E6" s="63">
        <f>IF(B6="","",_xll.RDP.Data($B6,"TR.CompanySharesOutstanding(SDate=0)/*# Shares Outstanding*/")/1000000)</f>
        <v>121.980379</v>
      </c>
      <c r="F6" s="64">
        <f>IF(B6="","",C6*E6)</f>
        <v>12687.179219790001</v>
      </c>
      <c r="G6" s="64" cm="1">
        <f t="array" ref="G6">IF($B6="","",_xll.RDP.Data($B6,"TR.TotalDebtOutstanding","Curn=#1",,$C$1)/1000000)</f>
        <v>2524</v>
      </c>
      <c r="H6" s="64">
        <f>IF($B6="","",_xll.RDP.Data($B6,"TR.CashandEquivalents","Curn=#1",,$C$1)/1000000)</f>
        <v>167</v>
      </c>
      <c r="I6" s="65">
        <f>IF(B6="","",F6+G6-H6)</f>
        <v>15044.179219790001</v>
      </c>
      <c r="J6" s="64" cm="1">
        <f t="array" ref="J6">IF($B6="","",_xll.RDP.Data($B6,"TR.TotalEquity","Curn=#1",,$C$1)/1000000)</f>
        <v>321</v>
      </c>
      <c r="K6" s="66">
        <f>IF($B6="","",_xll.RDP.Data($B6,"TR.BetaFiveYear/*Beta 5 Year Monthly*//*Beta 5 Year Monthly*/"))</f>
        <v>0.57248628113829003</v>
      </c>
      <c r="L6" s="67">
        <f>IF(B6="","",_xll.RDP.Data($B6,"TR.PriceTargetMean","Curn=#1",,$C$1))</f>
        <v>128.66833</v>
      </c>
      <c r="M6" s="68"/>
      <c r="N6" s="69"/>
      <c r="O6" s="69"/>
      <c r="P6" s="69"/>
      <c r="Q6" s="69"/>
      <c r="R6" s="69"/>
      <c r="S6" s="45"/>
      <c r="T6" s="45"/>
    </row>
    <row r="7" spans="1:20" ht="15.6">
      <c r="A7" s="59" t="str" cm="1">
        <f t="array" ref="A7">IF($B7="","",_xll.RDP.Data($B7,"TR.CompanyName"))</f>
        <v>Church &amp; Dwight Co Inc</v>
      </c>
      <c r="B7" s="60" t="s">
        <v>270</v>
      </c>
      <c r="C7" s="70">
        <f>IF(B7="","",_xll.RDP.Data($B7,"TR.PriceClose","Curn=#1",,$C$1))</f>
        <v>84.61</v>
      </c>
      <c r="D7" s="71">
        <f>IF($B7="","",_xll.RDP.Data($B7,"MAX(TR.PriceHigh(SDate=0D,EDate=0D-364C))/*52 Week High*/","Curn=#1",,$C$1))</f>
        <v>116.46</v>
      </c>
      <c r="E7" s="63">
        <f>IF(B7="","",_xll.RDP.Data($B7,"TR.CompanySharesOutstanding(SDate=0)/*# Shares Outstanding*/")/1000000)</f>
        <v>240.13007099999999</v>
      </c>
      <c r="F7" s="65">
        <f>IF(B7="","",C7*E7)</f>
        <v>20317.40530731</v>
      </c>
      <c r="G7" s="65" cm="1">
        <f t="array" ref="G7">IF($B7="","",_xll.RDP.Data($B7,"TR.TotalDebtOutstanding","Curn=#1",,$C$1)/1000000)</f>
        <v>2204.6</v>
      </c>
      <c r="H7" s="65">
        <f>IF($B7="","",_xll.RDP.Data($B7,"TR.CashandEquivalents","Curn=#1",,$C$1)/1000000)</f>
        <v>964.1</v>
      </c>
      <c r="I7" s="65">
        <f>IF(B7="","",F7+G7-H7)</f>
        <v>21557.90530731</v>
      </c>
      <c r="J7" s="65" cm="1">
        <f t="array" ref="J7">IF($B7="","",_xll.RDP.Data($B7,"TR.TotalEquity","Curn=#1",,$C$1)/1000000)</f>
        <v>4360.8</v>
      </c>
      <c r="K7" s="72">
        <f>IF($B7="","",_xll.RDP.Data($B7,"TR.BetaFiveYear/*Beta 5 Year Monthly*//*Beta 5 Year Monthly*/"))</f>
        <v>0.458691347655445</v>
      </c>
      <c r="L7" s="73">
        <f>IF(B7="","",_xll.RDP.Data($B7,"TR.PriceTargetMean","Curn=#1",,$C$1))</f>
        <v>97.655000000000001</v>
      </c>
      <c r="M7" s="68"/>
      <c r="N7" s="69"/>
      <c r="O7" s="69"/>
      <c r="P7" s="69"/>
      <c r="Q7" s="69"/>
      <c r="R7" s="69"/>
      <c r="S7" s="45"/>
      <c r="T7" s="45"/>
    </row>
    <row r="8" spans="1:20" ht="15.6">
      <c r="A8" s="59" t="str" cm="1">
        <f t="array" ref="A8">IF($B8="","",_xll.RDP.Data($B8,"TR.CompanyName"))</f>
        <v>Dupont De Nemours Inc</v>
      </c>
      <c r="B8" s="60" t="s">
        <v>271</v>
      </c>
      <c r="C8" s="70">
        <f>IF(B8="","",_xll.RDP.Data($B8,"TR.PriceClose","Curn=#1",,$C$1))</f>
        <v>40.93</v>
      </c>
      <c r="D8" s="71">
        <f>IF($B8="","",_xll.RDP.Data($B8,"MAX(TR.PriceHigh(SDate=0D,EDate=0D-364C))/*52 Week High*/","Curn=#1",,$C$1))</f>
        <v>41.83</v>
      </c>
      <c r="E8" s="63">
        <f>IF(B8="","",_xll.RDP.Data($B8,"TR.CompanySharesOutstanding(SDate=0)/*# Shares Outstanding*/")/1000000)</f>
        <v>418.975324</v>
      </c>
      <c r="F8" s="65">
        <f>IF(B8="","",C8*E8)</f>
        <v>17148.66001132</v>
      </c>
      <c r="G8" s="65" cm="1">
        <f t="array" ref="G8">IF($B8="","",_xll.RDP.Data($B8,"TR.TotalDebtOutstanding","Curn=#1",,$C$1)/1000000)</f>
        <v>7171</v>
      </c>
      <c r="H8" s="65">
        <f>IF($B8="","",_xll.RDP.Data($B8,"TR.CashandEquivalents","Curn=#1",,$C$1)/1000000)</f>
        <v>1850</v>
      </c>
      <c r="I8" s="65">
        <f>IF(B8="","",F8+G8-H8)</f>
        <v>22469.66001132</v>
      </c>
      <c r="J8" s="65" cm="1">
        <f t="array" ref="J8">IF($B8="","",_xll.RDP.Data($B8,"TR.TotalEquity","Curn=#1",,$C$1)/1000000)</f>
        <v>23350</v>
      </c>
      <c r="K8" s="72">
        <f>IF($B8="","",_xll.RDP.Data($B8,"TR.BetaFiveYear/*Beta 5 Year Monthly*//*Beta 5 Year Monthly*/"))</f>
        <v>1.05072688689768</v>
      </c>
      <c r="L8" s="73">
        <f>IF(B8="","",_xll.RDP.Data($B8,"TR.PriceTargetMean","Curn=#1",,$C$1))</f>
        <v>46.607999999999997</v>
      </c>
      <c r="M8" s="68"/>
      <c r="N8" s="69"/>
      <c r="O8" s="69"/>
      <c r="P8" s="69"/>
      <c r="Q8" s="69"/>
      <c r="R8" s="69"/>
      <c r="S8" s="45"/>
      <c r="T8" s="45"/>
    </row>
    <row r="9" spans="1:20" ht="15.6">
      <c r="A9" s="59" t="str" cm="1">
        <f t="array" ref="A9">IF($B9="","",_xll.RDP.Data($B9,"TR.CompanyName"))</f>
        <v>Sherwin-Williams Co</v>
      </c>
      <c r="B9" s="74" t="s">
        <v>272</v>
      </c>
      <c r="C9" s="70">
        <f>IF(B9="","",_xll.RDP.Data($B9,"TR.PriceClose","Curn=#1",,$C$1))</f>
        <v>328.69</v>
      </c>
      <c r="D9" s="71">
        <f>IF($B9="","",_xll.RDP.Data($B9,"MAX(TR.PriceHigh(SDate=0D,EDate=0D-364C))/*52 Week High*/","Curn=#1",,$C$1))</f>
        <v>379.65</v>
      </c>
      <c r="E9" s="63">
        <f>IF(B9="","",_xll.RDP.Data($B9,"TR.CompanySharesOutstanding(SDate=0)/*# Shares Outstanding*/")/1000000)</f>
        <v>247.89351300000001</v>
      </c>
      <c r="F9" s="65">
        <f>IF(B9="","",C9*E9)</f>
        <v>81480.118787970001</v>
      </c>
      <c r="G9" s="65" cm="1">
        <f t="array" ref="G9">IF($B9="","",_xll.RDP.Data($B9,"TR.TotalDebtOutstanding","Curn=#1",,$C$1)/1000000)</f>
        <v>10077.700000000001</v>
      </c>
      <c r="H9" s="65">
        <f>IF($B9="","",_xll.RDP.Data($B9,"TR.CashandEquivalents","Curn=#1",,$C$1)/1000000)</f>
        <v>210.4</v>
      </c>
      <c r="I9" s="65">
        <f>IF(B9="","",F9+G9-H9)</f>
        <v>91347.418787970004</v>
      </c>
      <c r="J9" s="65" cm="1">
        <f t="array" ref="J9">IF($B9="","",_xll.RDP.Data($B9,"TR.TotalEquity","Curn=#1",,$C$1)/1000000)</f>
        <v>4051.2</v>
      </c>
      <c r="K9" s="72">
        <f>IF($B9="","",_xll.RDP.Data($B9,"TR.BetaFiveYear/*Beta 5 Year Monthly*//*Beta 5 Year Monthly*/"))</f>
        <v>1.25882981346084</v>
      </c>
      <c r="L9" s="73">
        <f>IF(B9="","",_xll.RDP.Data($B9,"TR.PriceTargetMean","Curn=#1",,$C$1))</f>
        <v>386.14591000000001</v>
      </c>
      <c r="M9" s="68"/>
      <c r="N9" s="69"/>
      <c r="O9" s="69"/>
      <c r="P9" s="69"/>
      <c r="Q9" s="69"/>
      <c r="R9" s="69"/>
      <c r="S9" s="45"/>
      <c r="T9" s="45"/>
    </row>
    <row r="10" spans="1:20" ht="15.6">
      <c r="A10" s="59" t="str" cm="1">
        <f t="array" ref="A10">IF($B10="","",_xll.RDP.Data($B10,"TR.CompanyName"))</f>
        <v>Ecolab Inc</v>
      </c>
      <c r="B10" s="75" t="s">
        <v>268</v>
      </c>
      <c r="C10" s="76">
        <f>IF(B10="","",_xll.RDP.Data($B10,"TR.PriceClose","Curn=#1",,$C$1))</f>
        <v>263.60000000000002</v>
      </c>
      <c r="D10" s="77">
        <f>IF($B10="","",_xll.RDP.Data($B10,"MAX(TR.PriceHigh(SDate=0D,EDate=0D-364C))/*52 Week High*/","Curn=#1",,$C$1))</f>
        <v>286.04000000000002</v>
      </c>
      <c r="E10" s="78">
        <f>IF(B10="","",_xll.RDP.Data($B10,"TR.CompanySharesOutstanding(SDate=0)/*# Shares Outstanding*/")/1000000)</f>
        <v>283.23565300000001</v>
      </c>
      <c r="F10" s="79">
        <f>IF(B10="","",C10*E10)</f>
        <v>74660.918130800012</v>
      </c>
      <c r="G10" s="79" cm="1">
        <f t="array" ref="G10">IF($B10="","",_xll.RDP.Data($B10,"TR.TotalDebtOutstanding","Curn=#1",,$C$1)/1000000)</f>
        <v>7564.9</v>
      </c>
      <c r="H10" s="79">
        <f>IF($B10="","",_xll.RDP.Data($B10,"TR.CashandEquivalents","Curn=#1",,$C$1)/1000000)</f>
        <v>1256.8</v>
      </c>
      <c r="I10" s="79">
        <f>IF(B10="","",F10+G10-H10)</f>
        <v>80969.018130800003</v>
      </c>
      <c r="J10" s="79" cm="1">
        <f t="array" ref="J10">IF($B10="","",_xll.RDP.Data($B10,"TR.TotalEquity","Curn=#1",,$C$1)/1000000)</f>
        <v>8757.2999999999993</v>
      </c>
      <c r="K10" s="80">
        <f>IF($B10="","",_xll.RDP.Data($B10,"TR.BetaFiveYear/*Beta 5 Year Monthly*//*Beta 5 Year Monthly*/"))</f>
        <v>0.99902480263682203</v>
      </c>
      <c r="L10" s="81">
        <f>IF(B10="","",_xll.RDP.Data($B10,"TR.PriceTargetMean","Curn=#1",,$C$1))</f>
        <v>291.87650000000002</v>
      </c>
      <c r="M10" s="68"/>
      <c r="N10" s="69"/>
      <c r="O10" s="69"/>
      <c r="P10" s="69"/>
      <c r="Q10" s="69"/>
      <c r="R10" s="69"/>
      <c r="S10" s="45"/>
      <c r="T10" s="45"/>
    </row>
    <row r="11" spans="1:20" ht="15.6">
      <c r="A11" s="43"/>
      <c r="B11" s="44"/>
      <c r="C11" s="43" t="s">
        <v>219</v>
      </c>
      <c r="D11" s="43" t="s">
        <v>219</v>
      </c>
      <c r="E11" s="43" t="s">
        <v>219</v>
      </c>
      <c r="F11" s="43" t="s">
        <v>219</v>
      </c>
      <c r="G11" s="43" t="s">
        <v>219</v>
      </c>
      <c r="H11" s="43" t="s">
        <v>219</v>
      </c>
      <c r="I11" s="43" t="s">
        <v>219</v>
      </c>
      <c r="J11" s="43" t="s">
        <v>219</v>
      </c>
      <c r="K11" s="43" t="s">
        <v>219</v>
      </c>
      <c r="L11" s="43" t="s">
        <v>219</v>
      </c>
      <c r="M11" s="43"/>
      <c r="N11" s="43"/>
      <c r="O11" s="43"/>
      <c r="P11" s="43"/>
      <c r="Q11" s="43"/>
      <c r="R11" s="43"/>
      <c r="S11" s="45"/>
      <c r="T11" s="45"/>
    </row>
    <row r="12" spans="1:20" ht="15.6">
      <c r="A12" s="46" t="s">
        <v>220</v>
      </c>
      <c r="B12" s="82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83"/>
      <c r="Q12" s="48"/>
      <c r="R12" s="43"/>
      <c r="S12" s="45"/>
      <c r="T12" s="45"/>
    </row>
    <row r="13" spans="1:20" ht="15.6">
      <c r="A13" s="49"/>
      <c r="B13" s="50"/>
      <c r="C13" s="84" t="s">
        <v>221</v>
      </c>
      <c r="D13" s="85"/>
      <c r="E13" s="85"/>
      <c r="F13" s="86"/>
      <c r="G13" s="84" t="s">
        <v>222</v>
      </c>
      <c r="H13" s="85"/>
      <c r="I13" s="85"/>
      <c r="J13" s="86"/>
      <c r="K13" s="85" t="s">
        <v>223</v>
      </c>
      <c r="L13" s="85"/>
      <c r="M13" s="86"/>
      <c r="N13" s="84" t="s">
        <v>224</v>
      </c>
      <c r="O13" s="85"/>
      <c r="P13" s="86"/>
      <c r="Q13" s="54" t="s">
        <v>225</v>
      </c>
      <c r="R13" s="43"/>
      <c r="S13" s="45"/>
      <c r="T13" s="45"/>
    </row>
    <row r="14" spans="1:20" ht="15.6">
      <c r="A14" s="55" t="s">
        <v>209</v>
      </c>
      <c r="B14" s="55" t="s">
        <v>210</v>
      </c>
      <c r="C14" s="87" t="s">
        <v>226</v>
      </c>
      <c r="D14" s="88" t="s">
        <v>227</v>
      </c>
      <c r="E14" s="88" t="s">
        <v>228</v>
      </c>
      <c r="F14" s="89" t="s">
        <v>229</v>
      </c>
      <c r="G14" s="87" t="s">
        <v>226</v>
      </c>
      <c r="H14" s="88" t="s">
        <v>227</v>
      </c>
      <c r="I14" s="88" t="s">
        <v>228</v>
      </c>
      <c r="J14" s="89" t="s">
        <v>229</v>
      </c>
      <c r="K14" s="87" t="s">
        <v>226</v>
      </c>
      <c r="L14" s="88" t="s">
        <v>227</v>
      </c>
      <c r="M14" s="89" t="s">
        <v>228</v>
      </c>
      <c r="N14" s="87" t="s">
        <v>226</v>
      </c>
      <c r="O14" s="88" t="s">
        <v>227</v>
      </c>
      <c r="P14" s="89" t="s">
        <v>228</v>
      </c>
      <c r="Q14" s="90" t="s">
        <v>230</v>
      </c>
      <c r="R14" s="43"/>
      <c r="S14" s="45"/>
      <c r="T14" s="45"/>
    </row>
    <row r="15" spans="1:20" ht="15.6">
      <c r="A15" s="91" t="str">
        <f>A6</f>
        <v>Clorox Co</v>
      </c>
      <c r="B15" s="92" t="str">
        <f>IF(B6="","",B6)</f>
        <v>CLX</v>
      </c>
      <c r="C15" s="93" cm="1">
        <f t="array" ref="C15">IF($B15="","",_xll.RDP.Data($B15,"TR.Revenue","Curn=#1",,$C$1)/1000000)</f>
        <v>7104</v>
      </c>
      <c r="D15" s="93" cm="1">
        <f t="array" ref="D15">IF($B15="","",_xll.RDP.Data($B15,"TR.RevenueMean","Period=FY1 Frq=D SDate=1D Curn=#1",,$C$1)/1000000)</f>
        <v>6495.4711600000001</v>
      </c>
      <c r="E15" s="93" cm="1">
        <f t="array" ref="E15">IF($B15="","",_xll.RDP.Data($B15,"TR.RevenueMean","Period=FY2 Frq=D SDate=1D Curn=#1",,$C$1)/1000000)</f>
        <v>6809.4967299999998</v>
      </c>
      <c r="F15" s="94" cm="1">
        <f t="array" ref="F15">IF($B15="","",_xll.RDP.Data($B15,"TR.RevenueMean","Period=FY3 Frq=D SDate=1D Curn=#1",,$C$1)/1000000)</f>
        <v>7005.8412500000004</v>
      </c>
      <c r="G15" s="95">
        <f>IF($B15="","",_xll.RDP.Data($B15,"TR.EPSMean","Period=FY0 Frq=D SDate=1D Curn=#1",,$C$1))</f>
        <v>7.0497100000000001</v>
      </c>
      <c r="H15" s="95">
        <f>IF($B15="","",_xll.RDP.Data($B15,"TR.EPSMean","Period=FY1 Frq=D SDate=1D Curn=#1",,$C$1))</f>
        <v>5.9315600000000002</v>
      </c>
      <c r="I15" s="95">
        <f>IF($B15="","",_xll.RDP.Data($B15,"TR.EPSMean","Period=FY2 Frq=D SDate=1D Curn=#1",,$C$1))</f>
        <v>6.75739</v>
      </c>
      <c r="J15" s="96">
        <f>IF($B15="","",_xll.RDP.Data($B15,"TR.EPSMean","Period=FY3 Frq=D SDate=1D Curn=#1",,$C$1))</f>
        <v>7.1611700000000003</v>
      </c>
      <c r="K15" s="95" cm="1">
        <f t="array" ref="K15">IF($B15="","",_xll.RDP.Data($B15,"TR.EBITMean","Period=FY0 Frq=D SDate=1D Curn=#1",,$C$1)/1000000)</f>
        <v>1196.5612000000001</v>
      </c>
      <c r="L15" s="95" cm="1">
        <f t="array" ref="L15">IF($B15="","",_xll.RDP.Data($B15,"TR.EBITMean","Period=FY1 Frq=D SDate=1D Curn=#1",,$C$1)/1000000)</f>
        <v>1052.14356</v>
      </c>
      <c r="M15" s="96" cm="1">
        <f t="array" ref="M15">IF($B15="","",_xll.RDP.Data($B15,"TR.EBITMean","Period=FY2 Frq=D SDate=1D Curn=#1",,$C$1)/1000000)</f>
        <v>1187.8643099999999</v>
      </c>
      <c r="N15" s="97" cm="1">
        <f t="array" ref="N15">IF($B15="","",_xll.RDP.Data($B15,"TR.EBITDAMean","Period=FY0 Frq=D SDate=1D Curn=#1",,$C$1)/1000000)</f>
        <v>1417.1396</v>
      </c>
      <c r="O15" s="95" cm="1">
        <f t="array" ref="O15">IF($B15="","",_xll.RDP.Data($B15,"TR.EBITDAMean","Period=FY1 Frq=D SDate=1D Curn=#1",,$C$1)/1000000)</f>
        <v>1267.50027</v>
      </c>
      <c r="P15" s="95" cm="1">
        <f t="array" ref="P15">IF($B15="","",_xll.RDP.Data($B15,"TR.EBITDAMean","Period=FY2 Frq=D SDate=1D Curn=#1",,$C$1)/1000000)</f>
        <v>1401.82574</v>
      </c>
      <c r="Q15" s="98" cm="1">
        <f t="array" ref="Q15">IF($B15="","",_xll.RDP.Data($B15,"TR.LTGMean",,)/100)</f>
        <v>-2.895E-2</v>
      </c>
      <c r="R15" s="43"/>
      <c r="S15" s="45"/>
      <c r="T15" s="45"/>
    </row>
    <row r="16" spans="1:20" ht="15.6">
      <c r="A16" s="91" t="str">
        <f>A7</f>
        <v>Church &amp; Dwight Co Inc</v>
      </c>
      <c r="B16" s="92" t="str">
        <f>IF(B7="","",B7)</f>
        <v>CHD</v>
      </c>
      <c r="C16" s="93" cm="1">
        <f t="array" ref="C16">IF($B16="","",_xll.RDP.Data($B16,"TR.Revenue","Curn=#1",,$C$1)/1000000)</f>
        <v>6107.1</v>
      </c>
      <c r="D16" s="93" cm="1">
        <f t="array" ref="D16">IF($B16="","",_xll.RDP.Data($B16,"TR.RevenueMean","Period=FY1 Frq=D SDate=1D Curn=#1",,$C$1)/1000000)</f>
        <v>6199.0060000000003</v>
      </c>
      <c r="E16" s="93" cm="1">
        <f t="array" ref="E16">IF($B16="","",_xll.RDP.Data($B16,"TR.RevenueMean","Period=FY2 Frq=D SDate=1D Curn=#1",,$C$1)/1000000)</f>
        <v>6434.6084300000002</v>
      </c>
      <c r="F16" s="99" cm="1">
        <f t="array" ref="F16">IF($B16="","",_xll.RDP.Data($B16,"TR.RevenueMean","Period=FY3 Frq=D SDate=1D Curn=#1",,$C$1)/1000000)</f>
        <v>6660.107</v>
      </c>
      <c r="G16" s="95">
        <f>IF($B16="","",_xll.RDP.Data($B16,"TR.EPSMean","Period=FY0 Frq=D SDate=1D Curn=#1",,$C$1))</f>
        <v>3.4401600000000001</v>
      </c>
      <c r="H16" s="95">
        <f>IF($B16="","",_xll.RDP.Data($B16,"TR.EPSMean","Period=FY1 Frq=D SDate=1D Curn=#1",,$C$1))</f>
        <v>3.4970500000000002</v>
      </c>
      <c r="I16" s="95">
        <f>IF($B16="","",_xll.RDP.Data($B16,"TR.EPSMean","Period=FY2 Frq=D SDate=1D Curn=#1",,$C$1))</f>
        <v>3.7478099999999999</v>
      </c>
      <c r="J16" s="96">
        <f>IF($B16="","",_xll.RDP.Data($B16,"TR.EPSMean","Period=FY3 Frq=D SDate=1D Curn=#1",,$C$1))</f>
        <v>4.0008100000000004</v>
      </c>
      <c r="K16" s="95" cm="1">
        <f t="array" ref="K16">IF($B16="","",_xll.RDP.Data($B16,"TR.EBITMean","Period=FY0 Frq=D SDate=1D Curn=#1",,$C$1)/1000000)</f>
        <v>1145.8387</v>
      </c>
      <c r="L16" s="95" cm="1">
        <f t="array" ref="L16">IF($B16="","",_xll.RDP.Data($B16,"TR.EBITMean","Period=FY1 Frq=D SDate=1D Curn=#1",,$C$1)/1000000)</f>
        <v>1164.9900500000001</v>
      </c>
      <c r="M16" s="96" cm="1">
        <f t="array" ref="M16">IF($B16="","",_xll.RDP.Data($B16,"TR.EBITMean","Period=FY2 Frq=D SDate=1D Curn=#1",,$C$1)/1000000)</f>
        <v>1240.4798499999999</v>
      </c>
      <c r="N16" s="97" cm="1">
        <f t="array" ref="N16">IF($B16="","",_xll.RDP.Data($B16,"TR.EBITDAMean","Period=FY0 Frq=D SDate=1D Curn=#1",,$C$1)/1000000)</f>
        <v>1375.56467</v>
      </c>
      <c r="O16" s="95" cm="1">
        <f t="array" ref="O16">IF($B16="","",_xll.RDP.Data($B16,"TR.EBITDAMean","Period=FY1 Frq=D SDate=1D Curn=#1",,$C$1)/1000000)</f>
        <v>1399.6817799999999</v>
      </c>
      <c r="P16" s="95" cm="1">
        <f t="array" ref="P16">IF($B16="","",_xll.RDP.Data($B16,"TR.EBITDAMean","Period=FY2 Frq=D SDate=1D Curn=#1",,$C$1)/1000000)</f>
        <v>1478.5306800000001</v>
      </c>
      <c r="Q16" s="98" cm="1">
        <f t="array" ref="Q16">IF($B16="","",_xll.RDP.Data($B16,"TR.LTGMean",,)/100)</f>
        <v>4.98667E-2</v>
      </c>
      <c r="R16" s="43"/>
      <c r="S16" s="45"/>
      <c r="T16" s="45"/>
    </row>
    <row r="17" spans="1:20" ht="15.6">
      <c r="A17" s="91" t="str">
        <f>A8</f>
        <v>Dupont De Nemours Inc</v>
      </c>
      <c r="B17" s="92" t="str">
        <f>IF(B8="","",B8)</f>
        <v>DD</v>
      </c>
      <c r="C17" s="93" cm="1">
        <f t="array" ref="C17">IF($B17="","",_xll.RDP.Data($B17,"TR.Revenue","Curn=#1",,$C$1)/1000000)</f>
        <v>12386</v>
      </c>
      <c r="D17" s="93" cm="1">
        <f t="array" ref="D17">IF($B17="","",_xll.RDP.Data($B17,"TR.RevenueMean","Period=FY1 Frq=D SDate=1D Curn=#1",,$C$1)/1000000)</f>
        <v>6847.6338299999998</v>
      </c>
      <c r="E17" s="93" cm="1">
        <f t="array" ref="E17">IF($B17="","",_xll.RDP.Data($B17,"TR.RevenueMean","Period=FY2 Frq=D SDate=1D Curn=#1",,$C$1)/1000000)</f>
        <v>7071.6310599999997</v>
      </c>
      <c r="F17" s="99" cm="1">
        <f t="array" ref="F17">IF($B17="","",_xll.RDP.Data($B17,"TR.RevenueMean","Period=FY3 Frq=D SDate=1D Curn=#1",,$C$1)/1000000)</f>
        <v>7353.6004599999997</v>
      </c>
      <c r="G17" s="95">
        <f>IF($B17="","",_xll.RDP.Data($B17,"TR.EPSMean","Period=FY0 Frq=D SDate=1D Curn=#1",,$C$1))</f>
        <v>3.9106100000000001</v>
      </c>
      <c r="H17" s="95">
        <f>IF($B17="","",_xll.RDP.Data($B17,"TR.EPSMean","Period=FY1 Frq=D SDate=1D Curn=#1",,$C$1))</f>
        <v>1.7697799999999999</v>
      </c>
      <c r="I17" s="95">
        <f>IF($B17="","",_xll.RDP.Data($B17,"TR.EPSMean","Period=FY2 Frq=D SDate=1D Curn=#1",,$C$1))</f>
        <v>2.1564000000000001</v>
      </c>
      <c r="J17" s="96">
        <f>IF($B17="","",_xll.RDP.Data($B17,"TR.EPSMean","Period=FY3 Frq=D SDate=1D Curn=#1",,$C$1))</f>
        <v>2.3464999999999998</v>
      </c>
      <c r="K17" s="95" cm="1">
        <f t="array" ref="K17">IF($B17="","",_xll.RDP.Data($B17,"TR.EBITMean","Period=FY0 Frq=D SDate=1D Curn=#1",,$C$1)/1000000)</f>
        <v>2535.12664</v>
      </c>
      <c r="L17" s="95" cm="1">
        <f t="array" ref="L17">IF($B17="","",_xll.RDP.Data($B17,"TR.EBITMean","Period=FY1 Frq=D SDate=1D Curn=#1",,$C$1)/1000000)</f>
        <v>1360.8478600000001</v>
      </c>
      <c r="M17" s="96" cm="1">
        <f t="array" ref="M17">IF($B17="","",_xll.RDP.Data($B17,"TR.EBITMean","Period=FY2 Frq=D SDate=1D Curn=#1",,$C$1)/1000000)</f>
        <v>1349.3397</v>
      </c>
      <c r="N17" s="97" cm="1">
        <f t="array" ref="N17">IF($B17="","",_xll.RDP.Data($B17,"TR.EBITDAMean","Period=FY0 Frq=D SDate=1D Curn=#1",,$C$1)/1000000)</f>
        <v>3131.6831200000001</v>
      </c>
      <c r="O17" s="95" cm="1">
        <f t="array" ref="O17">IF($B17="","",_xll.RDP.Data($B17,"TR.EBITDAMean","Period=FY1 Frq=D SDate=1D Curn=#1",,$C$1)/1000000)</f>
        <v>1610.36436</v>
      </c>
      <c r="P17" s="95" cm="1">
        <f t="array" ref="P17">IF($B17="","",_xll.RDP.Data($B17,"TR.EBITDAMean","Period=FY2 Frq=D SDate=1D Curn=#1",,$C$1)/1000000)</f>
        <v>1703.19893</v>
      </c>
      <c r="Q17" s="98" t="e" cm="1">
        <f t="array" ref="Q17">IF($B17="","",_xll.RDP.Data($B17,"TR.LTGMean",,)/100)</f>
        <v>#VALUE!</v>
      </c>
      <c r="R17" s="100" t="s">
        <v>231</v>
      </c>
      <c r="S17" s="45"/>
      <c r="T17" s="45"/>
    </row>
    <row r="18" spans="1:20" ht="15.6">
      <c r="A18" s="91" t="str">
        <f>A9</f>
        <v>Sherwin-Williams Co</v>
      </c>
      <c r="B18" s="92" t="str">
        <f>IF(B9="","",B9)</f>
        <v>SHW</v>
      </c>
      <c r="C18" s="101" cm="1">
        <f t="array" ref="C18">IF($B18="","",_xll.RDP.Data($B18,"TR.Revenue","Curn=#1",,$C$1)/1000000)</f>
        <v>23098.5</v>
      </c>
      <c r="D18" s="93" cm="1">
        <f t="array" ref="D18">IF($B18="","",_xll.RDP.Data($B18,"TR.RevenueMean","Period=FY1 Frq=D SDate=1D Curn=#1",,$C$1)/1000000)</f>
        <v>23516.492910000001</v>
      </c>
      <c r="E18" s="93" cm="1">
        <f t="array" ref="E18">IF($B18="","",_xll.RDP.Data($B18,"TR.RevenueMean","Period=FY2 Frq=D SDate=1D Curn=#1",,$C$1)/1000000)</f>
        <v>24694.036230000002</v>
      </c>
      <c r="F18" s="99" cm="1">
        <f t="array" ref="F18">IF($B18="","",_xll.RDP.Data($B18,"TR.RevenueMean","Period=FY3 Frq=D SDate=1D Curn=#1",,$C$1)/1000000)</f>
        <v>25775.46272</v>
      </c>
      <c r="G18" s="97">
        <f>IF($B18="","",_xll.RDP.Data($B18,"TR.EPSMean","Period=FY0 Frq=D SDate=1D Curn=#1",,$C$1))</f>
        <v>11.29786</v>
      </c>
      <c r="H18" s="95">
        <f>IF($B18="","",_xll.RDP.Data($B18,"TR.EPSMean","Period=FY1 Frq=D SDate=1D Curn=#1",,$C$1))</f>
        <v>11.376200000000001</v>
      </c>
      <c r="I18" s="95">
        <f>IF($B18="","",_xll.RDP.Data($B18,"TR.EPSMean","Period=FY2 Frq=D SDate=1D Curn=#1",,$C$1))</f>
        <v>12.56396</v>
      </c>
      <c r="J18" s="96">
        <f>IF($B18="","",_xll.RDP.Data($B18,"TR.EPSMean","Period=FY3 Frq=D SDate=1D Curn=#1",,$C$1))</f>
        <v>14.117000000000001</v>
      </c>
      <c r="K18" s="95" cm="1">
        <f t="array" ref="K18">IF($B18="","",_xll.RDP.Data($B18,"TR.EBITMean","Period=FY0 Frq=D SDate=1D Curn=#1",,$C$1)/1000000)</f>
        <v>3947.43939</v>
      </c>
      <c r="L18" s="95" cm="1">
        <f t="array" ref="L18">IF($B18="","",_xll.RDP.Data($B18,"TR.EBITMean","Period=FY1 Frq=D SDate=1D Curn=#1",,$C$1)/1000000)</f>
        <v>3934.6578599999998</v>
      </c>
      <c r="M18" s="96" cm="1">
        <f t="array" ref="M18">IF($B18="","",_xll.RDP.Data($B18,"TR.EBITMean","Period=FY2 Frq=D SDate=1D Curn=#1",,$C$1)/1000000)</f>
        <v>4341.5445900000004</v>
      </c>
      <c r="N18" s="97" cm="1">
        <f t="array" ref="N18">IF($B18="","",_xll.RDP.Data($B18,"TR.EBITDAMean","Period=FY0 Frq=D SDate=1D Curn=#1",,$C$1)/1000000)</f>
        <v>4501.3397199999999</v>
      </c>
      <c r="O18" s="95" cm="1">
        <f t="array" ref="O18">IF($B18="","",_xll.RDP.Data($B18,"TR.EBITDAMean","Period=FY1 Frq=D SDate=1D Curn=#1",,$C$1)/1000000)</f>
        <v>4527.4936100000004</v>
      </c>
      <c r="P18" s="95" cm="1">
        <f t="array" ref="P18">IF($B18="","",_xll.RDP.Data($B18,"TR.EBITDAMean","Period=FY2 Frq=D SDate=1D Curn=#1",,$C$1)/1000000)</f>
        <v>4920.6076999999996</v>
      </c>
      <c r="Q18" s="98" cm="1">
        <f t="array" ref="Q18">IF($B18="","",_xll.RDP.Data($B18,"TR.LTGMean",,)/100)</f>
        <v>7.5850000000000001E-2</v>
      </c>
      <c r="R18" s="100" t="s">
        <v>231</v>
      </c>
      <c r="S18" s="45"/>
      <c r="T18" s="45"/>
    </row>
    <row r="19" spans="1:20" ht="15.6">
      <c r="A19" s="102" t="str">
        <f>A10</f>
        <v>Ecolab Inc</v>
      </c>
      <c r="B19" s="103" t="str">
        <f>IF(B10="","",B10)</f>
        <v>ECL</v>
      </c>
      <c r="C19" s="103" cm="1">
        <f t="array" ref="C19">IF($B19="","",_xll.RDP.Data($B19,"TR.Revenue","Curn=#1",,$C$1)/1000000)</f>
        <v>15741.4</v>
      </c>
      <c r="D19" s="104" cm="1">
        <f t="array" ref="D19">IF($B19="","",_xll.RDP.Data($B19,"TR.RevenueMean","Period=FY1 Frq=D SDate=1D Curn=#1",,$C$1)/1000000)</f>
        <v>16057.811229999999</v>
      </c>
      <c r="E19" s="104" cm="1">
        <f t="array" ref="E19">IF($B19="","",_xll.RDP.Data($B19,"TR.RevenueMean","Period=FY2 Frq=D SDate=1D Curn=#1",,$C$1)/1000000)</f>
        <v>16916.095549999998</v>
      </c>
      <c r="F19" s="105" cm="1">
        <f t="array" ref="F19">IF($B19="","",_xll.RDP.Data($B19,"TR.RevenueMean","Period=FY3 Frq=D SDate=1D Curn=#1",,$C$1)/1000000)</f>
        <v>17774.87139</v>
      </c>
      <c r="G19" s="106">
        <f>IF($B19="","",_xll.RDP.Data($B19,"TR.EPSMean","Period=FY0 Frq=D SDate=1D Curn=#1",,$C$1))</f>
        <v>6.6308199999999999</v>
      </c>
      <c r="H19" s="107">
        <f>IF($B19="","",_xll.RDP.Data($B19,"TR.EPSMean","Period=FY1 Frq=D SDate=1D Curn=#1",,$C$1))</f>
        <v>7.52163</v>
      </c>
      <c r="I19" s="107">
        <f>IF($B19="","",_xll.RDP.Data($B19,"TR.EPSMean","Period=FY2 Frq=D SDate=1D Curn=#1",,$C$1))</f>
        <v>8.4816699999999994</v>
      </c>
      <c r="J19" s="108">
        <f>IF($B19="","",_xll.RDP.Data($B19,"TR.EPSMean","Period=FY3 Frq=D SDate=1D Curn=#1",,$C$1))</f>
        <v>9.6447199999999995</v>
      </c>
      <c r="K19" s="107" cm="1">
        <f t="array" ref="K19">IF($B19="","",_xll.RDP.Data($B19,"TR.EBITMean","Period=FY0 Frq=D SDate=1D Curn=#1",,$C$1)/1000000)</f>
        <v>2630.6933899999999</v>
      </c>
      <c r="L19" s="107" cm="1">
        <f t="array" ref="L19">IF($B19="","",_xll.RDP.Data($B19,"TR.EBITMean","Period=FY1 Frq=D SDate=1D Curn=#1",,$C$1)/1000000)</f>
        <v>2891.0473299999999</v>
      </c>
      <c r="M19" s="108" cm="1">
        <f t="array" ref="M19">IF($B19="","",_xll.RDP.Data($B19,"TR.EBITMean","Period=FY2 Frq=D SDate=1D Curn=#1",,$C$1)/1000000)</f>
        <v>3217.3702899999998</v>
      </c>
      <c r="N19" s="106" cm="1">
        <f t="array" ref="N19">IF($B19="","",_xll.RDP.Data($B19,"TR.EBITDAMean","Period=FY0 Frq=D SDate=1D Curn=#1",,$C$1)/1000000)</f>
        <v>3599.2172599999999</v>
      </c>
      <c r="O19" s="107" cm="1">
        <f t="array" ref="O19">IF($B19="","",_xll.RDP.Data($B19,"TR.EBITDAMean","Period=FY1 Frq=D SDate=1D Curn=#1",,$C$1)/1000000)</f>
        <v>3847.8377099999998</v>
      </c>
      <c r="P19" s="108" cm="1">
        <f t="array" ref="P19">IF($B19="","",_xll.RDP.Data($B19,"TR.EBITDAMean","Period=FY2 Frq=D SDate=1D Curn=#1",,$C$1)/1000000)</f>
        <v>4213.7930900000001</v>
      </c>
      <c r="Q19" s="109" cm="1">
        <f t="array" ref="Q19">IF($B19="","",_xll.RDP.Data($B19,"TR.LTGMean",,)/100)</f>
        <v>0.12710000000000002</v>
      </c>
      <c r="R19" s="43"/>
      <c r="S19" s="45"/>
      <c r="T19" s="45"/>
    </row>
    <row r="20" spans="1:20" ht="15.6">
      <c r="A20" s="43"/>
      <c r="B20" s="44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5"/>
      <c r="T20" s="45"/>
    </row>
    <row r="21" spans="1:20" ht="15.6">
      <c r="A21" s="46" t="s">
        <v>232</v>
      </c>
      <c r="B21" s="82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83"/>
      <c r="Q21" s="48"/>
      <c r="R21" s="43"/>
      <c r="S21" s="45"/>
      <c r="T21" s="45"/>
    </row>
    <row r="22" spans="1:20" ht="15.6">
      <c r="A22" s="49"/>
      <c r="B22" s="54"/>
      <c r="C22" s="54" t="s">
        <v>202</v>
      </c>
      <c r="D22" s="54" t="s">
        <v>233</v>
      </c>
      <c r="E22" s="84" t="s">
        <v>234</v>
      </c>
      <c r="F22" s="110"/>
      <c r="G22" s="111"/>
      <c r="H22" s="84" t="s">
        <v>235</v>
      </c>
      <c r="I22" s="110"/>
      <c r="J22" s="111"/>
      <c r="K22" s="84" t="s">
        <v>236</v>
      </c>
      <c r="L22" s="110"/>
      <c r="M22" s="111"/>
      <c r="N22" s="84" t="s">
        <v>237</v>
      </c>
      <c r="O22" s="110"/>
      <c r="P22" s="111"/>
      <c r="Q22" s="43" t="s">
        <v>238</v>
      </c>
      <c r="R22" s="43"/>
      <c r="S22" s="45"/>
      <c r="T22" s="45"/>
    </row>
    <row r="23" spans="1:20" ht="15.6">
      <c r="A23" s="55" t="s">
        <v>209</v>
      </c>
      <c r="B23" s="55" t="s">
        <v>210</v>
      </c>
      <c r="C23" s="55" t="s">
        <v>211</v>
      </c>
      <c r="D23" s="55" t="s">
        <v>207</v>
      </c>
      <c r="E23" s="87" t="s">
        <v>227</v>
      </c>
      <c r="F23" s="88" t="s">
        <v>228</v>
      </c>
      <c r="G23" s="89" t="s">
        <v>229</v>
      </c>
      <c r="H23" s="87" t="s">
        <v>227</v>
      </c>
      <c r="I23" s="88" t="s">
        <v>228</v>
      </c>
      <c r="J23" s="89" t="s">
        <v>229</v>
      </c>
      <c r="K23" s="87" t="s">
        <v>227</v>
      </c>
      <c r="L23" s="88" t="s">
        <v>228</v>
      </c>
      <c r="M23" s="89" t="s">
        <v>229</v>
      </c>
      <c r="N23" s="87" t="s">
        <v>226</v>
      </c>
      <c r="O23" s="88" t="s">
        <v>227</v>
      </c>
      <c r="P23" s="89" t="s">
        <v>228</v>
      </c>
      <c r="Q23" s="43"/>
      <c r="R23" s="43"/>
      <c r="S23" s="45"/>
      <c r="T23" s="45"/>
    </row>
    <row r="24" spans="1:20" ht="15.6">
      <c r="A24" s="91" t="str">
        <f>A6</f>
        <v>Clorox Co</v>
      </c>
      <c r="B24" s="112" t="str">
        <f t="shared" ref="B24:C28" si="0">IF(B6="","",B6)</f>
        <v>CLX</v>
      </c>
      <c r="C24" s="113">
        <f t="shared" si="0"/>
        <v>104.01</v>
      </c>
      <c r="D24" s="114">
        <f>IF(OR(B24="",ISNUMBER(F6)=FALSE,ISNUMBER(J6)=FALSE),"",F6/J6)</f>
        <v>39.523922803084119</v>
      </c>
      <c r="E24" s="114">
        <f t="shared" ref="E24:G28" si="1">IF(OR($B24="",ISNUMBER($F6)=FALSE,ISNUMBER(D15)=FALSE),"",$F6/D15)</f>
        <v>1.9532346318338516</v>
      </c>
      <c r="F24" s="115">
        <f t="shared" si="1"/>
        <v>1.8631596023675603</v>
      </c>
      <c r="G24" s="116">
        <f t="shared" si="1"/>
        <v>1.8109430069929147</v>
      </c>
      <c r="H24" s="117">
        <f t="shared" ref="H24:J28" si="2">IF(OR($B24="",ISNA(H15)=TRUE),"",$C6/H15)</f>
        <v>17.53501608345865</v>
      </c>
      <c r="I24" s="118">
        <f t="shared" si="2"/>
        <v>15.392037458249414</v>
      </c>
      <c r="J24" s="119">
        <f t="shared" si="2"/>
        <v>14.52416295102616</v>
      </c>
      <c r="K24" s="117">
        <f t="shared" ref="K24:M28" si="3">IF(OR($B24="",H24="",ISNA($Q15)=TRUE),"",H24/$Q15/100)</f>
        <v>-6.0570003742516931</v>
      </c>
      <c r="L24" s="118">
        <f t="shared" si="3"/>
        <v>-5.3167659613987608</v>
      </c>
      <c r="M24" s="119">
        <f t="shared" si="3"/>
        <v>-5.0169820210798477</v>
      </c>
      <c r="N24" s="118">
        <f t="shared" ref="N24:P28" si="4">IF(OR($B24="",ISNA($I6)=TRUE,ISNA(N15)=TRUE),"",$I6/N15)</f>
        <v>10.615876671423198</v>
      </c>
      <c r="O24" s="118">
        <f t="shared" si="4"/>
        <v>11.869172398511601</v>
      </c>
      <c r="P24" s="119">
        <f t="shared" si="4"/>
        <v>10.731846898309914</v>
      </c>
      <c r="Q24" s="43"/>
      <c r="R24" s="43"/>
      <c r="S24" s="45"/>
      <c r="T24" s="45"/>
    </row>
    <row r="25" spans="1:20" ht="15.6">
      <c r="A25" s="91" t="str">
        <f>A7</f>
        <v>Church &amp; Dwight Co Inc</v>
      </c>
      <c r="B25" s="112" t="str">
        <f t="shared" si="0"/>
        <v>CHD</v>
      </c>
      <c r="C25" s="113">
        <f t="shared" si="0"/>
        <v>84.61</v>
      </c>
      <c r="D25" s="114">
        <f>IF(OR(B25="",ISNUMBER(F7)=FALSE,ISNUMBER(J7)=FALSE),"",F7/J7)</f>
        <v>4.6591004648940562</v>
      </c>
      <c r="E25" s="114">
        <f t="shared" si="1"/>
        <v>3.277526317495095</v>
      </c>
      <c r="F25" s="115">
        <f t="shared" si="1"/>
        <v>3.1575200773032899</v>
      </c>
      <c r="G25" s="116">
        <f t="shared" si="1"/>
        <v>3.0506124462129511</v>
      </c>
      <c r="H25" s="117">
        <f t="shared" si="2"/>
        <v>24.19467837177049</v>
      </c>
      <c r="I25" s="118">
        <f t="shared" si="2"/>
        <v>22.575850963629428</v>
      </c>
      <c r="J25" s="119">
        <f t="shared" si="2"/>
        <v>21.148217485959091</v>
      </c>
      <c r="K25" s="117">
        <f t="shared" si="3"/>
        <v>4.8518707618050705</v>
      </c>
      <c r="L25" s="117">
        <f t="shared" si="3"/>
        <v>4.5272398140701968</v>
      </c>
      <c r="M25" s="117">
        <f t="shared" si="3"/>
        <v>4.2409498695440222</v>
      </c>
      <c r="N25" s="118">
        <f t="shared" si="4"/>
        <v>15.67204056448324</v>
      </c>
      <c r="O25" s="118">
        <f t="shared" si="4"/>
        <v>15.402004666596433</v>
      </c>
      <c r="P25" s="119">
        <f t="shared" si="4"/>
        <v>14.580627645352614</v>
      </c>
      <c r="Q25" s="43"/>
      <c r="R25" s="43"/>
      <c r="S25" s="45"/>
      <c r="T25" s="45"/>
    </row>
    <row r="26" spans="1:20" ht="15.6">
      <c r="A26" s="91" t="str">
        <f>A8</f>
        <v>Dupont De Nemours Inc</v>
      </c>
      <c r="B26" s="112" t="str">
        <f t="shared" si="0"/>
        <v>DD</v>
      </c>
      <c r="C26" s="113">
        <f t="shared" si="0"/>
        <v>40.93</v>
      </c>
      <c r="D26" s="114">
        <f>IF(OR(B26="",ISNUMBER(F8)=FALSE,ISNUMBER(J8)=FALSE),"",F8/J8)</f>
        <v>0.73441798763683086</v>
      </c>
      <c r="E26" s="114">
        <f t="shared" si="1"/>
        <v>2.5043190738661329</v>
      </c>
      <c r="F26" s="115">
        <f t="shared" si="1"/>
        <v>2.4249935928246802</v>
      </c>
      <c r="G26" s="116">
        <f t="shared" si="1"/>
        <v>2.3320086676724343</v>
      </c>
      <c r="H26" s="117">
        <f t="shared" si="2"/>
        <v>23.127168348608304</v>
      </c>
      <c r="I26" s="118">
        <f t="shared" si="2"/>
        <v>18.980708588388055</v>
      </c>
      <c r="J26" s="119">
        <f t="shared" si="2"/>
        <v>17.443000213083316</v>
      </c>
      <c r="K26" s="117" t="e">
        <f t="shared" si="3"/>
        <v>#VALUE!</v>
      </c>
      <c r="L26" s="117" t="e">
        <f t="shared" si="3"/>
        <v>#VALUE!</v>
      </c>
      <c r="M26" s="117" t="e">
        <f t="shared" si="3"/>
        <v>#VALUE!</v>
      </c>
      <c r="N26" s="118">
        <f t="shared" si="4"/>
        <v>7.1749468737181807</v>
      </c>
      <c r="O26" s="118">
        <f t="shared" si="4"/>
        <v>13.953152820222623</v>
      </c>
      <c r="P26" s="119">
        <f t="shared" si="4"/>
        <v>13.192622197877967</v>
      </c>
      <c r="Q26" s="43"/>
      <c r="R26" s="43"/>
      <c r="S26" s="45"/>
      <c r="T26" s="45"/>
    </row>
    <row r="27" spans="1:20" ht="15.6">
      <c r="A27" s="91" t="str">
        <f>A9</f>
        <v>Sherwin-Williams Co</v>
      </c>
      <c r="B27" s="112" t="str">
        <f t="shared" si="0"/>
        <v>SHW</v>
      </c>
      <c r="C27" s="113">
        <f t="shared" si="0"/>
        <v>328.69</v>
      </c>
      <c r="D27" s="114">
        <f>IF(OR(B27="",ISNUMBER(F9)=FALSE,ISNUMBER(J9)=FALSE),"",F9/J9)</f>
        <v>20.112588563381223</v>
      </c>
      <c r="E27" s="114">
        <f t="shared" si="1"/>
        <v>3.4648074055856317</v>
      </c>
      <c r="F27" s="115">
        <f t="shared" si="1"/>
        <v>3.2995869135796596</v>
      </c>
      <c r="G27" s="116">
        <f t="shared" si="1"/>
        <v>3.1611505746023716</v>
      </c>
      <c r="H27" s="117">
        <f t="shared" si="2"/>
        <v>28.892776146692214</v>
      </c>
      <c r="I27" s="118">
        <f t="shared" si="2"/>
        <v>26.161337667423329</v>
      </c>
      <c r="J27" s="119">
        <f t="shared" si="2"/>
        <v>23.283275483459658</v>
      </c>
      <c r="K27" s="117">
        <f t="shared" si="3"/>
        <v>3.8091992283048404</v>
      </c>
      <c r="L27" s="117">
        <f t="shared" si="3"/>
        <v>3.4490886839055146</v>
      </c>
      <c r="M27" s="117">
        <f t="shared" si="3"/>
        <v>3.0696473939959996</v>
      </c>
      <c r="N27" s="118">
        <f t="shared" si="4"/>
        <v>20.293384741014393</v>
      </c>
      <c r="O27" s="118">
        <f t="shared" si="4"/>
        <v>20.176156314435968</v>
      </c>
      <c r="P27" s="119">
        <f t="shared" si="4"/>
        <v>18.564255546722411</v>
      </c>
      <c r="Q27" s="43"/>
      <c r="R27" s="43"/>
      <c r="S27" s="45"/>
      <c r="T27" s="45"/>
    </row>
    <row r="28" spans="1:20" ht="15.6">
      <c r="A28" s="102" t="str">
        <f>A10</f>
        <v>Ecolab Inc</v>
      </c>
      <c r="B28" s="120" t="str">
        <f t="shared" si="0"/>
        <v>ECL</v>
      </c>
      <c r="C28" s="120">
        <f t="shared" si="0"/>
        <v>263.60000000000002</v>
      </c>
      <c r="D28" s="121">
        <f>IF(OR(B28="",ISNUMBER(F10)=FALSE,ISNUMBER(J10)=FALSE),"",F10/J10)</f>
        <v>8.5255636018864287</v>
      </c>
      <c r="E28" s="121">
        <f t="shared" si="1"/>
        <v>4.6495077729718721</v>
      </c>
      <c r="F28" s="122">
        <f t="shared" si="1"/>
        <v>4.4136022943426809</v>
      </c>
      <c r="G28" s="123">
        <f t="shared" si="1"/>
        <v>4.2003633383701242</v>
      </c>
      <c r="H28" s="124">
        <f t="shared" si="2"/>
        <v>35.045595170195824</v>
      </c>
      <c r="I28" s="125">
        <f t="shared" si="2"/>
        <v>31.078785192067134</v>
      </c>
      <c r="J28" s="126">
        <f t="shared" si="2"/>
        <v>27.331016348841651</v>
      </c>
      <c r="K28" s="124">
        <f t="shared" si="3"/>
        <v>2.7573245609910164</v>
      </c>
      <c r="L28" s="125">
        <f t="shared" si="3"/>
        <v>2.4452230678258955</v>
      </c>
      <c r="M28" s="126">
        <f t="shared" si="3"/>
        <v>2.1503553382251495</v>
      </c>
      <c r="N28" s="124">
        <f t="shared" si="4"/>
        <v>22.496285242530764</v>
      </c>
      <c r="O28" s="125">
        <f t="shared" si="4"/>
        <v>21.042732109094072</v>
      </c>
      <c r="P28" s="126">
        <f t="shared" si="4"/>
        <v>19.215233496621448</v>
      </c>
      <c r="Q28" s="43"/>
      <c r="R28" s="43"/>
      <c r="S28" s="45"/>
      <c r="T28" s="45"/>
    </row>
    <row r="29" spans="1:20" ht="15.6">
      <c r="A29" s="43"/>
      <c r="B29" s="44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5"/>
      <c r="T29" s="45"/>
    </row>
    <row r="30" spans="1:20" ht="15.6">
      <c r="A30" s="43"/>
      <c r="B30" s="44"/>
      <c r="C30" s="366" t="s">
        <v>239</v>
      </c>
      <c r="D30" s="127">
        <f t="shared" ref="D30:J30" si="5">AVERAGE(D24:D27)</f>
        <v>16.257507454749057</v>
      </c>
      <c r="E30" s="127">
        <f t="shared" si="5"/>
        <v>2.7999718571951777</v>
      </c>
      <c r="F30" s="128">
        <f t="shared" si="5"/>
        <v>2.6863150465187977</v>
      </c>
      <c r="G30" s="129">
        <f t="shared" si="5"/>
        <v>2.5886786738701679</v>
      </c>
      <c r="H30" s="130">
        <f t="shared" si="5"/>
        <v>23.437409737632414</v>
      </c>
      <c r="I30" s="131">
        <f t="shared" si="5"/>
        <v>20.777483669422555</v>
      </c>
      <c r="J30" s="132">
        <f t="shared" si="5"/>
        <v>19.099664033382055</v>
      </c>
      <c r="K30" s="130" t="e">
        <f>AVERAGE(K24,K26:K26)</f>
        <v>#VALUE!</v>
      </c>
      <c r="L30" s="130" t="e">
        <f>AVERAGE(L24,L26:L26)</f>
        <v>#VALUE!</v>
      </c>
      <c r="M30" s="130" t="e">
        <f>AVERAGE(M24,M26:M26)</f>
        <v>#VALUE!</v>
      </c>
      <c r="N30" s="130">
        <f>AVERAGE(N24:N27)</f>
        <v>13.439062212659753</v>
      </c>
      <c r="O30" s="131">
        <f>AVERAGE(O24:O27)</f>
        <v>15.350121549941658</v>
      </c>
      <c r="P30" s="132">
        <f>AVERAGE(P24:P27)</f>
        <v>14.267338072065726</v>
      </c>
      <c r="Q30" s="43"/>
      <c r="R30" s="43"/>
      <c r="S30" s="45"/>
      <c r="T30" s="45"/>
    </row>
    <row r="31" spans="1:20" ht="15.6">
      <c r="A31" s="43"/>
      <c r="B31" s="44"/>
      <c r="C31" s="366" t="s">
        <v>240</v>
      </c>
      <c r="D31" s="133">
        <f t="shared" ref="D31:J31" si="6">MEDIAN(D24:D27)</f>
        <v>12.38584451413764</v>
      </c>
      <c r="E31" s="133">
        <f t="shared" si="6"/>
        <v>2.8909226956806142</v>
      </c>
      <c r="F31" s="134">
        <f t="shared" si="6"/>
        <v>2.7912568350639848</v>
      </c>
      <c r="G31" s="135">
        <f t="shared" si="6"/>
        <v>2.6913105569426925</v>
      </c>
      <c r="H31" s="136">
        <f t="shared" si="6"/>
        <v>23.660923360189397</v>
      </c>
      <c r="I31" s="137">
        <f t="shared" si="6"/>
        <v>20.778279776008741</v>
      </c>
      <c r="J31" s="138">
        <f t="shared" si="6"/>
        <v>19.295608849521201</v>
      </c>
      <c r="K31" s="136" t="e">
        <f>MEDIAN(K24,K26:K26)</f>
        <v>#VALUE!</v>
      </c>
      <c r="L31" s="136" t="e">
        <f>MEDIAN(L24,L26:L26)</f>
        <v>#VALUE!</v>
      </c>
      <c r="M31" s="136" t="e">
        <f>MEDIAN(M24,M26:M26)</f>
        <v>#VALUE!</v>
      </c>
      <c r="N31" s="136">
        <f>MEDIAN(N24:N27)</f>
        <v>13.143958617953219</v>
      </c>
      <c r="O31" s="137">
        <f>MEDIAN(O24:O27)</f>
        <v>14.677578743409528</v>
      </c>
      <c r="P31" s="138">
        <f>MEDIAN(P24:P27)</f>
        <v>13.88662492161529</v>
      </c>
      <c r="Q31" s="43"/>
      <c r="R31" s="43"/>
      <c r="S31" s="45"/>
      <c r="T31" s="45"/>
    </row>
    <row r="32" spans="1:20" ht="15.6">
      <c r="A32" s="43"/>
      <c r="B32" s="44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5"/>
      <c r="T32" s="45"/>
    </row>
    <row r="33" spans="1:20" ht="15.6">
      <c r="A33" s="43"/>
      <c r="B33" s="44"/>
      <c r="C33" s="366" t="s">
        <v>239</v>
      </c>
      <c r="D33" s="139">
        <f>D30*$J$10/$E$10</f>
        <v>502.66224793908236</v>
      </c>
      <c r="E33" s="186">
        <f t="shared" ref="E33:G34" si="7">(E30*D$19)/$E$10</f>
        <v>158.74209004384301</v>
      </c>
      <c r="F33" s="187">
        <f t="shared" si="7"/>
        <v>160.438707214288</v>
      </c>
      <c r="G33" s="141">
        <f t="shared" si="7"/>
        <v>162.45635043014161</v>
      </c>
      <c r="H33" s="139">
        <f t="shared" ref="H33:J34" si="8">H30*H$19</f>
        <v>176.28752420486811</v>
      </c>
      <c r="I33" s="140">
        <f t="shared" si="8"/>
        <v>176.22775991443118</v>
      </c>
      <c r="J33" s="141">
        <f t="shared" si="8"/>
        <v>184.21091169604057</v>
      </c>
      <c r="K33" s="139" t="e">
        <f t="shared" ref="K33:M34" si="9">K30*H$19*$Q$19*100</f>
        <v>#VALUE!</v>
      </c>
      <c r="L33" s="140" t="e">
        <f t="shared" si="9"/>
        <v>#VALUE!</v>
      </c>
      <c r="M33" s="141" t="e">
        <f t="shared" si="9"/>
        <v>#VALUE!</v>
      </c>
      <c r="N33" s="139">
        <f t="shared" ref="N33:P34" si="10">(N30*N$19-($G$10-$H$10))/$E$10</f>
        <v>148.50533196828428</v>
      </c>
      <c r="O33" s="140">
        <f t="shared" si="10"/>
        <v>186.26425026000931</v>
      </c>
      <c r="P33" s="141">
        <f t="shared" si="10"/>
        <v>189.98847783038272</v>
      </c>
      <c r="Q33" s="43"/>
      <c r="R33" s="43"/>
      <c r="S33" s="45"/>
      <c r="T33" s="45"/>
    </row>
    <row r="34" spans="1:20" ht="15.6">
      <c r="A34" s="43"/>
      <c r="B34" s="44"/>
      <c r="C34" s="366" t="s">
        <v>240</v>
      </c>
      <c r="D34" s="142">
        <f>D31*$J$10/$E$10</f>
        <v>382.95516477107327</v>
      </c>
      <c r="E34" s="188">
        <f t="shared" si="7"/>
        <v>163.89847265366001</v>
      </c>
      <c r="F34" s="189">
        <f t="shared" si="7"/>
        <v>166.70629854121137</v>
      </c>
      <c r="G34" s="144">
        <f t="shared" si="7"/>
        <v>168.89716571171084</v>
      </c>
      <c r="H34" s="142">
        <f t="shared" si="8"/>
        <v>177.96871097370138</v>
      </c>
      <c r="I34" s="143">
        <f t="shared" si="8"/>
        <v>176.23451222778004</v>
      </c>
      <c r="J34" s="144">
        <f t="shared" si="8"/>
        <v>186.10074458315412</v>
      </c>
      <c r="K34" s="142" t="e">
        <f t="shared" si="9"/>
        <v>#VALUE!</v>
      </c>
      <c r="L34" s="143" t="e">
        <f t="shared" si="9"/>
        <v>#VALUE!</v>
      </c>
      <c r="M34" s="144" t="e">
        <f t="shared" si="9"/>
        <v>#VALUE!</v>
      </c>
      <c r="N34" s="142">
        <f t="shared" si="10"/>
        <v>144.75530283068909</v>
      </c>
      <c r="O34" s="143">
        <f t="shared" si="10"/>
        <v>177.12756303453645</v>
      </c>
      <c r="P34" s="144">
        <f t="shared" si="10"/>
        <v>184.3244788752788</v>
      </c>
      <c r="Q34" s="43"/>
      <c r="R34" s="43"/>
      <c r="S34" s="45"/>
      <c r="T34" s="45"/>
    </row>
    <row r="35" spans="1:20" ht="15.6">
      <c r="A35" s="145"/>
      <c r="B35" s="146"/>
      <c r="C35" s="43"/>
      <c r="D35" s="147" t="s">
        <v>241</v>
      </c>
      <c r="E35" s="148"/>
      <c r="F35" s="148"/>
      <c r="G35" s="148"/>
      <c r="H35" s="147" t="s">
        <v>242</v>
      </c>
      <c r="I35" s="147" t="s">
        <v>243</v>
      </c>
      <c r="J35" s="147" t="s">
        <v>244</v>
      </c>
      <c r="K35" s="147" t="s">
        <v>245</v>
      </c>
      <c r="L35" s="147" t="s">
        <v>246</v>
      </c>
      <c r="M35" s="147" t="s">
        <v>247</v>
      </c>
      <c r="N35" s="147" t="s">
        <v>248</v>
      </c>
      <c r="O35" s="147" t="s">
        <v>249</v>
      </c>
      <c r="P35" s="145"/>
      <c r="Q35" s="145"/>
      <c r="R35" s="145"/>
      <c r="S35" s="45"/>
      <c r="T35" s="45"/>
    </row>
    <row r="36" spans="1:20" ht="15.6">
      <c r="A36" s="46" t="s">
        <v>250</v>
      </c>
      <c r="B36" s="82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83"/>
      <c r="Q36" s="48"/>
      <c r="R36" s="43"/>
      <c r="S36" s="45"/>
      <c r="T36" s="45"/>
    </row>
    <row r="37" spans="1:20" ht="15.6">
      <c r="A37" s="149"/>
      <c r="B37" s="150"/>
      <c r="C37" s="151" t="s">
        <v>251</v>
      </c>
      <c r="D37" s="152" t="s">
        <v>252</v>
      </c>
      <c r="E37" s="152" t="s">
        <v>253</v>
      </c>
      <c r="F37" s="152"/>
      <c r="G37" s="153"/>
      <c r="H37" s="151" t="s">
        <v>254</v>
      </c>
      <c r="I37" s="152" t="s">
        <v>255</v>
      </c>
      <c r="J37" s="152" t="s">
        <v>256</v>
      </c>
      <c r="K37" s="151"/>
      <c r="L37" s="153"/>
      <c r="M37" s="151" t="s">
        <v>257</v>
      </c>
      <c r="N37" s="153" t="s">
        <v>258</v>
      </c>
      <c r="O37" s="153" t="s">
        <v>259</v>
      </c>
      <c r="P37" s="69"/>
      <c r="Q37" s="69"/>
      <c r="R37" s="69"/>
      <c r="S37" s="45"/>
      <c r="T37" s="45"/>
    </row>
    <row r="38" spans="1:20" ht="15.6">
      <c r="A38" s="154" t="s">
        <v>209</v>
      </c>
      <c r="B38" s="154" t="s">
        <v>210</v>
      </c>
      <c r="C38" s="155" t="s">
        <v>260</v>
      </c>
      <c r="D38" s="156" t="s">
        <v>260</v>
      </c>
      <c r="E38" s="156" t="s">
        <v>260</v>
      </c>
      <c r="F38" s="156" t="s">
        <v>261</v>
      </c>
      <c r="G38" s="157" t="s">
        <v>262</v>
      </c>
      <c r="H38" s="155" t="s">
        <v>263</v>
      </c>
      <c r="I38" s="156" t="s">
        <v>263</v>
      </c>
      <c r="J38" s="156" t="s">
        <v>263</v>
      </c>
      <c r="K38" s="155" t="s">
        <v>264</v>
      </c>
      <c r="L38" s="157" t="s">
        <v>265</v>
      </c>
      <c r="M38" s="155" t="s">
        <v>266</v>
      </c>
      <c r="N38" s="157" t="s">
        <v>266</v>
      </c>
      <c r="O38" s="157" t="s">
        <v>267</v>
      </c>
      <c r="P38" s="71"/>
      <c r="Q38" s="69"/>
      <c r="R38" s="69"/>
      <c r="S38" s="45"/>
      <c r="T38" s="45"/>
    </row>
    <row r="39" spans="1:20" ht="15.6">
      <c r="A39" s="59" t="str">
        <f>A6</f>
        <v>Clorox Co</v>
      </c>
      <c r="B39" s="158" t="str">
        <f>IF(B15="","",B24)</f>
        <v>CLX</v>
      </c>
      <c r="C39" s="159" cm="1">
        <f t="array" ref="C39">IF($B39="","",_xll.RDP.Data($B39,"TR.GrossMargin")/100)</f>
        <v>0.45157659999999999</v>
      </c>
      <c r="D39" s="160" cm="1">
        <f t="array" ref="D39">IF($B39="","",_xll.RDP.Data($B39,"TR.OperatingMarginPercent")/100)</f>
        <v>0.15174550000000001</v>
      </c>
      <c r="E39" s="160" cm="1">
        <f t="array" ref="E39">IF($B39="","",_xll.RDP.Data($B39,"TR.NetProfitMargin")/100)</f>
        <v>0.1140203</v>
      </c>
      <c r="F39" s="160" cm="1">
        <f t="array" ref="F39">IF($B39="","",_xll.RDP.Data($B39,"TR.ROAActValue")/100)</f>
        <v>0.1696</v>
      </c>
      <c r="G39" s="160" cm="1">
        <f t="array" ref="G39">IF($B39="","",_xll.RDP.Data($B39,"TR.ROEActValue")/100)</f>
        <v>2.9567999999999999</v>
      </c>
      <c r="H39" s="161">
        <f>IF($B39="","",_xll.RDP.Data($B39,"TR.AssetTurnover"))</f>
        <v>1.2560113154000001</v>
      </c>
      <c r="I39" s="162">
        <f>IF($B39="","",_xll.RDP.Data($B39,"TR.InventoryTurnover"))</f>
        <v>6.7172413792999999</v>
      </c>
      <c r="J39" s="163" cm="1">
        <f t="array" ref="J39">IF($B39="","",_xll.RDP.Data($B39,"TR.Revenue")/_xll.RDP.Data($B39,"TR.TotalReceivablesNet"))</f>
        <v>8.6528623629719856</v>
      </c>
      <c r="K39" s="164">
        <f>IF($B39="","",_xll.RDP.Data($B39,"TR.TtlDebtToTtlEquityPct"))</f>
        <v>786.29283489099998</v>
      </c>
      <c r="L39" s="165">
        <f>IF($B39="","",_xll.RDP.Data($B39,"TR.LTDebtToTtlCapitalPct"))</f>
        <v>83.333333333300004</v>
      </c>
      <c r="M39" s="166">
        <f>IF($B39="","",_xll.RDP.Data($B39,"TR.QuickRatio"))</f>
        <v>0.56540000000000001</v>
      </c>
      <c r="N39" s="167">
        <f>IF($B39="","",_xll.RDP.Data($B39,"TR.CurrentRatio"))</f>
        <v>0.83794000000000002</v>
      </c>
      <c r="O39" s="168" cm="1">
        <f t="array" ref="O39">IF($B39="","",_xll.RDP.Data($B39,"TR.EBITDA")/_xll.RDP.Data($B39,"TR.InterestExpense"))</f>
        <v>17.386363636363637</v>
      </c>
      <c r="P39" s="71"/>
      <c r="Q39" s="69"/>
      <c r="R39" s="69"/>
      <c r="S39" s="45"/>
      <c r="T39" s="45"/>
    </row>
    <row r="40" spans="1:20" ht="15.6">
      <c r="A40" s="59" t="str">
        <f>A7</f>
        <v>Church &amp; Dwight Co Inc</v>
      </c>
      <c r="B40" s="158" t="str">
        <f>IF(B16="","",B25)</f>
        <v>CHD</v>
      </c>
      <c r="C40" s="169" cm="1">
        <f t="array" ref="C40">IF($B40="","",_xll.RDP.Data($B40,"TR.GrossMargin")/100)</f>
        <v>0.45686169999999998</v>
      </c>
      <c r="D40" s="170" cm="1">
        <f t="array" ref="D40">IF($B40="","",_xll.RDP.Data($B40,"TR.OperatingMarginPercent")/100)</f>
        <v>0.13215769999999999</v>
      </c>
      <c r="E40" s="170" cm="1">
        <f t="array" ref="E40">IF($B40="","",_xll.RDP.Data($B40,"TR.NetProfitMargin")/100)</f>
        <v>9.5839300000000002E-2</v>
      </c>
      <c r="F40" s="170" cm="1">
        <f t="array" ref="F40">IF($B40="","",_xll.RDP.Data($B40,"TR.ROAActValue")/100)</f>
        <v>9.7299999999999998E-2</v>
      </c>
      <c r="G40" s="171" cm="1">
        <f t="array" ref="G40">IF($B40="","",_xll.RDP.Data($B40,"TR.ROEActValue")/100)</f>
        <v>0.20670000000000002</v>
      </c>
      <c r="H40" s="164">
        <f>IF($B40="","",_xll.RDP.Data($B40,"TR.AssetTurnover"))</f>
        <v>0.69986190930000003</v>
      </c>
      <c r="I40" s="172">
        <f>IF($B40="","",_xll.RDP.Data($B40,"TR.InventoryTurnover"))</f>
        <v>5.4084461112</v>
      </c>
      <c r="J40" s="173" cm="1">
        <f t="array" ref="J40">IF($B40="","",_xll.RDP.Data($B40,"TR.Revenue")/_xll.RDP.Data($B40,"TR.TotalReceivablesNet"))</f>
        <v>10.164946737683088</v>
      </c>
      <c r="K40" s="164">
        <f>IF($B40="","",_xll.RDP.Data($B40,"TR.TtlDebtToTtlEquityPct"))</f>
        <v>50.554944046999999</v>
      </c>
      <c r="L40" s="165">
        <f>IF($B40="","",_xll.RDP.Data($B40,"TR.LTDebtToTtlCapitalPct"))</f>
        <v>33.579066012699997</v>
      </c>
      <c r="M40" s="166">
        <f>IF($B40="","",_xll.RDP.Data($B40,"TR.QuickRatio"))</f>
        <v>1.23664</v>
      </c>
      <c r="N40" s="167">
        <f>IF($B40="","",_xll.RDP.Data($B40,"TR.CurrentRatio"))</f>
        <v>1.7027099999999999</v>
      </c>
      <c r="O40" s="168" cm="1">
        <f t="array" ref="O40">IF($B40="","",_xll.RDP.Data($B40,"TR.EBITDA")/_xll.RDP.Data($B40,"TR.InterestExpense"))</f>
        <v>14.771578947368422</v>
      </c>
      <c r="P40" s="69"/>
      <c r="Q40" s="69"/>
      <c r="R40" s="69"/>
      <c r="S40" s="45"/>
      <c r="T40" s="45"/>
    </row>
    <row r="41" spans="1:20" ht="15.6">
      <c r="A41" s="59" t="str">
        <f>A8</f>
        <v>Dupont De Nemours Inc</v>
      </c>
      <c r="B41" s="158" t="str">
        <f>IF(B17="","",B26)</f>
        <v>DD</v>
      </c>
      <c r="C41" s="169" cm="1">
        <f t="array" ref="C41">IF($B41="","",_xll.RDP.Data($B41,"TR.GrossMargin")/100)</f>
        <v>0.36589700000000003</v>
      </c>
      <c r="D41" s="170" cm="1">
        <f t="array" ref="D41">IF($B41="","",_xll.RDP.Data($B41,"TR.OperatingMarginPercent")/100)</f>
        <v>0.12449540000000001</v>
      </c>
      <c r="E41" s="170" cm="1">
        <f t="array" ref="E41">IF($B41="","",_xll.RDP.Data($B41,"TR.NetProfitMargin")/100)</f>
        <v>5.9987100000000002E-2</v>
      </c>
      <c r="F41" s="170" cm="1">
        <f t="array" ref="F41">IF($B41="","",_xll.RDP.Data($B41,"TR.ROAActValue")/100)</f>
        <v>4.5499999999999999E-2</v>
      </c>
      <c r="G41" s="171" cm="1">
        <f t="array" ref="G41">IF($B41="","",_xll.RDP.Data($B41,"TR.ROEActValue")/100)</f>
        <v>7.1800000000000003E-2</v>
      </c>
      <c r="H41" s="164">
        <f>IF($B41="","",_xll.RDP.Data($B41,"TR.AssetTurnover"))</f>
        <v>0.3294674682</v>
      </c>
      <c r="I41" s="172">
        <f>IF($B41="","",_xll.RDP.Data($B41,"TR.InventoryTurnover"))</f>
        <v>3.6726677578000002</v>
      </c>
      <c r="J41" s="173" cm="1">
        <f t="array" ref="J41">IF($B41="","",_xll.RDP.Data($B41,"TR.Revenue")/_xll.RDP.Data($B41,"TR.TotalReceivablesNet"))</f>
        <v>5.6325602546612092</v>
      </c>
      <c r="K41" s="164">
        <f>IF($B41="","",_xll.RDP.Data($B41,"TR.TtlDebtToTtlEquityPct"))</f>
        <v>30.7109207709</v>
      </c>
      <c r="L41" s="165">
        <f>IF($B41="","",_xll.RDP.Data($B41,"TR.LTDebtToTtlCapitalPct"))</f>
        <v>17.190931404200001</v>
      </c>
      <c r="M41" s="166">
        <f>IF($B41="","",_xll.RDP.Data($B41,"TR.QuickRatio"))</f>
        <v>0.88190000000000002</v>
      </c>
      <c r="N41" s="167">
        <f>IF($B41="","",_xll.RDP.Data($B41,"TR.CurrentRatio"))</f>
        <v>1.3255600000000001</v>
      </c>
      <c r="O41" s="168" cm="1">
        <f t="array" ref="O41">IF($B41="","",_xll.RDP.Data($B41,"TR.EBITDA")/_xll.RDP.Data($B41,"TR.InterestExpense"))</f>
        <v>8.3879781420765021</v>
      </c>
      <c r="P41" s="69"/>
      <c r="Q41" s="69"/>
      <c r="R41" s="69"/>
      <c r="S41" s="45"/>
      <c r="T41" s="45"/>
    </row>
    <row r="42" spans="1:20" ht="15.6">
      <c r="A42" s="59" t="str">
        <f>A9</f>
        <v>Sherwin-Williams Co</v>
      </c>
      <c r="B42" s="158" t="str">
        <f>IF(B18="","",B27)</f>
        <v>SHW</v>
      </c>
      <c r="C42" s="169" cm="1">
        <f t="array" ref="C42">IF($B42="","",_xll.RDP.Data($B42,"TR.GrossMargin")/100)</f>
        <v>0.48466779999999998</v>
      </c>
      <c r="D42" s="170" cm="1">
        <f t="array" ref="D42">IF($B42="","",_xll.RDP.Data($B42,"TR.OperatingMarginPercent")/100)</f>
        <v>0.1475031</v>
      </c>
      <c r="E42" s="170" cm="1">
        <f t="array" ref="E42">IF($B42="","",_xll.RDP.Data($B42,"TR.NetProfitMargin")/100)</f>
        <v>0.11608549999999999</v>
      </c>
      <c r="F42" s="170" cm="1">
        <f t="array" ref="F42">IF($B42="","",_xll.RDP.Data($B42,"TR.ROAActValue")/100)</f>
        <v>0.12359000000000001</v>
      </c>
      <c r="G42" s="171" cm="1">
        <f t="array" ref="G42">IF($B42="","",_xll.RDP.Data($B42,"TR.ROEActValue")/100)</f>
        <v>0.74159000000000008</v>
      </c>
      <c r="H42" s="164">
        <f>IF($B42="","",_xll.RDP.Data($B42,"TR.AssetTurnover"))</f>
        <v>0.99162856590000004</v>
      </c>
      <c r="I42" s="172">
        <f>IF($B42="","",_xll.RDP.Data($B42,"TR.InventoryTurnover"))</f>
        <v>5.1553303450000003</v>
      </c>
      <c r="J42" s="173" cm="1">
        <f t="array" ref="J42">IF($B42="","",_xll.RDP.Data($B42,"TR.Revenue")/_xll.RDP.Data($B42,"TR.TotalReceivablesNet"))</f>
        <v>9.4518782224404614</v>
      </c>
      <c r="K42" s="164">
        <f>IF($B42="","",_xll.RDP.Data($B42,"TR.TtlDebtToTtlEquityPct"))</f>
        <v>248.75839257499999</v>
      </c>
      <c r="L42" s="165">
        <f>IF($B42="","",_xll.RDP.Data($B42,"TR.LTDebtToTtlCapitalPct"))</f>
        <v>59.186490101799997</v>
      </c>
      <c r="M42" s="166">
        <f>IF($B42="","",_xll.RDP.Data($B42,"TR.QuickRatio"))</f>
        <v>0.45717000000000002</v>
      </c>
      <c r="N42" s="167">
        <f>IF($B42="","",_xll.RDP.Data($B42,"TR.CurrentRatio"))</f>
        <v>0.79322000000000004</v>
      </c>
      <c r="O42" s="168" cm="1">
        <f t="array" ref="O42">IF($B42="","",_xll.RDP.Data($B42,"TR.EBITDA")/_xll.RDP.Data($B42,"TR.InterestExpense"))</f>
        <v>10.536503362151777</v>
      </c>
      <c r="P42" s="69"/>
      <c r="Q42" s="69"/>
      <c r="R42" s="69"/>
      <c r="S42" s="45"/>
      <c r="T42" s="45"/>
    </row>
    <row r="43" spans="1:20" ht="15.6">
      <c r="A43" s="174" t="str">
        <f>A10</f>
        <v>Ecolab Inc</v>
      </c>
      <c r="B43" s="175" t="str">
        <f>IF(B19="","",B28)</f>
        <v>ECL</v>
      </c>
      <c r="C43" s="176" cm="1">
        <f t="array" ref="C43">IF($B43="","",_xll.RDP.Data($B43,"TR.GrossMargin")/100)</f>
        <v>0.43496769999999996</v>
      </c>
      <c r="D43" s="177" cm="1">
        <f t="array" ref="D43">IF($B43="","",_xll.RDP.Data($B43,"TR.OperatingMarginPercent")/100)</f>
        <v>0.1780274</v>
      </c>
      <c r="E43" s="177" cm="1">
        <f t="array" ref="E43">IF($B43="","",_xll.RDP.Data($B43,"TR.NetProfitMargin")/100)</f>
        <v>0.1341939</v>
      </c>
      <c r="F43" s="177" cm="1">
        <f t="array" ref="F43">IF($B43="","",_xll.RDP.Data($B43,"TR.ROAActValue")/100)</f>
        <v>8.6190000000000003E-2</v>
      </c>
      <c r="G43" s="178" cm="1">
        <f t="array" ref="G43">IF($B43="","",_xll.RDP.Data($B43,"TR.ROEActValue")/100)</f>
        <v>0.22699000000000003</v>
      </c>
      <c r="H43" s="179">
        <f>IF($B43="","",_xll.RDP.Data($B43,"TR.AssetTurnover"))</f>
        <v>0.71172661999999998</v>
      </c>
      <c r="I43" s="180">
        <f>IF($B43="","",_xll.RDP.Data($B43,"TR.InventoryTurnover"))</f>
        <v>6.0054690929000003</v>
      </c>
      <c r="J43" s="181" cm="1">
        <f t="array" ref="J43">IF($B43="","",_xll.RDP.Data($B43,"TR.Revenue")/_xll.RDP.Data($B43,"TR.TotalReceivablesNet"))</f>
        <v>5.1980979427401515</v>
      </c>
      <c r="K43" s="179">
        <f>IF($B43="","",_xll.RDP.Data($B43,"TR.TtlDebtToTtlEquityPct"))</f>
        <v>86.383931120300005</v>
      </c>
      <c r="L43" s="182">
        <f>IF($B43="","",_xll.RDP.Data($B43,"TR.LTDebtToTtlCapitalPct"))</f>
        <v>42.492096783100003</v>
      </c>
      <c r="M43" s="183">
        <f>IF($B43="","",_xll.RDP.Data($B43,"TR.QuickRatio"))</f>
        <v>0.95159000000000005</v>
      </c>
      <c r="N43" s="184">
        <f>IF($B43="","",_xll.RDP.Data($B43,"TR.CurrentRatio"))</f>
        <v>1.2572399999999999</v>
      </c>
      <c r="O43" s="185" cm="1">
        <f t="array" ref="O43">IF($B43="","",_xll.RDP.Data($B43,"TR.EBITDA")/_xll.RDP.Data($B43,"TR.InterestExpense"))</f>
        <v>10.444607699089039</v>
      </c>
      <c r="P43" s="69"/>
      <c r="Q43" s="69"/>
      <c r="R43" s="69"/>
      <c r="S43" s="45"/>
      <c r="T43" s="45"/>
    </row>
    <row r="44" spans="1:20" ht="15.6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</row>
    <row r="45" spans="1:20" ht="15.6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</row>
    <row r="46" spans="1:20" ht="15.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</row>
  </sheetData>
  <conditionalFormatting sqref="D33:P34">
    <cfRule type="cellIs" dxfId="3" priority="1" operator="lessThan">
      <formula>$C$28</formula>
    </cfRule>
    <cfRule type="cellIs" dxfId="2" priority="2" operator="greaterThan">
      <formula>$C$28</formula>
    </cfRule>
  </conditionalFormatting>
  <hyperlinks>
    <hyperlink ref="G10" tooltip="Thomson Reuters Click-Thru" xr:uid="{83244F2E-F4EF-4B7B-A2DF-A0E9947C3D23}"/>
    <hyperlink ref="H10" tooltip="Thomson Reuters Click-Thru" xr:uid="{D8073162-234E-4FA9-924A-7B74BB594B9F}"/>
    <hyperlink ref="J40" tooltip="Thomson Reuters Click-Thru" xr:uid="{57A12E76-CFEB-4591-96CC-06B9354C30F6}"/>
    <hyperlink ref="G7" tooltip="Thomson Reuters Click-Thru" xr:uid="{8D5C5F9F-C3CD-4C1D-9A4A-40466881DAA5}"/>
    <hyperlink ref="G8" tooltip="Thomson Reuters Click-Thru" xr:uid="{7910162A-8B07-4E45-B471-E2A831303EBF}"/>
    <hyperlink ref="G9" tooltip="Thomson Reuters Click-Thru" xr:uid="{26183963-07EC-44BD-A099-BEA8BC1328B8}"/>
    <hyperlink ref="H7:H8" tooltip="Thomson Reuters Click-Thru" xr:uid="{33B113C0-CD30-44F1-B5C3-417F0DF16166}"/>
    <hyperlink ref="H6" tooltip="Thomson Reuters Click-Thru" xr:uid="{FC33D322-D949-466E-9223-6EED35C7295A}"/>
    <hyperlink ref="G6" tooltip="Thomson Reuters Click-Thru" xr:uid="{CC4DC44C-7334-4458-8CF5-9AA3B68877A7}"/>
    <hyperlink ref="J39" tooltip="Thomson Reuters Click-Thru" xr:uid="{9D66A50D-EC86-4E4D-8E78-EC1A892B255E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AC79-EE9D-4CC8-B13B-5DA029D15A4A}">
  <dimension ref="A1:Q43"/>
  <sheetViews>
    <sheetView zoomScale="70" workbookViewId="0">
      <selection activeCell="B33" sqref="B33"/>
    </sheetView>
  </sheetViews>
  <sheetFormatPr defaultColWidth="15.44140625" defaultRowHeight="14.4"/>
  <sheetData>
    <row r="1" spans="1:17">
      <c r="A1" s="43"/>
      <c r="B1" s="44"/>
      <c r="C1" s="43" t="s">
        <v>198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>
      <c r="A2" s="364" t="s">
        <v>199</v>
      </c>
      <c r="B2" s="365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</row>
    <row r="3" spans="1:17">
      <c r="A3" s="46" t="s">
        <v>200</v>
      </c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>
      <c r="A4" s="49" t="s">
        <v>201</v>
      </c>
      <c r="B4" s="50"/>
      <c r="C4" s="51" t="s">
        <v>202</v>
      </c>
      <c r="D4" s="52" t="s">
        <v>203</v>
      </c>
      <c r="E4" s="52" t="s">
        <v>204</v>
      </c>
      <c r="F4" s="52" t="s">
        <v>205</v>
      </c>
      <c r="G4" s="52" t="s">
        <v>82</v>
      </c>
      <c r="H4" s="52"/>
      <c r="I4" s="52" t="s">
        <v>206</v>
      </c>
      <c r="J4" s="53" t="s">
        <v>207</v>
      </c>
      <c r="K4" s="53"/>
      <c r="L4" s="54" t="s">
        <v>208</v>
      </c>
      <c r="M4" s="43"/>
      <c r="N4" s="43"/>
      <c r="O4" s="43"/>
      <c r="P4" s="43"/>
      <c r="Q4" s="43"/>
    </row>
    <row r="5" spans="1:17">
      <c r="A5" s="55" t="s">
        <v>209</v>
      </c>
      <c r="B5" s="55" t="s">
        <v>210</v>
      </c>
      <c r="C5" s="56" t="s">
        <v>211</v>
      </c>
      <c r="D5" s="57" t="s">
        <v>212</v>
      </c>
      <c r="E5" s="57" t="s">
        <v>213</v>
      </c>
      <c r="F5" s="57" t="s">
        <v>214</v>
      </c>
      <c r="G5" s="57" t="s">
        <v>193</v>
      </c>
      <c r="H5" s="57" t="s">
        <v>215</v>
      </c>
      <c r="I5" s="57" t="s">
        <v>216</v>
      </c>
      <c r="J5" s="58" t="s">
        <v>216</v>
      </c>
      <c r="K5" s="58" t="s">
        <v>217</v>
      </c>
      <c r="L5" s="55" t="s">
        <v>218</v>
      </c>
      <c r="M5" s="43"/>
      <c r="N5" s="43"/>
      <c r="O5" s="43"/>
      <c r="P5" s="43"/>
      <c r="Q5" s="43"/>
    </row>
    <row r="6" spans="1:17">
      <c r="A6" s="59" t="s">
        <v>377</v>
      </c>
      <c r="B6" s="60" t="s">
        <v>269</v>
      </c>
      <c r="C6" s="61">
        <v>119.59</v>
      </c>
      <c r="D6" s="62">
        <v>171.37</v>
      </c>
      <c r="E6" s="63">
        <v>121.773579</v>
      </c>
      <c r="F6" s="64">
        <v>14562.90231261</v>
      </c>
      <c r="G6" s="64">
        <v>2524</v>
      </c>
      <c r="H6" s="64">
        <v>167</v>
      </c>
      <c r="I6" s="65">
        <v>16919.90231261</v>
      </c>
      <c r="J6" s="64">
        <v>321</v>
      </c>
      <c r="K6" s="66">
        <v>0.52029937618949196</v>
      </c>
      <c r="L6" s="67">
        <v>133.89500000000001</v>
      </c>
      <c r="M6" s="68"/>
      <c r="N6" s="69"/>
      <c r="O6" s="69"/>
      <c r="P6" s="69"/>
      <c r="Q6" s="69"/>
    </row>
    <row r="7" spans="1:17">
      <c r="A7" s="59" t="s">
        <v>378</v>
      </c>
      <c r="B7" s="60" t="s">
        <v>270</v>
      </c>
      <c r="C7" s="70">
        <v>88.08</v>
      </c>
      <c r="D7" s="71">
        <v>116.46</v>
      </c>
      <c r="E7" s="63">
        <v>243.60869500000001</v>
      </c>
      <c r="F7" s="65">
        <v>21457.053855599999</v>
      </c>
      <c r="G7" s="65">
        <v>2204.6</v>
      </c>
      <c r="H7" s="65">
        <v>964.1</v>
      </c>
      <c r="I7" s="65">
        <v>22697.553855599999</v>
      </c>
      <c r="J7" s="65">
        <v>4360.8</v>
      </c>
      <c r="K7" s="72">
        <v>0.41179810318318599</v>
      </c>
      <c r="L7" s="73">
        <v>98.006320000000002</v>
      </c>
      <c r="M7" s="68"/>
      <c r="N7" s="69"/>
      <c r="O7" s="69"/>
      <c r="P7" s="69"/>
      <c r="Q7" s="69"/>
    </row>
    <row r="8" spans="1:17">
      <c r="A8" s="59" t="s">
        <v>379</v>
      </c>
      <c r="B8" s="60" t="s">
        <v>271</v>
      </c>
      <c r="C8" s="70">
        <v>80.95</v>
      </c>
      <c r="D8" s="71">
        <v>87.8</v>
      </c>
      <c r="E8" s="63">
        <v>418.86723699999999</v>
      </c>
      <c r="F8" s="65">
        <v>33907.302835150003</v>
      </c>
      <c r="G8" s="65">
        <v>7171</v>
      </c>
      <c r="H8" s="65">
        <v>1850</v>
      </c>
      <c r="I8" s="65">
        <v>39228.302835150003</v>
      </c>
      <c r="J8" s="65">
        <v>23350</v>
      </c>
      <c r="K8" s="72">
        <v>1.0884169365395999</v>
      </c>
      <c r="L8" s="73">
        <v>92.080669999999998</v>
      </c>
      <c r="M8" s="68"/>
      <c r="N8" s="69"/>
      <c r="O8" s="69"/>
      <c r="P8" s="69"/>
      <c r="Q8" s="69"/>
    </row>
    <row r="9" spans="1:17">
      <c r="A9" s="59" t="s">
        <v>380</v>
      </c>
      <c r="B9" s="74" t="s">
        <v>272</v>
      </c>
      <c r="C9" s="70">
        <v>331.24</v>
      </c>
      <c r="D9" s="71">
        <v>400.42</v>
      </c>
      <c r="E9" s="63">
        <v>249.333316</v>
      </c>
      <c r="F9" s="65">
        <v>82589.16759184</v>
      </c>
      <c r="G9" s="65">
        <v>10077.700000000001</v>
      </c>
      <c r="H9" s="65">
        <v>210.4</v>
      </c>
      <c r="I9" s="65">
        <v>92456.467591840003</v>
      </c>
      <c r="J9" s="65">
        <v>4051.2</v>
      </c>
      <c r="K9" s="72">
        <v>1.21363327488001</v>
      </c>
      <c r="L9" s="73">
        <v>378.54286000000002</v>
      </c>
      <c r="M9" s="68"/>
      <c r="N9" s="69"/>
      <c r="O9" s="69"/>
      <c r="P9" s="69"/>
      <c r="Q9" s="69"/>
    </row>
    <row r="10" spans="1:17">
      <c r="A10" s="59" t="s">
        <v>381</v>
      </c>
      <c r="B10" s="75" t="s">
        <v>268</v>
      </c>
      <c r="C10" s="76">
        <v>280.17</v>
      </c>
      <c r="D10" s="77">
        <v>286.04000000000002</v>
      </c>
      <c r="E10" s="78">
        <v>283.62491199999999</v>
      </c>
      <c r="F10" s="79">
        <v>79463.19159504</v>
      </c>
      <c r="G10" s="79">
        <v>7564.9</v>
      </c>
      <c r="H10" s="79">
        <v>1256.8</v>
      </c>
      <c r="I10" s="79">
        <v>85771.291595039991</v>
      </c>
      <c r="J10" s="79">
        <v>8757.2999999999993</v>
      </c>
      <c r="K10" s="80">
        <v>1.0803687649162701</v>
      </c>
      <c r="L10" s="81">
        <v>288.44367999999997</v>
      </c>
      <c r="M10" s="68"/>
      <c r="N10" s="69"/>
      <c r="O10" s="69"/>
      <c r="P10" s="69"/>
      <c r="Q10" s="69"/>
    </row>
    <row r="11" spans="1:17">
      <c r="A11" s="43"/>
      <c r="B11" s="44"/>
      <c r="C11" s="43" t="s">
        <v>219</v>
      </c>
      <c r="D11" s="43" t="s">
        <v>219</v>
      </c>
      <c r="E11" s="43" t="s">
        <v>219</v>
      </c>
      <c r="F11" s="43" t="s">
        <v>219</v>
      </c>
      <c r="G11" s="43" t="s">
        <v>219</v>
      </c>
      <c r="H11" s="43" t="s">
        <v>219</v>
      </c>
      <c r="I11" s="43" t="s">
        <v>219</v>
      </c>
      <c r="J11" s="43" t="s">
        <v>219</v>
      </c>
      <c r="K11" s="43" t="s">
        <v>219</v>
      </c>
      <c r="L11" s="43" t="s">
        <v>219</v>
      </c>
      <c r="M11" s="43"/>
      <c r="N11" s="43"/>
      <c r="O11" s="43"/>
      <c r="P11" s="43"/>
      <c r="Q11" s="43"/>
    </row>
    <row r="12" spans="1:17" ht="15.6">
      <c r="A12" s="46" t="s">
        <v>220</v>
      </c>
      <c r="B12" s="82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83"/>
      <c r="Q12" s="48"/>
    </row>
    <row r="13" spans="1:17">
      <c r="A13" s="49"/>
      <c r="B13" s="50"/>
      <c r="C13" s="84" t="s">
        <v>221</v>
      </c>
      <c r="D13" s="85"/>
      <c r="E13" s="85"/>
      <c r="F13" s="86"/>
      <c r="G13" s="84" t="s">
        <v>222</v>
      </c>
      <c r="H13" s="85"/>
      <c r="I13" s="85"/>
      <c r="J13" s="86"/>
      <c r="K13" s="85" t="s">
        <v>223</v>
      </c>
      <c r="L13" s="85"/>
      <c r="M13" s="86"/>
      <c r="N13" s="84" t="s">
        <v>224</v>
      </c>
      <c r="O13" s="85"/>
      <c r="P13" s="86"/>
      <c r="Q13" s="54" t="s">
        <v>225</v>
      </c>
    </row>
    <row r="14" spans="1:17">
      <c r="A14" s="55" t="s">
        <v>209</v>
      </c>
      <c r="B14" s="55" t="s">
        <v>210</v>
      </c>
      <c r="C14" s="87" t="s">
        <v>226</v>
      </c>
      <c r="D14" s="88" t="s">
        <v>227</v>
      </c>
      <c r="E14" s="88" t="s">
        <v>228</v>
      </c>
      <c r="F14" s="89" t="s">
        <v>229</v>
      </c>
      <c r="G14" s="87" t="s">
        <v>226</v>
      </c>
      <c r="H14" s="88" t="s">
        <v>227</v>
      </c>
      <c r="I14" s="88" t="s">
        <v>228</v>
      </c>
      <c r="J14" s="89" t="s">
        <v>229</v>
      </c>
      <c r="K14" s="87" t="s">
        <v>226</v>
      </c>
      <c r="L14" s="88" t="s">
        <v>227</v>
      </c>
      <c r="M14" s="89" t="s">
        <v>228</v>
      </c>
      <c r="N14" s="87" t="s">
        <v>226</v>
      </c>
      <c r="O14" s="88" t="s">
        <v>227</v>
      </c>
      <c r="P14" s="89" t="s">
        <v>228</v>
      </c>
      <c r="Q14" s="90" t="s">
        <v>230</v>
      </c>
    </row>
    <row r="15" spans="1:17">
      <c r="A15" s="91" t="s">
        <v>377</v>
      </c>
      <c r="B15" s="92" t="s">
        <v>269</v>
      </c>
      <c r="C15" s="93">
        <v>7104</v>
      </c>
      <c r="D15" s="93">
        <v>6497.8197700000001</v>
      </c>
      <c r="E15" s="93">
        <v>6784.8571099999999</v>
      </c>
      <c r="F15" s="94">
        <v>6997.18217</v>
      </c>
      <c r="G15" s="95">
        <v>7.0497100000000001</v>
      </c>
      <c r="H15" s="95">
        <v>5.9583300000000001</v>
      </c>
      <c r="I15" s="95">
        <v>6.7943300000000004</v>
      </c>
      <c r="J15" s="96">
        <v>7.2232500000000002</v>
      </c>
      <c r="K15" s="95">
        <v>1196.5612000000001</v>
      </c>
      <c r="L15" s="95">
        <v>1056.4670599999999</v>
      </c>
      <c r="M15" s="96">
        <v>1194.80619</v>
      </c>
      <c r="N15" s="97">
        <v>1417.1396</v>
      </c>
      <c r="O15" s="95">
        <v>1261.085</v>
      </c>
      <c r="P15" s="95">
        <v>1407.26953</v>
      </c>
      <c r="Q15" s="98">
        <v>-2.445E-2</v>
      </c>
    </row>
    <row r="16" spans="1:17">
      <c r="A16" s="91" t="s">
        <v>378</v>
      </c>
      <c r="B16" s="92" t="s">
        <v>270</v>
      </c>
      <c r="C16" s="93">
        <v>6107.1</v>
      </c>
      <c r="D16" s="93">
        <v>6144.3528900000001</v>
      </c>
      <c r="E16" s="93">
        <v>6385.3027199999997</v>
      </c>
      <c r="F16" s="99">
        <v>6625.2998699999998</v>
      </c>
      <c r="G16" s="95">
        <v>3.4401600000000001</v>
      </c>
      <c r="H16" s="95">
        <v>3.4740000000000002</v>
      </c>
      <c r="I16" s="95">
        <v>3.7389999999999999</v>
      </c>
      <c r="J16" s="96">
        <v>3.9807299999999999</v>
      </c>
      <c r="K16" s="95">
        <v>1145.8387</v>
      </c>
      <c r="L16" s="95">
        <v>1165.2895799999999</v>
      </c>
      <c r="M16" s="96">
        <v>1243.5027399999999</v>
      </c>
      <c r="N16" s="97">
        <v>1375.56467</v>
      </c>
      <c r="O16" s="95">
        <v>1400.92156</v>
      </c>
      <c r="P16" s="95">
        <v>1478.2394400000001</v>
      </c>
      <c r="Q16" s="98">
        <v>4.99333E-2</v>
      </c>
    </row>
    <row r="17" spans="1:17">
      <c r="A17" s="91" t="s">
        <v>379</v>
      </c>
      <c r="B17" s="92" t="s">
        <v>271</v>
      </c>
      <c r="C17" s="93">
        <v>12386</v>
      </c>
      <c r="D17" s="93">
        <v>12840.031499999999</v>
      </c>
      <c r="E17" s="93">
        <v>13161.369290000001</v>
      </c>
      <c r="F17" s="99">
        <v>13766.274289999999</v>
      </c>
      <c r="G17" s="95">
        <v>3.9106100000000001</v>
      </c>
      <c r="H17" s="95">
        <v>4.399</v>
      </c>
      <c r="I17" s="95">
        <v>4.7015599999999997</v>
      </c>
      <c r="J17" s="96">
        <v>5.1970000000000001</v>
      </c>
      <c r="K17" s="95">
        <v>2535.12664</v>
      </c>
      <c r="L17" s="95">
        <v>2715.9713999999999</v>
      </c>
      <c r="M17" s="96">
        <v>2868.1606299999999</v>
      </c>
      <c r="N17" s="97">
        <v>3131.6831200000001</v>
      </c>
      <c r="O17" s="95">
        <v>3359.817</v>
      </c>
      <c r="P17" s="95">
        <v>3516.2934300000002</v>
      </c>
      <c r="Q17" s="98">
        <v>8.0149999999999999E-2</v>
      </c>
    </row>
    <row r="18" spans="1:17">
      <c r="A18" s="91" t="s">
        <v>380</v>
      </c>
      <c r="B18" s="92" t="s">
        <v>272</v>
      </c>
      <c r="C18" s="101">
        <v>23098.5</v>
      </c>
      <c r="D18" s="93">
        <v>23230.980479999998</v>
      </c>
      <c r="E18" s="93">
        <v>24278.285800000001</v>
      </c>
      <c r="F18" s="99">
        <v>25518.694469999999</v>
      </c>
      <c r="G18" s="97">
        <v>11.29786</v>
      </c>
      <c r="H18" s="95">
        <v>11.319520000000001</v>
      </c>
      <c r="I18" s="95">
        <v>12.64485</v>
      </c>
      <c r="J18" s="96">
        <v>14.328060000000001</v>
      </c>
      <c r="K18" s="95">
        <v>3947.43939</v>
      </c>
      <c r="L18" s="95">
        <v>3985.8492900000001</v>
      </c>
      <c r="M18" s="96">
        <v>4348.4852199999996</v>
      </c>
      <c r="N18" s="97">
        <v>4501.3397199999999</v>
      </c>
      <c r="O18" s="95">
        <v>4522.1499199999998</v>
      </c>
      <c r="P18" s="95">
        <v>4898.6711699999996</v>
      </c>
      <c r="Q18" s="98">
        <v>8.1050000000000011E-2</v>
      </c>
    </row>
    <row r="19" spans="1:17">
      <c r="A19" s="102" t="s">
        <v>381</v>
      </c>
      <c r="B19" s="103" t="s">
        <v>268</v>
      </c>
      <c r="C19" s="103">
        <v>15741.4</v>
      </c>
      <c r="D19" s="104">
        <v>16052.34935</v>
      </c>
      <c r="E19" s="104">
        <v>16967.52</v>
      </c>
      <c r="F19" s="105">
        <v>17844.86</v>
      </c>
      <c r="G19" s="106">
        <v>6.6308199999999999</v>
      </c>
      <c r="H19" s="107">
        <v>7.5306800000000003</v>
      </c>
      <c r="I19" s="107">
        <v>8.5353200000000005</v>
      </c>
      <c r="J19" s="108">
        <v>9.7302400000000002</v>
      </c>
      <c r="K19" s="107">
        <v>2630.6933899999999</v>
      </c>
      <c r="L19" s="107">
        <v>2912.21405</v>
      </c>
      <c r="M19" s="108">
        <v>3240.64509</v>
      </c>
      <c r="N19" s="106">
        <v>3599.2172599999999</v>
      </c>
      <c r="O19" s="107">
        <v>3873.5826000000002</v>
      </c>
      <c r="P19" s="108">
        <v>4237.7645000000002</v>
      </c>
      <c r="Q19" s="109">
        <v>0.12345</v>
      </c>
    </row>
    <row r="20" spans="1:17">
      <c r="A20" s="43"/>
      <c r="B20" s="44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</row>
    <row r="21" spans="1:17" ht="15.6">
      <c r="A21" s="46" t="s">
        <v>232</v>
      </c>
      <c r="B21" s="82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83"/>
      <c r="Q21" s="48"/>
    </row>
    <row r="22" spans="1:17">
      <c r="A22" s="49"/>
      <c r="B22" s="54"/>
      <c r="C22" s="54" t="s">
        <v>202</v>
      </c>
      <c r="D22" s="54" t="s">
        <v>233</v>
      </c>
      <c r="E22" s="84" t="s">
        <v>234</v>
      </c>
      <c r="F22" s="110"/>
      <c r="G22" s="111"/>
      <c r="H22" s="84" t="s">
        <v>235</v>
      </c>
      <c r="I22" s="110"/>
      <c r="J22" s="111"/>
      <c r="K22" s="84" t="s">
        <v>236</v>
      </c>
      <c r="L22" s="110"/>
      <c r="M22" s="111"/>
      <c r="N22" s="84" t="s">
        <v>237</v>
      </c>
      <c r="O22" s="110"/>
      <c r="P22" s="111"/>
      <c r="Q22" s="43" t="s">
        <v>238</v>
      </c>
    </row>
    <row r="23" spans="1:17">
      <c r="A23" s="55" t="s">
        <v>209</v>
      </c>
      <c r="B23" s="55" t="s">
        <v>210</v>
      </c>
      <c r="C23" s="55" t="s">
        <v>211</v>
      </c>
      <c r="D23" s="55" t="s">
        <v>207</v>
      </c>
      <c r="E23" s="87" t="s">
        <v>227</v>
      </c>
      <c r="F23" s="88" t="s">
        <v>228</v>
      </c>
      <c r="G23" s="89" t="s">
        <v>229</v>
      </c>
      <c r="H23" s="87" t="s">
        <v>227</v>
      </c>
      <c r="I23" s="88" t="s">
        <v>228</v>
      </c>
      <c r="J23" s="89" t="s">
        <v>229</v>
      </c>
      <c r="K23" s="87" t="s">
        <v>227</v>
      </c>
      <c r="L23" s="88" t="s">
        <v>228</v>
      </c>
      <c r="M23" s="89" t="s">
        <v>229</v>
      </c>
      <c r="N23" s="87" t="s">
        <v>226</v>
      </c>
      <c r="O23" s="88" t="s">
        <v>227</v>
      </c>
      <c r="P23" s="89" t="s">
        <v>228</v>
      </c>
      <c r="Q23" s="43"/>
    </row>
    <row r="24" spans="1:17">
      <c r="A24" s="91" t="s">
        <v>377</v>
      </c>
      <c r="B24" s="112" t="s">
        <v>269</v>
      </c>
      <c r="C24" s="113">
        <v>119.59</v>
      </c>
      <c r="D24" s="114">
        <v>45.367296924018689</v>
      </c>
      <c r="E24" s="114">
        <v>2.2411982523501108</v>
      </c>
      <c r="F24" s="115">
        <v>2.1463830522158189</v>
      </c>
      <c r="G24" s="116">
        <v>2.0812524183016947</v>
      </c>
      <c r="H24" s="117">
        <v>20.071060179614086</v>
      </c>
      <c r="I24" s="118">
        <v>17.601441201707893</v>
      </c>
      <c r="J24" s="119">
        <v>16.556259301560932</v>
      </c>
      <c r="K24" s="117">
        <v>-8.2090225683493205</v>
      </c>
      <c r="L24" s="118">
        <v>-7.1989534567312443</v>
      </c>
      <c r="M24" s="119">
        <v>-6.771476196957436</v>
      </c>
      <c r="N24" s="118">
        <v>11.939474637932635</v>
      </c>
      <c r="O24" s="118">
        <v>13.416940422421961</v>
      </c>
      <c r="P24" s="119">
        <v>12.023213714156093</v>
      </c>
      <c r="Q24" s="43"/>
    </row>
    <row r="25" spans="1:17">
      <c r="A25" s="91" t="s">
        <v>378</v>
      </c>
      <c r="B25" s="112" t="s">
        <v>270</v>
      </c>
      <c r="C25" s="113">
        <v>88.08</v>
      </c>
      <c r="D25" s="114">
        <v>4.9204397944413865</v>
      </c>
      <c r="E25" s="114">
        <v>3.4921584485359856</v>
      </c>
      <c r="F25" s="115">
        <v>3.3603816132933475</v>
      </c>
      <c r="G25" s="116">
        <v>3.2386539894985917</v>
      </c>
      <c r="H25" s="117">
        <v>25.354058721934368</v>
      </c>
      <c r="I25" s="118">
        <v>23.55710082909869</v>
      </c>
      <c r="J25" s="119">
        <v>22.126594870790033</v>
      </c>
      <c r="K25" s="117">
        <v>5.0775852431011712</v>
      </c>
      <c r="L25" s="117">
        <v>4.7177135957564769</v>
      </c>
      <c r="M25" s="117">
        <v>4.4312302352918858</v>
      </c>
      <c r="N25" s="118">
        <v>16.500535635013073</v>
      </c>
      <c r="O25" s="118">
        <v>16.20187346934685</v>
      </c>
      <c r="P25" s="119">
        <v>15.354450193535628</v>
      </c>
      <c r="Q25" s="43"/>
    </row>
    <row r="26" spans="1:17">
      <c r="A26" s="91" t="s">
        <v>379</v>
      </c>
      <c r="B26" s="112" t="s">
        <v>271</v>
      </c>
      <c r="C26" s="113">
        <v>80.95</v>
      </c>
      <c r="D26" s="114">
        <v>1.4521328837323342</v>
      </c>
      <c r="E26" s="114">
        <v>2.6407491940459806</v>
      </c>
      <c r="F26" s="115">
        <v>2.5762747088110922</v>
      </c>
      <c r="G26" s="116">
        <v>2.4630704082208146</v>
      </c>
      <c r="H26" s="117">
        <v>18.401909524892023</v>
      </c>
      <c r="I26" s="118">
        <v>17.217689447757767</v>
      </c>
      <c r="J26" s="119">
        <v>15.576294015778334</v>
      </c>
      <c r="K26" s="117">
        <v>2.2959338147089237</v>
      </c>
      <c r="L26" s="117">
        <v>2.1481833372124477</v>
      </c>
      <c r="M26" s="117">
        <v>1.9433928903029738</v>
      </c>
      <c r="N26" s="118">
        <v>12.526268250010558</v>
      </c>
      <c r="O26" s="118">
        <v>11.675726039587872</v>
      </c>
      <c r="P26" s="119">
        <v>11.156151673937519</v>
      </c>
      <c r="Q26" s="43"/>
    </row>
    <row r="27" spans="1:17">
      <c r="A27" s="91" t="s">
        <v>380</v>
      </c>
      <c r="B27" s="112" t="s">
        <v>272</v>
      </c>
      <c r="C27" s="113">
        <v>331.24</v>
      </c>
      <c r="D27" s="114">
        <v>20.386346660703001</v>
      </c>
      <c r="E27" s="114">
        <v>3.5551305147426997</v>
      </c>
      <c r="F27" s="115">
        <v>3.4017709599513815</v>
      </c>
      <c r="G27" s="116">
        <v>3.2364182144557807</v>
      </c>
      <c r="H27" s="117">
        <v>29.262724921198071</v>
      </c>
      <c r="I27" s="118">
        <v>26.195644867277984</v>
      </c>
      <c r="J27" s="119">
        <v>23.118272815719642</v>
      </c>
      <c r="K27" s="117">
        <v>3.6104534140898297</v>
      </c>
      <c r="L27" s="117">
        <v>3.2320351471040074</v>
      </c>
      <c r="M27" s="117">
        <v>2.8523470469734287</v>
      </c>
      <c r="N27" s="118">
        <v>20.539766679027728</v>
      </c>
      <c r="O27" s="118">
        <v>20.445246006315511</v>
      </c>
      <c r="P27" s="119">
        <v>18.873785233443218</v>
      </c>
      <c r="Q27" s="43"/>
    </row>
    <row r="28" spans="1:17">
      <c r="A28" s="102" t="s">
        <v>381</v>
      </c>
      <c r="B28" s="120" t="s">
        <v>268</v>
      </c>
      <c r="C28" s="120">
        <v>280.17</v>
      </c>
      <c r="D28" s="121">
        <v>9.0739373545544861</v>
      </c>
      <c r="E28" s="121">
        <v>4.9502530665419391</v>
      </c>
      <c r="F28" s="122">
        <v>4.6832531563269111</v>
      </c>
      <c r="G28" s="123">
        <v>4.4530016819991864</v>
      </c>
      <c r="H28" s="124">
        <v>37.203811607982281</v>
      </c>
      <c r="I28" s="125">
        <v>32.824779855939788</v>
      </c>
      <c r="J28" s="126">
        <v>28.793739928305982</v>
      </c>
      <c r="K28" s="124">
        <v>3.0136744923436436</v>
      </c>
      <c r="L28" s="125">
        <v>2.6589534107687149</v>
      </c>
      <c r="M28" s="126">
        <v>2.3324212173597392</v>
      </c>
      <c r="N28" s="124">
        <v>23.830540197798449</v>
      </c>
      <c r="O28" s="125">
        <v>22.142626207335809</v>
      </c>
      <c r="P28" s="126">
        <v>20.239749423319768</v>
      </c>
      <c r="Q28" s="43"/>
    </row>
    <row r="29" spans="1:17">
      <c r="A29" s="43"/>
      <c r="B29" s="44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</row>
    <row r="30" spans="1:17">
      <c r="A30" s="43"/>
      <c r="B30" s="44"/>
      <c r="C30" s="366" t="s">
        <v>239</v>
      </c>
      <c r="D30" s="127">
        <v>18.031554065723853</v>
      </c>
      <c r="E30" s="127">
        <v>2.9823091024186943</v>
      </c>
      <c r="F30" s="128">
        <v>2.8712025835679098</v>
      </c>
      <c r="G30" s="129">
        <v>2.7548487576192207</v>
      </c>
      <c r="H30" s="130">
        <v>23.272438336909637</v>
      </c>
      <c r="I30" s="131">
        <v>21.142969086460582</v>
      </c>
      <c r="J30" s="132">
        <v>19.344355250962238</v>
      </c>
      <c r="K30" s="130">
        <v>-2.9565443768201982</v>
      </c>
      <c r="L30" s="130">
        <v>-2.5253850597593983</v>
      </c>
      <c r="M30" s="130">
        <v>-2.4140416533272311</v>
      </c>
      <c r="N30" s="130">
        <v>15.376511300495999</v>
      </c>
      <c r="O30" s="131">
        <v>15.434946484418049</v>
      </c>
      <c r="P30" s="132">
        <v>14.351900203768114</v>
      </c>
      <c r="Q30" s="43"/>
    </row>
    <row r="31" spans="1:17">
      <c r="A31" s="43"/>
      <c r="B31" s="44"/>
      <c r="C31" s="366" t="s">
        <v>240</v>
      </c>
      <c r="D31" s="133">
        <v>12.653393227572195</v>
      </c>
      <c r="E31" s="133">
        <v>3.0664538212909829</v>
      </c>
      <c r="F31" s="134">
        <v>2.9683281610522201</v>
      </c>
      <c r="G31" s="135">
        <v>2.8497443113382976</v>
      </c>
      <c r="H31" s="136">
        <v>22.712559450774229</v>
      </c>
      <c r="I31" s="137">
        <v>20.579271015403293</v>
      </c>
      <c r="J31" s="138">
        <v>19.341427086175482</v>
      </c>
      <c r="K31" s="136">
        <v>-2.9565443768201982</v>
      </c>
      <c r="L31" s="136">
        <v>-2.5253850597593983</v>
      </c>
      <c r="M31" s="136">
        <v>-2.4140416533272306</v>
      </c>
      <c r="N31" s="136">
        <v>14.513401942511816</v>
      </c>
      <c r="O31" s="137">
        <v>14.809406945884405</v>
      </c>
      <c r="P31" s="138">
        <v>13.68883195384586</v>
      </c>
      <c r="Q31" s="43"/>
    </row>
    <row r="32" spans="1:17">
      <c r="A32" s="43"/>
      <c r="B32" s="44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</row>
    <row r="33" spans="1:17">
      <c r="A33" s="43"/>
      <c r="B33" s="44"/>
      <c r="C33" s="366" t="s">
        <v>239</v>
      </c>
      <c r="D33" s="139">
        <v>556.74844394403362</v>
      </c>
      <c r="E33" s="186">
        <v>168.79006588007266</v>
      </c>
      <c r="F33" s="187">
        <v>171.76624901249923</v>
      </c>
      <c r="G33" s="141">
        <v>173.32712438493036</v>
      </c>
      <c r="H33" s="139">
        <v>175.25728593499866</v>
      </c>
      <c r="I33" s="140">
        <v>180.46200690304875</v>
      </c>
      <c r="J33" s="141">
        <v>188.22521923712281</v>
      </c>
      <c r="K33" s="139">
        <v>-274.85882770622112</v>
      </c>
      <c r="L33" s="140">
        <v>-266.09609981403872</v>
      </c>
      <c r="M33" s="141">
        <v>-289.9742314890695</v>
      </c>
      <c r="N33" s="139">
        <v>172.88786279581197</v>
      </c>
      <c r="O33" s="140">
        <v>188.56044681284177</v>
      </c>
      <c r="P33" s="141">
        <v>192.19705633992857</v>
      </c>
      <c r="Q33" s="43"/>
    </row>
    <row r="34" spans="1:17">
      <c r="A34" s="43"/>
      <c r="B34" s="44"/>
      <c r="C34" s="366" t="s">
        <v>240</v>
      </c>
      <c r="D34" s="142">
        <v>390.69050645247262</v>
      </c>
      <c r="E34" s="188">
        <v>173.55241349534674</v>
      </c>
      <c r="F34" s="189">
        <v>177.57667013120755</v>
      </c>
      <c r="G34" s="144">
        <v>179.29767844803538</v>
      </c>
      <c r="H34" s="142">
        <v>171.04101720475649</v>
      </c>
      <c r="I34" s="143">
        <v>175.65066348319203</v>
      </c>
      <c r="J34" s="144">
        <v>188.19672749098814</v>
      </c>
      <c r="K34" s="142">
        <v>-274.85882770622112</v>
      </c>
      <c r="L34" s="143">
        <v>-266.09609981403872</v>
      </c>
      <c r="M34" s="144">
        <v>-289.97423148906944</v>
      </c>
      <c r="N34" s="142">
        <v>161.93495292404378</v>
      </c>
      <c r="O34" s="143">
        <v>180.01719489963907</v>
      </c>
      <c r="P34" s="144">
        <v>182.28986211364125</v>
      </c>
      <c r="Q34" s="43"/>
    </row>
    <row r="35" spans="1:17">
      <c r="A35" s="145"/>
      <c r="B35" s="146"/>
      <c r="C35" s="43"/>
      <c r="D35" s="147" t="s">
        <v>241</v>
      </c>
      <c r="E35" s="148"/>
      <c r="F35" s="148"/>
      <c r="G35" s="148"/>
      <c r="H35" s="147" t="s">
        <v>242</v>
      </c>
      <c r="I35" s="147" t="s">
        <v>243</v>
      </c>
      <c r="J35" s="147" t="s">
        <v>244</v>
      </c>
      <c r="K35" s="147" t="s">
        <v>245</v>
      </c>
      <c r="L35" s="147" t="s">
        <v>246</v>
      </c>
      <c r="M35" s="147" t="s">
        <v>247</v>
      </c>
      <c r="N35" s="147" t="s">
        <v>248</v>
      </c>
      <c r="O35" s="147" t="s">
        <v>249</v>
      </c>
      <c r="P35" s="145"/>
      <c r="Q35" s="145"/>
    </row>
    <row r="36" spans="1:17" ht="15.6">
      <c r="A36" s="46" t="s">
        <v>250</v>
      </c>
      <c r="B36" s="82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83"/>
      <c r="Q36" s="48"/>
    </row>
    <row r="37" spans="1:17">
      <c r="A37" s="149"/>
      <c r="B37" s="150"/>
      <c r="C37" s="151" t="s">
        <v>251</v>
      </c>
      <c r="D37" s="152" t="s">
        <v>252</v>
      </c>
      <c r="E37" s="152" t="s">
        <v>253</v>
      </c>
      <c r="F37" s="152"/>
      <c r="G37" s="153"/>
      <c r="H37" s="151" t="s">
        <v>254</v>
      </c>
      <c r="I37" s="152" t="s">
        <v>255</v>
      </c>
      <c r="J37" s="152" t="s">
        <v>256</v>
      </c>
      <c r="K37" s="151"/>
      <c r="L37" s="153"/>
      <c r="M37" s="151" t="s">
        <v>257</v>
      </c>
      <c r="N37" s="153" t="s">
        <v>258</v>
      </c>
      <c r="O37" s="153" t="s">
        <v>259</v>
      </c>
      <c r="P37" s="69"/>
      <c r="Q37" s="69"/>
    </row>
    <row r="38" spans="1:17">
      <c r="A38" s="154" t="s">
        <v>209</v>
      </c>
      <c r="B38" s="154" t="s">
        <v>210</v>
      </c>
      <c r="C38" s="155" t="s">
        <v>260</v>
      </c>
      <c r="D38" s="156" t="s">
        <v>260</v>
      </c>
      <c r="E38" s="156" t="s">
        <v>260</v>
      </c>
      <c r="F38" s="156" t="s">
        <v>261</v>
      </c>
      <c r="G38" s="157" t="s">
        <v>262</v>
      </c>
      <c r="H38" s="155" t="s">
        <v>263</v>
      </c>
      <c r="I38" s="156" t="s">
        <v>263</v>
      </c>
      <c r="J38" s="156" t="s">
        <v>263</v>
      </c>
      <c r="K38" s="155" t="s">
        <v>264</v>
      </c>
      <c r="L38" s="157" t="s">
        <v>265</v>
      </c>
      <c r="M38" s="155" t="s">
        <v>266</v>
      </c>
      <c r="N38" s="157" t="s">
        <v>266</v>
      </c>
      <c r="O38" s="157" t="s">
        <v>267</v>
      </c>
      <c r="P38" s="71"/>
      <c r="Q38" s="69"/>
    </row>
    <row r="39" spans="1:17">
      <c r="A39" s="59" t="s">
        <v>377</v>
      </c>
      <c r="B39" s="158" t="s">
        <v>269</v>
      </c>
      <c r="C39" s="159">
        <v>0.45157659999999999</v>
      </c>
      <c r="D39" s="160">
        <v>0.15174550000000001</v>
      </c>
      <c r="E39" s="160">
        <v>0.1140203</v>
      </c>
      <c r="F39" s="160">
        <v>0.1696</v>
      </c>
      <c r="G39" s="160">
        <v>2.9567999999999999</v>
      </c>
      <c r="H39" s="161">
        <v>1.2560113154000001</v>
      </c>
      <c r="I39" s="162">
        <v>6.7172413792999999</v>
      </c>
      <c r="J39" s="163">
        <v>8.6528623629719856</v>
      </c>
      <c r="K39" s="164">
        <v>786.29283489099998</v>
      </c>
      <c r="L39" s="165">
        <v>83.333333333300004</v>
      </c>
      <c r="M39" s="166">
        <v>0.56540000000000001</v>
      </c>
      <c r="N39" s="167">
        <v>0.83794000000000002</v>
      </c>
      <c r="O39" s="168">
        <v>17.386363636363637</v>
      </c>
      <c r="P39" s="71"/>
      <c r="Q39" s="69"/>
    </row>
    <row r="40" spans="1:17">
      <c r="A40" s="59" t="s">
        <v>378</v>
      </c>
      <c r="B40" s="158" t="s">
        <v>270</v>
      </c>
      <c r="C40" s="169">
        <v>0.45686169999999998</v>
      </c>
      <c r="D40" s="170">
        <v>0.13215769999999999</v>
      </c>
      <c r="E40" s="170">
        <v>9.5839300000000002E-2</v>
      </c>
      <c r="F40" s="170">
        <v>9.7299999999999998E-2</v>
      </c>
      <c r="G40" s="171">
        <v>0.20670000000000002</v>
      </c>
      <c r="H40" s="164">
        <v>0.69986190930000003</v>
      </c>
      <c r="I40" s="172">
        <v>5.4084461112</v>
      </c>
      <c r="J40" s="173">
        <v>10.164946737683088</v>
      </c>
      <c r="K40" s="164">
        <v>50.554944046999999</v>
      </c>
      <c r="L40" s="165">
        <v>33.579066012699997</v>
      </c>
      <c r="M40" s="166">
        <v>1.23664</v>
      </c>
      <c r="N40" s="167">
        <v>1.7027099999999999</v>
      </c>
      <c r="O40" s="168">
        <v>14.771578947368422</v>
      </c>
      <c r="P40" s="69"/>
      <c r="Q40" s="69"/>
    </row>
    <row r="41" spans="1:17">
      <c r="A41" s="59" t="s">
        <v>379</v>
      </c>
      <c r="B41" s="158" t="s">
        <v>271</v>
      </c>
      <c r="C41" s="169">
        <v>0.36589700000000003</v>
      </c>
      <c r="D41" s="170">
        <v>0.12449540000000001</v>
      </c>
      <c r="E41" s="170">
        <v>5.9987100000000002E-2</v>
      </c>
      <c r="F41" s="170">
        <v>4.5499999999999999E-2</v>
      </c>
      <c r="G41" s="171">
        <v>7.1800000000000003E-2</v>
      </c>
      <c r="H41" s="164">
        <v>0.3294674682</v>
      </c>
      <c r="I41" s="172">
        <v>3.6726677578000002</v>
      </c>
      <c r="J41" s="173">
        <v>5.6325602546612092</v>
      </c>
      <c r="K41" s="164">
        <v>30.7109207709</v>
      </c>
      <c r="L41" s="165">
        <v>17.190931404200001</v>
      </c>
      <c r="M41" s="166">
        <v>0.88190000000000002</v>
      </c>
      <c r="N41" s="167">
        <v>1.3255600000000001</v>
      </c>
      <c r="O41" s="168">
        <v>8.3879781420765021</v>
      </c>
      <c r="P41" s="69"/>
      <c r="Q41" s="69"/>
    </row>
    <row r="42" spans="1:17">
      <c r="A42" s="59" t="s">
        <v>380</v>
      </c>
      <c r="B42" s="158" t="s">
        <v>272</v>
      </c>
      <c r="C42" s="169">
        <v>0.48466779999999998</v>
      </c>
      <c r="D42" s="170">
        <v>0.1475031</v>
      </c>
      <c r="E42" s="170">
        <v>0.11608549999999999</v>
      </c>
      <c r="F42" s="170">
        <v>0.12359000000000001</v>
      </c>
      <c r="G42" s="171">
        <v>0.74159000000000008</v>
      </c>
      <c r="H42" s="164">
        <v>0.99162856590000004</v>
      </c>
      <c r="I42" s="172">
        <v>5.1553303450000003</v>
      </c>
      <c r="J42" s="173">
        <v>9.4518782224404614</v>
      </c>
      <c r="K42" s="164">
        <v>248.75839257499999</v>
      </c>
      <c r="L42" s="165">
        <v>59.186490101799997</v>
      </c>
      <c r="M42" s="166">
        <v>0.45717000000000002</v>
      </c>
      <c r="N42" s="167">
        <v>0.79322000000000004</v>
      </c>
      <c r="O42" s="168">
        <v>10.536503362151777</v>
      </c>
      <c r="P42" s="69"/>
      <c r="Q42" s="69"/>
    </row>
    <row r="43" spans="1:17">
      <c r="A43" s="174" t="s">
        <v>381</v>
      </c>
      <c r="B43" s="175" t="s">
        <v>268</v>
      </c>
      <c r="C43" s="176">
        <v>0.43496769999999996</v>
      </c>
      <c r="D43" s="177">
        <v>0.1780274</v>
      </c>
      <c r="E43" s="177">
        <v>0.1341939</v>
      </c>
      <c r="F43" s="177">
        <v>8.6190000000000003E-2</v>
      </c>
      <c r="G43" s="178">
        <v>0.22699000000000003</v>
      </c>
      <c r="H43" s="179">
        <v>0.71172661999999998</v>
      </c>
      <c r="I43" s="180">
        <v>6.0054690929000003</v>
      </c>
      <c r="J43" s="181">
        <v>5.1980979427401515</v>
      </c>
      <c r="K43" s="179">
        <v>86.383931120300005</v>
      </c>
      <c r="L43" s="182">
        <v>42.492096783100003</v>
      </c>
      <c r="M43" s="183">
        <v>0.95159000000000005</v>
      </c>
      <c r="N43" s="184">
        <v>1.2572399999999999</v>
      </c>
      <c r="O43" s="185">
        <v>10.444607699089039</v>
      </c>
      <c r="P43" s="69"/>
      <c r="Q43" s="69"/>
    </row>
  </sheetData>
  <conditionalFormatting sqref="D33:P34">
    <cfRule type="cellIs" dxfId="1" priority="1" operator="lessThan">
      <formula>$C$28</formula>
    </cfRule>
    <cfRule type="cellIs" dxfId="0" priority="2" operator="greaterThan">
      <formula>$C$28</formula>
    </cfRule>
  </conditionalFormatting>
  <hyperlinks>
    <hyperlink ref="G10" tooltip="Thomson Reuters Click-Thru" xr:uid="{32553BB8-A5D0-4231-A231-C66D154C2829}"/>
    <hyperlink ref="H10" tooltip="Thomson Reuters Click-Thru" xr:uid="{863414AA-7C21-4AF0-A4F7-2A25DB1466BC}"/>
    <hyperlink ref="J40" tooltip="Thomson Reuters Click-Thru" xr:uid="{62DCA6D9-40F7-429A-8861-E8FA61F13586}"/>
    <hyperlink ref="G7" tooltip="Thomson Reuters Click-Thru" xr:uid="{D93C8E2D-924F-4FCC-88D6-791060F66934}"/>
    <hyperlink ref="G8" tooltip="Thomson Reuters Click-Thru" xr:uid="{A4848BD4-D05A-4EA5-AC6B-8092B26800C1}"/>
    <hyperlink ref="G9" tooltip="Thomson Reuters Click-Thru" xr:uid="{5A0855C9-3CE3-4314-BBB2-ADF950BD4075}"/>
    <hyperlink ref="H7:H8" tooltip="Thomson Reuters Click-Thru" xr:uid="{14E38653-A0E4-4EE8-99BE-F9D84B82E509}"/>
    <hyperlink ref="H6" tooltip="Thomson Reuters Click-Thru" xr:uid="{50D0DB57-FA73-471F-855B-E296DD17A760}"/>
    <hyperlink ref="G6" tooltip="Thomson Reuters Click-Thru" xr:uid="{25D1EFB9-F200-4ECD-82AD-A7134E8E12E7}"/>
    <hyperlink ref="J39" tooltip="Thomson Reuters Click-Thru" xr:uid="{DDCA7AB2-5FA7-4A1C-BDC2-0973BEDC82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DCF</vt:lpstr>
      <vt:lpstr>Ke</vt:lpstr>
      <vt:lpstr>Revenue</vt:lpstr>
      <vt:lpstr>change in segment </vt:lpstr>
      <vt:lpstr>Cost of sales</vt:lpstr>
      <vt:lpstr>COGS</vt:lpstr>
      <vt:lpstr>Temporary</vt:lpstr>
      <vt:lpstr>Income statement</vt:lpstr>
      <vt:lpstr>Cash flow  2</vt:lpstr>
      <vt:lpstr>Cash flow</vt:lpstr>
      <vt:lpstr>Balance sheet</vt:lpstr>
      <vt:lpstr>Schedules</vt:lpstr>
      <vt:lpstr>Comps</vt:lpstr>
      <vt:lpstr>Comps no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vemireddy</dc:creator>
  <cp:lastModifiedBy>sravan vemireddy</cp:lastModifiedBy>
  <dcterms:created xsi:type="dcterms:W3CDTF">2025-10-19T04:33:08Z</dcterms:created>
  <dcterms:modified xsi:type="dcterms:W3CDTF">2025-12-14T20:17:21Z</dcterms:modified>
</cp:coreProperties>
</file>