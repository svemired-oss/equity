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0348b6f087e2cee/Desktop/fedex/"/>
    </mc:Choice>
  </mc:AlternateContent>
  <xr:revisionPtr revIDLastSave="1624" documentId="8_{50E72C15-D6F8-4C35-B2C2-B83030B66BCB}" xr6:coauthVersionLast="47" xr6:coauthVersionMax="47" xr10:uidLastSave="{A7227D94-A806-4E56-B53E-12DB630D741B}"/>
  <bookViews>
    <workbookView xWindow="28680" yWindow="-3825" windowWidth="29040" windowHeight="15720" xr2:uid="{A4D24B3A-544A-42A1-AB76-435817398B9A}"/>
  </bookViews>
  <sheets>
    <sheet name="Cover" sheetId="9" r:id="rId1"/>
    <sheet name="DCF" sheetId="11" r:id="rId2"/>
    <sheet name="Ke" sheetId="10" r:id="rId3"/>
    <sheet name="Revenue" sheetId="1" r:id="rId4"/>
    <sheet name="Income statement" sheetId="2" r:id="rId5"/>
    <sheet name="Operating expenses" sheetId="12" r:id="rId6"/>
    <sheet name="Debt schedule" sheetId="8" r:id="rId7"/>
    <sheet name="CapEx" sheetId="7" r:id="rId8"/>
    <sheet name="Balance sheet" sheetId="3" r:id="rId9"/>
    <sheet name="Derived cash flow" sheetId="4" r:id="rId10"/>
    <sheet name="Comps" sheetId="6" r:id="rId11"/>
    <sheet name="Comps NF" sheetId="5" r:id="rId12"/>
  </sheets>
  <definedNames>
    <definedName name="_bdm.2DE24AA35119447C880A48293620DA86.edm" localSheetId="10" hidden="1">#REF!</definedName>
    <definedName name="_bdm.2DE24AA35119447C880A48293620DA86.edm" hidden="1">#REF!</definedName>
    <definedName name="_bdm.8B1AF9F05261422C99202E7F4D2A608C.edm" localSheetId="10" hidden="1">#REF!</definedName>
    <definedName name="_bdm.8B1AF9F05261422C99202E7F4D2A608C.edm" hidden="1">#REF!</definedName>
    <definedName name="_bdm.C05975180A4D484B99D942E8D82E691F.edm" localSheetId="10" hidden="1">#REF!</definedName>
    <definedName name="_bdm.C05975180A4D484B99D942E8D82E691F.edm" hidden="1">#REF!</definedName>
    <definedName name="_bdm.C6ACFA5F80094D22B40360C63AB39708.edm" localSheetId="10" hidden="1">#REF!</definedName>
    <definedName name="_bdm.C6ACFA5F80094D22B40360C63AB39708.edm" hidden="1">#REF!</definedName>
    <definedName name="_bdm.E923ED4811A04279B1A2A10CC15462C0.edm" localSheetId="10" hidden="1">#REF!</definedName>
    <definedName name="_bdm.E923ED4811A04279B1A2A10CC15462C0.edm" hidden="1">#REF!</definedName>
    <definedName name="_bdm.F43B5CE6348445F4AF286BC460A1A2DE.edm" localSheetId="10" hidden="1">#REF!</definedName>
    <definedName name="_bdm.F43B5CE6348445F4AF286BC460A1A2DE.edm" hidden="1">#REF!</definedName>
    <definedName name="_bdm.F718108DA6654B4B968C60A496EAC1B6.edm" localSheetId="10" hidden="1">#REF!</definedName>
    <definedName name="_bdm.F718108DA6654B4B968C60A496EAC1B6.edm" hidden="1">#REF!</definedName>
    <definedName name="AcquisitionsToggle">#REF!</definedName>
    <definedName name="CaseTable">#REF!</definedName>
    <definedName name="CaseToggle">#REF!</definedName>
    <definedName name="CIQWBGuid" hidden="1">"db5528af-d1ef-474b-8ada-cf33c2310589"</definedName>
    <definedName name="Company_Name">#REF!</definedName>
    <definedName name="date">#REF!</definedName>
    <definedName name="DeferredTaxUseRatio">#REF!</definedName>
    <definedName name="EarningsTable">#REF!</definedName>
    <definedName name="GVKey">""</definedName>
    <definedName name="Scenario">#REF!</definedName>
    <definedName name="solver_nsim" hidden="1">1</definedName>
    <definedName name="solver_ntri" hidden="1">1000</definedName>
    <definedName name="SPSet">"current"</definedName>
    <definedName name="SPWS_WBID">"5B7D581C-6777-4964-9E9E-E04793492FA2"</definedName>
    <definedName name="Stock_Name" localSheetId="10">#REF!</definedName>
    <definedName name="Stock_Name">#REF!</definedName>
    <definedName name="Stock_Ticker" localSheetId="10">#REF!</definedName>
    <definedName name="Stock_Ticker">#REF!</definedName>
    <definedName name="Ticker">#REF!</definedName>
    <definedName name="UseDeferredTaxAsse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9" l="1"/>
  <c r="D72" i="12"/>
  <c r="D74" i="12"/>
  <c r="D62" i="12"/>
  <c r="C62" i="12"/>
  <c r="F59" i="12"/>
  <c r="G59" i="12"/>
  <c r="H59" i="12"/>
  <c r="I59" i="12"/>
  <c r="E59" i="12"/>
  <c r="F57" i="12"/>
  <c r="G57" i="12"/>
  <c r="H57" i="12"/>
  <c r="I57" i="12"/>
  <c r="E57" i="12"/>
  <c r="F58" i="12"/>
  <c r="G58" i="12" s="1"/>
  <c r="H58" i="12" s="1"/>
  <c r="I58" i="12" s="1"/>
  <c r="E58" i="12"/>
  <c r="C74" i="12"/>
  <c r="C72" i="12"/>
  <c r="C68" i="12"/>
  <c r="D68" i="12"/>
  <c r="B74" i="12"/>
  <c r="B72" i="12"/>
  <c r="B68" i="12"/>
  <c r="C66" i="12"/>
  <c r="D66" i="12"/>
  <c r="B66" i="12"/>
  <c r="C64" i="12"/>
  <c r="D64" i="12"/>
  <c r="B64" i="12"/>
  <c r="B62" i="12"/>
  <c r="C60" i="12"/>
  <c r="D60" i="12"/>
  <c r="B60" i="12"/>
  <c r="C58" i="12"/>
  <c r="D58" i="12"/>
  <c r="B58" i="12"/>
  <c r="F56" i="12"/>
  <c r="G56" i="12"/>
  <c r="H56" i="12"/>
  <c r="I56" i="12"/>
  <c r="E56" i="12"/>
  <c r="C56" i="12"/>
  <c r="D56" i="12"/>
  <c r="B56" i="12"/>
  <c r="F50" i="12"/>
  <c r="G50" i="12"/>
  <c r="H50" i="12"/>
  <c r="I50" i="12"/>
  <c r="E50" i="12"/>
  <c r="F51" i="12"/>
  <c r="G51" i="12"/>
  <c r="H51" i="12" s="1"/>
  <c r="I51" i="12" s="1"/>
  <c r="E51" i="12"/>
  <c r="F48" i="12"/>
  <c r="G48" i="12"/>
  <c r="H48" i="12"/>
  <c r="I48" i="12"/>
  <c r="E48" i="12"/>
  <c r="F44" i="12"/>
  <c r="E44" i="12"/>
  <c r="I44" i="12"/>
  <c r="E45" i="12"/>
  <c r="F42" i="12"/>
  <c r="G42" i="12"/>
  <c r="H42" i="12"/>
  <c r="I42" i="12"/>
  <c r="E42" i="12"/>
  <c r="F43" i="12"/>
  <c r="G43" i="12" s="1"/>
  <c r="H43" i="12" s="1"/>
  <c r="I43" i="12" s="1"/>
  <c r="E43" i="12"/>
  <c r="F40" i="12"/>
  <c r="E40" i="12"/>
  <c r="I40" i="12"/>
  <c r="E41" i="12"/>
  <c r="F38" i="12"/>
  <c r="G38" i="12"/>
  <c r="H38" i="12"/>
  <c r="I38" i="12"/>
  <c r="E38" i="12"/>
  <c r="F39" i="12"/>
  <c r="G39" i="12" s="1"/>
  <c r="H39" i="12" s="1"/>
  <c r="I39" i="12" s="1"/>
  <c r="E39" i="12"/>
  <c r="C51" i="12"/>
  <c r="D51" i="12"/>
  <c r="C49" i="12"/>
  <c r="D49" i="12"/>
  <c r="C45" i="12"/>
  <c r="D45" i="12"/>
  <c r="C43" i="12"/>
  <c r="D43" i="12"/>
  <c r="C41" i="12"/>
  <c r="D41" i="12"/>
  <c r="B51" i="12"/>
  <c r="B49" i="12"/>
  <c r="B45" i="12"/>
  <c r="B43" i="12"/>
  <c r="B41" i="12"/>
  <c r="C39" i="12"/>
  <c r="D39" i="12"/>
  <c r="B39" i="12"/>
  <c r="I36" i="12"/>
  <c r="F36" i="12"/>
  <c r="G36" i="12"/>
  <c r="H36" i="12"/>
  <c r="F37" i="12"/>
  <c r="G37" i="12" s="1"/>
  <c r="H37" i="12" s="1"/>
  <c r="I37" i="12" s="1"/>
  <c r="E37" i="12"/>
  <c r="C37" i="12"/>
  <c r="D37" i="12"/>
  <c r="B37" i="12"/>
  <c r="F34" i="12"/>
  <c r="G34" i="12"/>
  <c r="H34" i="12"/>
  <c r="I34" i="12"/>
  <c r="E34" i="12"/>
  <c r="F35" i="12"/>
  <c r="G35" i="12" s="1"/>
  <c r="H35" i="12" s="1"/>
  <c r="I35" i="12" s="1"/>
  <c r="E35" i="12"/>
  <c r="C35" i="12"/>
  <c r="D35" i="12"/>
  <c r="B35" i="12"/>
  <c r="F33" i="12"/>
  <c r="G33" i="12"/>
  <c r="H33" i="12"/>
  <c r="I33" i="12"/>
  <c r="E33" i="12"/>
  <c r="C33" i="12"/>
  <c r="D33" i="12"/>
  <c r="B33" i="12"/>
  <c r="F28" i="12"/>
  <c r="E28" i="12"/>
  <c r="C28" i="12"/>
  <c r="D28" i="12"/>
  <c r="B28" i="12"/>
  <c r="C26" i="12"/>
  <c r="D26" i="12"/>
  <c r="B26" i="12"/>
  <c r="E18" i="12"/>
  <c r="C22" i="12"/>
  <c r="D22" i="12"/>
  <c r="C20" i="12"/>
  <c r="D20" i="12"/>
  <c r="B20" i="12"/>
  <c r="B22" i="12"/>
  <c r="C18" i="12"/>
  <c r="D18" i="12"/>
  <c r="B18" i="12"/>
  <c r="F16" i="12"/>
  <c r="G16" i="12"/>
  <c r="H16" i="12" s="1"/>
  <c r="I16" i="12" s="1"/>
  <c r="E16" i="12"/>
  <c r="C16" i="12"/>
  <c r="D16" i="12"/>
  <c r="B16" i="12"/>
  <c r="F11" i="12"/>
  <c r="G11" i="12"/>
  <c r="H11" i="12"/>
  <c r="I11" i="12"/>
  <c r="E11" i="12"/>
  <c r="C13" i="12"/>
  <c r="D13" i="12"/>
  <c r="B13" i="12"/>
  <c r="F6" i="12"/>
  <c r="G6" i="12"/>
  <c r="H6" i="12"/>
  <c r="I6" i="12"/>
  <c r="E6" i="12"/>
  <c r="J105" i="1"/>
  <c r="C8" i="12"/>
  <c r="D8" i="12"/>
  <c r="B8" i="12"/>
  <c r="C4" i="12"/>
  <c r="D4" i="12"/>
  <c r="B4" i="12"/>
  <c r="M26" i="10"/>
  <c r="L26" i="10"/>
  <c r="M21" i="10"/>
  <c r="L20" i="10"/>
  <c r="M20" i="10" s="1"/>
  <c r="L21" i="10"/>
  <c r="L22" i="10"/>
  <c r="M22" i="10" s="1"/>
  <c r="E67" i="12"/>
  <c r="E63" i="12"/>
  <c r="F63" i="12" s="1"/>
  <c r="G63" i="12" s="1"/>
  <c r="E61" i="12"/>
  <c r="L35" i="1"/>
  <c r="M35" i="1"/>
  <c r="N35" i="1"/>
  <c r="K35" i="1"/>
  <c r="J35" i="1"/>
  <c r="L33" i="1"/>
  <c r="M33" i="1"/>
  <c r="N33" i="1"/>
  <c r="K33" i="1"/>
  <c r="J33" i="1"/>
  <c r="J110" i="1"/>
  <c r="G36" i="3"/>
  <c r="G10" i="8"/>
  <c r="G34" i="3" s="1"/>
  <c r="J131" i="3"/>
  <c r="I131" i="3"/>
  <c r="C87" i="12"/>
  <c r="E15" i="2" s="1"/>
  <c r="D87" i="12"/>
  <c r="F15" i="2" s="1"/>
  <c r="C86" i="12"/>
  <c r="E14" i="2" s="1"/>
  <c r="D86" i="12"/>
  <c r="F14" i="2" s="1"/>
  <c r="E86" i="12"/>
  <c r="H14" i="2" s="1"/>
  <c r="F86" i="12"/>
  <c r="I14" i="2" s="1"/>
  <c r="G86" i="12"/>
  <c r="J14" i="2" s="1"/>
  <c r="H86" i="12"/>
  <c r="K14" i="2" s="1"/>
  <c r="I86" i="12"/>
  <c r="L14" i="2" s="1"/>
  <c r="C85" i="12"/>
  <c r="E13" i="2" s="1"/>
  <c r="D85" i="12"/>
  <c r="F13" i="2" s="1"/>
  <c r="E85" i="12"/>
  <c r="H13" i="2" s="1"/>
  <c r="F85" i="12"/>
  <c r="I13" i="2" s="1"/>
  <c r="G85" i="12"/>
  <c r="J13" i="2" s="1"/>
  <c r="H85" i="12"/>
  <c r="K13" i="2" s="1"/>
  <c r="I85" i="12"/>
  <c r="L13" i="2" s="1"/>
  <c r="C84" i="12"/>
  <c r="E12" i="2" s="1"/>
  <c r="D84" i="12"/>
  <c r="F12" i="2" s="1"/>
  <c r="C83" i="12"/>
  <c r="E11" i="2" s="1"/>
  <c r="D83" i="12"/>
  <c r="F11" i="2" s="1"/>
  <c r="C82" i="12"/>
  <c r="E10" i="2" s="1"/>
  <c r="D82" i="12"/>
  <c r="F10" i="2" s="1"/>
  <c r="C81" i="12"/>
  <c r="E9" i="2" s="1"/>
  <c r="D81" i="12"/>
  <c r="F9" i="2" s="1"/>
  <c r="B87" i="12"/>
  <c r="D15" i="2" s="1"/>
  <c r="B86" i="12"/>
  <c r="D14" i="2" s="1"/>
  <c r="B85" i="12"/>
  <c r="D13" i="2" s="1"/>
  <c r="B84" i="12"/>
  <c r="D12" i="2" s="1"/>
  <c r="B83" i="12"/>
  <c r="D11" i="2" s="1"/>
  <c r="B82" i="12"/>
  <c r="D10" i="2" s="1"/>
  <c r="B81" i="12"/>
  <c r="D9" i="2" s="1"/>
  <c r="C80" i="12"/>
  <c r="E8" i="2" s="1"/>
  <c r="D80" i="12"/>
  <c r="F8" i="2" s="1"/>
  <c r="B80" i="12"/>
  <c r="D8" i="2" s="1"/>
  <c r="C79" i="12"/>
  <c r="E7" i="2" s="1"/>
  <c r="D79" i="12"/>
  <c r="F7" i="2" s="1"/>
  <c r="B79" i="12"/>
  <c r="D7" i="2" s="1"/>
  <c r="E73" i="12"/>
  <c r="F73" i="12" s="1"/>
  <c r="G73" i="12" s="1"/>
  <c r="H73" i="12" s="1"/>
  <c r="I73" i="12" s="1"/>
  <c r="E71" i="12"/>
  <c r="F71" i="12" s="1"/>
  <c r="G71" i="12" s="1"/>
  <c r="H71" i="12" s="1"/>
  <c r="I71" i="12" s="1"/>
  <c r="E65" i="12"/>
  <c r="F65" i="12" s="1"/>
  <c r="G65" i="12" s="1"/>
  <c r="H65" i="12" s="1"/>
  <c r="I65" i="12" s="1"/>
  <c r="B75" i="12"/>
  <c r="B29" i="12"/>
  <c r="C57" i="2"/>
  <c r="G57" i="2"/>
  <c r="B57" i="2"/>
  <c r="I82" i="3"/>
  <c r="J82" i="3"/>
  <c r="K82" i="3"/>
  <c r="H82" i="3"/>
  <c r="I99" i="3"/>
  <c r="J99" i="3"/>
  <c r="K99" i="3"/>
  <c r="H99" i="3"/>
  <c r="G99" i="3"/>
  <c r="G82" i="3"/>
  <c r="C99" i="3"/>
  <c r="D99" i="3"/>
  <c r="E99" i="3"/>
  <c r="F99" i="3"/>
  <c r="B99" i="3"/>
  <c r="C82" i="3"/>
  <c r="D82" i="3"/>
  <c r="E82" i="3"/>
  <c r="F82" i="3"/>
  <c r="B82" i="3"/>
  <c r="B12" i="8"/>
  <c r="C12" i="8"/>
  <c r="D12" i="8"/>
  <c r="E12" i="8"/>
  <c r="F12" i="8"/>
  <c r="B11" i="8"/>
  <c r="B13" i="8" s="1"/>
  <c r="B10" i="8"/>
  <c r="C7" i="8" s="1"/>
  <c r="C11" i="8" s="1"/>
  <c r="C13" i="8" s="1"/>
  <c r="C10" i="8"/>
  <c r="D7" i="8" s="1"/>
  <c r="D11" i="8" s="1"/>
  <c r="D13" i="8" s="1"/>
  <c r="D10" i="8"/>
  <c r="E7" i="8" s="1"/>
  <c r="E11" i="8" s="1"/>
  <c r="E13" i="8" s="1"/>
  <c r="E10" i="8"/>
  <c r="F7" i="8" s="1"/>
  <c r="F10" i="8"/>
  <c r="G7" i="8" s="1"/>
  <c r="C68" i="3"/>
  <c r="B68" i="3"/>
  <c r="H44" i="12" l="1"/>
  <c r="G44" i="12"/>
  <c r="G40" i="12"/>
  <c r="H40" i="12"/>
  <c r="F61" i="12"/>
  <c r="G61" i="12" s="1"/>
  <c r="H61" i="12" s="1"/>
  <c r="I61" i="12" s="1"/>
  <c r="B52" i="12"/>
  <c r="B90" i="12" s="1"/>
  <c r="G28" i="12"/>
  <c r="I28" i="12" s="1"/>
  <c r="H28" i="12"/>
  <c r="F67" i="12"/>
  <c r="G67" i="12" s="1"/>
  <c r="H67" i="12" s="1"/>
  <c r="I67" i="12" s="1"/>
  <c r="H63" i="12"/>
  <c r="I63" i="12" s="1"/>
  <c r="E75" i="12"/>
  <c r="D75" i="12"/>
  <c r="D52" i="12"/>
  <c r="C29" i="12"/>
  <c r="C75" i="12"/>
  <c r="D29" i="12"/>
  <c r="C52" i="12"/>
  <c r="K121" i="1"/>
  <c r="L121" i="1"/>
  <c r="M121" i="1"/>
  <c r="N121" i="1"/>
  <c r="J121" i="1"/>
  <c r="K117" i="1"/>
  <c r="L117" i="1"/>
  <c r="M117" i="1"/>
  <c r="N117" i="1"/>
  <c r="J117" i="1"/>
  <c r="K110" i="1"/>
  <c r="L110" i="1"/>
  <c r="M110" i="1"/>
  <c r="N110" i="1"/>
  <c r="E26" i="11"/>
  <c r="D26" i="11" s="1"/>
  <c r="C26" i="11" s="1"/>
  <c r="H87" i="3"/>
  <c r="I87" i="3"/>
  <c r="J87" i="3"/>
  <c r="K87" i="3"/>
  <c r="G87" i="3"/>
  <c r="C61" i="2"/>
  <c r="D61" i="2"/>
  <c r="E61" i="2"/>
  <c r="F61" i="2"/>
  <c r="B61" i="2"/>
  <c r="H22" i="2"/>
  <c r="H23" i="2"/>
  <c r="C60" i="2"/>
  <c r="D60" i="2"/>
  <c r="E60" i="2"/>
  <c r="F60" i="2"/>
  <c r="B60" i="2"/>
  <c r="H60" i="2" s="1"/>
  <c r="G60" i="2"/>
  <c r="C54" i="2"/>
  <c r="N105" i="1"/>
  <c r="K105" i="1"/>
  <c r="L105" i="1"/>
  <c r="M105" i="1"/>
  <c r="J46" i="1"/>
  <c r="G28" i="3"/>
  <c r="H28" i="3"/>
  <c r="I28" i="3"/>
  <c r="J28" i="3"/>
  <c r="K28" i="3"/>
  <c r="E177" i="3"/>
  <c r="D177" i="3"/>
  <c r="C177" i="3"/>
  <c r="B177" i="3"/>
  <c r="Q15" i="6" a="1"/>
  <c r="Q18" i="6" a="1"/>
  <c r="Q16" i="6" a="1"/>
  <c r="Q19" i="6" a="1"/>
  <c r="I75" i="12" l="1"/>
  <c r="H75" i="12"/>
  <c r="G75" i="12"/>
  <c r="F75" i="12"/>
  <c r="H61" i="2"/>
  <c r="D90" i="12"/>
  <c r="C90" i="12"/>
  <c r="Q19" i="6"/>
  <c r="Q18" i="6"/>
  <c r="Q16" i="6"/>
  <c r="Q15" i="6"/>
  <c r="G26" i="11"/>
  <c r="H26" i="11" s="1"/>
  <c r="I26" i="11" s="1"/>
  <c r="G48" i="11"/>
  <c r="H48" i="11" s="1"/>
  <c r="I48" i="11" s="1"/>
  <c r="E48" i="11"/>
  <c r="D48" i="11" s="1"/>
  <c r="C48" i="11" s="1"/>
  <c r="G38" i="11"/>
  <c r="F38" i="11"/>
  <c r="E38" i="11"/>
  <c r="D38" i="11"/>
  <c r="C38" i="11"/>
  <c r="I3" i="11" l="1"/>
  <c r="D18" i="10"/>
  <c r="D30" i="10" l="1"/>
  <c r="D36" i="10" s="1"/>
  <c r="E27" i="10"/>
  <c r="L19" i="10"/>
  <c r="M19" i="10" s="1"/>
  <c r="D17" i="10"/>
  <c r="D25" i="10" l="1"/>
  <c r="D26" i="10"/>
  <c r="D24" i="10"/>
  <c r="D23" i="10"/>
  <c r="D9" i="10"/>
  <c r="D10" i="10" s="1"/>
  <c r="D40" i="10"/>
  <c r="G3" i="11"/>
  <c r="B4" i="11"/>
  <c r="F52" i="2"/>
  <c r="E52" i="2"/>
  <c r="D52" i="2"/>
  <c r="C52" i="2"/>
  <c r="B52" i="2"/>
  <c r="E11" i="9"/>
  <c r="E20" i="3"/>
  <c r="D27" i="10" l="1"/>
  <c r="D35" i="10" s="1"/>
  <c r="E15" i="11"/>
  <c r="G15" i="11"/>
  <c r="F15" i="11"/>
  <c r="D15" i="11"/>
  <c r="C15" i="11"/>
  <c r="G4" i="11"/>
  <c r="F43" i="2"/>
  <c r="E43" i="2"/>
  <c r="D43" i="2"/>
  <c r="C43" i="2"/>
  <c r="B43" i="2"/>
  <c r="F160" i="3"/>
  <c r="E160" i="3"/>
  <c r="D160" i="3"/>
  <c r="C160" i="3"/>
  <c r="D39" i="11" l="1"/>
  <c r="G39" i="11"/>
  <c r="F39" i="11"/>
  <c r="E39" i="11"/>
  <c r="C39" i="11"/>
  <c r="G5" i="11"/>
  <c r="H37" i="3"/>
  <c r="G46" i="4"/>
  <c r="F46" i="4"/>
  <c r="E46" i="4"/>
  <c r="G43" i="4"/>
  <c r="F43" i="4"/>
  <c r="E43" i="4"/>
  <c r="G42" i="4"/>
  <c r="F42" i="4"/>
  <c r="E42" i="4"/>
  <c r="G35" i="4"/>
  <c r="F35" i="4"/>
  <c r="E35" i="4"/>
  <c r="G22" i="4"/>
  <c r="F22" i="4"/>
  <c r="E22" i="4"/>
  <c r="G20" i="4"/>
  <c r="F20" i="4"/>
  <c r="E20" i="4"/>
  <c r="D46" i="4"/>
  <c r="D43" i="4"/>
  <c r="D42" i="4"/>
  <c r="D35" i="4"/>
  <c r="D28" i="4" l="1"/>
  <c r="B34" i="4"/>
  <c r="B35" i="4"/>
  <c r="B36" i="4"/>
  <c r="B37" i="4"/>
  <c r="B38" i="4"/>
  <c r="B39" i="4"/>
  <c r="B40" i="4"/>
  <c r="B42" i="4"/>
  <c r="B43" i="4"/>
  <c r="B44" i="4"/>
  <c r="B46" i="4"/>
  <c r="B47" i="4"/>
  <c r="B29" i="4"/>
  <c r="B30" i="4"/>
  <c r="B31" i="4"/>
  <c r="B32" i="4"/>
  <c r="B28" i="4"/>
  <c r="B20" i="4"/>
  <c r="B21" i="4"/>
  <c r="B22" i="4"/>
  <c r="B23" i="4"/>
  <c r="B8" i="4"/>
  <c r="B9" i="4"/>
  <c r="B7" i="4"/>
  <c r="G47" i="3"/>
  <c r="H47" i="3" s="1"/>
  <c r="D47" i="4" s="1"/>
  <c r="C175" i="3"/>
  <c r="D175" i="3"/>
  <c r="E175" i="3"/>
  <c r="F175" i="3"/>
  <c r="B175" i="3"/>
  <c r="D22" i="4"/>
  <c r="D20" i="4"/>
  <c r="C46" i="4"/>
  <c r="C43" i="4"/>
  <c r="C42" i="4"/>
  <c r="C35" i="4"/>
  <c r="C22" i="4"/>
  <c r="C20" i="4"/>
  <c r="C56" i="4"/>
  <c r="F158" i="3"/>
  <c r="G159" i="3"/>
  <c r="F167" i="3"/>
  <c r="G167" i="3" s="1"/>
  <c r="H167" i="3" s="1"/>
  <c r="I167" i="3" s="1"/>
  <c r="J167" i="3" s="1"/>
  <c r="K167" i="3" s="1"/>
  <c r="I47" i="3" l="1"/>
  <c r="J47" i="3"/>
  <c r="E47" i="4"/>
  <c r="H159" i="3"/>
  <c r="G166" i="3"/>
  <c r="H166" i="3"/>
  <c r="K47" i="3" l="1"/>
  <c r="G47" i="4" s="1"/>
  <c r="F47" i="4"/>
  <c r="G169" i="3"/>
  <c r="I159" i="3"/>
  <c r="I166" i="3"/>
  <c r="H169" i="3" l="1"/>
  <c r="I4" i="11"/>
  <c r="I169" i="3"/>
  <c r="I158" i="3" s="1"/>
  <c r="E52" i="4" s="1"/>
  <c r="G158" i="3"/>
  <c r="C52" i="4" s="1"/>
  <c r="J159" i="3"/>
  <c r="K166" i="3"/>
  <c r="J166" i="3"/>
  <c r="H158" i="3" l="1"/>
  <c r="D52" i="4" s="1"/>
  <c r="I5" i="11"/>
  <c r="J169" i="3"/>
  <c r="K169" i="3" s="1"/>
  <c r="K159" i="3"/>
  <c r="J158" i="3" l="1"/>
  <c r="F52" i="4" s="1"/>
  <c r="K158" i="3"/>
  <c r="G52" i="4" s="1"/>
  <c r="C36" i="8" l="1"/>
  <c r="D36" i="8"/>
  <c r="D37" i="8" s="1"/>
  <c r="B37" i="8"/>
  <c r="C37" i="8"/>
  <c r="E36" i="8" l="1"/>
  <c r="E37" i="8" l="1"/>
  <c r="F36" i="8"/>
  <c r="D28" i="8"/>
  <c r="E28" i="8"/>
  <c r="C28" i="8"/>
  <c r="D103" i="3"/>
  <c r="E103" i="3"/>
  <c r="F103" i="3"/>
  <c r="C103" i="3"/>
  <c r="C98" i="3"/>
  <c r="D98" i="3"/>
  <c r="E98" i="3"/>
  <c r="F98" i="3"/>
  <c r="B98" i="3"/>
  <c r="I37" i="3"/>
  <c r="E37" i="4" s="1"/>
  <c r="J37" i="3"/>
  <c r="K37" i="3"/>
  <c r="G96" i="3"/>
  <c r="G37" i="3" s="1"/>
  <c r="C96" i="3"/>
  <c r="D96" i="3"/>
  <c r="E96" i="3"/>
  <c r="F96" i="3"/>
  <c r="B96" i="3"/>
  <c r="C93" i="3"/>
  <c r="D93" i="3"/>
  <c r="E93" i="3"/>
  <c r="F93" i="3"/>
  <c r="B93" i="3"/>
  <c r="H90" i="3"/>
  <c r="I90" i="3"/>
  <c r="J90" i="3"/>
  <c r="K90" i="3"/>
  <c r="G90" i="3"/>
  <c r="C90" i="3"/>
  <c r="D90" i="3"/>
  <c r="E90" i="3"/>
  <c r="F90" i="3"/>
  <c r="B90" i="3"/>
  <c r="C88" i="3"/>
  <c r="D88" i="3"/>
  <c r="E88" i="3"/>
  <c r="F88" i="3"/>
  <c r="B88" i="3"/>
  <c r="E28" i="4"/>
  <c r="F28" i="4"/>
  <c r="C80" i="3"/>
  <c r="D80" i="3"/>
  <c r="E80" i="3"/>
  <c r="F80" i="3"/>
  <c r="B80" i="3"/>
  <c r="C144" i="3"/>
  <c r="C147" i="3" s="1"/>
  <c r="D140" i="3"/>
  <c r="E140" i="3"/>
  <c r="F140" i="3"/>
  <c r="G140" i="3"/>
  <c r="C140" i="3"/>
  <c r="C139" i="3"/>
  <c r="D135" i="3"/>
  <c r="E135" i="3"/>
  <c r="F135" i="3"/>
  <c r="G135" i="3"/>
  <c r="C135" i="3"/>
  <c r="C134" i="3"/>
  <c r="C73" i="3"/>
  <c r="D73" i="3"/>
  <c r="E73" i="3"/>
  <c r="F73" i="3"/>
  <c r="C74" i="3"/>
  <c r="D74" i="3"/>
  <c r="E74" i="3"/>
  <c r="F74" i="3"/>
  <c r="C75" i="3"/>
  <c r="D75" i="3"/>
  <c r="E75" i="3"/>
  <c r="F75" i="3"/>
  <c r="B74" i="3"/>
  <c r="B75" i="3"/>
  <c r="B73" i="3"/>
  <c r="C129" i="3"/>
  <c r="D130" i="3"/>
  <c r="E130" i="3"/>
  <c r="F130" i="3"/>
  <c r="G130" i="3"/>
  <c r="C130" i="3"/>
  <c r="D124" i="3"/>
  <c r="E124" i="3"/>
  <c r="F124" i="3"/>
  <c r="L131" i="3" s="1"/>
  <c r="G124" i="3"/>
  <c r="M131" i="3" s="1"/>
  <c r="C124" i="3"/>
  <c r="C125" i="3" s="1"/>
  <c r="G72" i="3" s="1"/>
  <c r="G13" i="3" s="1"/>
  <c r="C72" i="3"/>
  <c r="D72" i="3"/>
  <c r="E72" i="3"/>
  <c r="F72" i="3"/>
  <c r="B72" i="3"/>
  <c r="D118" i="3"/>
  <c r="E118" i="3"/>
  <c r="K131" i="3" s="1"/>
  <c r="F118" i="3"/>
  <c r="G118" i="3"/>
  <c r="C118" i="3"/>
  <c r="C119" i="3" s="1"/>
  <c r="G15" i="7"/>
  <c r="H15" i="7"/>
  <c r="I15" i="7"/>
  <c r="J15" i="7"/>
  <c r="F15" i="7"/>
  <c r="F71" i="3"/>
  <c r="C71" i="3"/>
  <c r="D71" i="3"/>
  <c r="E71" i="3"/>
  <c r="B71" i="3"/>
  <c r="C67" i="3"/>
  <c r="D67" i="3"/>
  <c r="E67" i="3"/>
  <c r="F67" i="3"/>
  <c r="B67" i="3"/>
  <c r="C66" i="3"/>
  <c r="D66" i="3"/>
  <c r="E66" i="3"/>
  <c r="F66" i="3"/>
  <c r="B66" i="3"/>
  <c r="B29" i="8"/>
  <c r="C27" i="8" s="1"/>
  <c r="I22" i="2"/>
  <c r="K22" i="2" s="1"/>
  <c r="J22" i="2"/>
  <c r="L22" i="2" s="1"/>
  <c r="I23" i="2"/>
  <c r="J23" i="2"/>
  <c r="K23" i="2"/>
  <c r="L23" i="2"/>
  <c r="C63" i="2"/>
  <c r="D63" i="2"/>
  <c r="E63" i="2"/>
  <c r="F63" i="2"/>
  <c r="B63" i="2"/>
  <c r="H35" i="2"/>
  <c r="I35" i="2"/>
  <c r="J35" i="2"/>
  <c r="K35" i="2"/>
  <c r="L35" i="2"/>
  <c r="C55" i="2"/>
  <c r="D55" i="2"/>
  <c r="E55" i="2"/>
  <c r="F55" i="2"/>
  <c r="B55" i="2"/>
  <c r="C51" i="2"/>
  <c r="D51" i="2"/>
  <c r="E51" i="2"/>
  <c r="F51" i="2"/>
  <c r="B51" i="2"/>
  <c r="C49" i="2"/>
  <c r="D49" i="2"/>
  <c r="E49" i="2"/>
  <c r="F49" i="2"/>
  <c r="B49" i="2"/>
  <c r="C44" i="2"/>
  <c r="D44" i="2"/>
  <c r="E44" i="2"/>
  <c r="F44" i="2"/>
  <c r="B44" i="2"/>
  <c r="D41" i="2"/>
  <c r="E41" i="2"/>
  <c r="F41" i="2"/>
  <c r="E53" i="2"/>
  <c r="F53" i="2"/>
  <c r="D54" i="2"/>
  <c r="E54" i="2"/>
  <c r="F54" i="2"/>
  <c r="D59" i="2"/>
  <c r="E59" i="2"/>
  <c r="F59" i="2"/>
  <c r="C59" i="2"/>
  <c r="C41" i="2"/>
  <c r="D148" i="1"/>
  <c r="E148" i="1"/>
  <c r="G144" i="1"/>
  <c r="H144" i="1"/>
  <c r="D144" i="1"/>
  <c r="E144" i="1"/>
  <c r="F148" i="1"/>
  <c r="G74" i="1"/>
  <c r="D74" i="1"/>
  <c r="E74" i="1"/>
  <c r="F74" i="1"/>
  <c r="C74" i="1"/>
  <c r="D83" i="1"/>
  <c r="D79" i="1"/>
  <c r="C79" i="1"/>
  <c r="C83" i="1"/>
  <c r="C72" i="1"/>
  <c r="H148" i="1"/>
  <c r="H83" i="1"/>
  <c r="G79" i="1"/>
  <c r="G83" i="1"/>
  <c r="J51" i="1"/>
  <c r="K51" i="1" s="1"/>
  <c r="L51" i="1" s="1"/>
  <c r="M51" i="1" s="1"/>
  <c r="N51" i="1" s="1"/>
  <c r="H98" i="1"/>
  <c r="H101" i="1"/>
  <c r="H102" i="1"/>
  <c r="H110" i="1"/>
  <c r="H117" i="1"/>
  <c r="H121" i="1"/>
  <c r="H128" i="1"/>
  <c r="H129" i="1"/>
  <c r="H132" i="1"/>
  <c r="H133" i="1"/>
  <c r="H137" i="1"/>
  <c r="H143" i="1"/>
  <c r="H147" i="1"/>
  <c r="H97" i="1"/>
  <c r="D98" i="1"/>
  <c r="E98" i="1"/>
  <c r="F98" i="1"/>
  <c r="G98" i="1"/>
  <c r="D101" i="1"/>
  <c r="E101" i="1"/>
  <c r="F101" i="1"/>
  <c r="G101" i="1"/>
  <c r="D102" i="1"/>
  <c r="E102" i="1"/>
  <c r="F102" i="1"/>
  <c r="G102" i="1"/>
  <c r="D105" i="1"/>
  <c r="D110" i="1"/>
  <c r="E110" i="1"/>
  <c r="F110" i="1"/>
  <c r="G110" i="1"/>
  <c r="D117" i="1"/>
  <c r="E117" i="1"/>
  <c r="F117" i="1"/>
  <c r="G117" i="1"/>
  <c r="D121" i="1"/>
  <c r="E121" i="1"/>
  <c r="F121" i="1"/>
  <c r="G121" i="1"/>
  <c r="D128" i="1"/>
  <c r="E128" i="1"/>
  <c r="F128" i="1"/>
  <c r="G128" i="1"/>
  <c r="D129" i="1"/>
  <c r="E129" i="1"/>
  <c r="F129" i="1"/>
  <c r="G129" i="1"/>
  <c r="D132" i="1"/>
  <c r="E132" i="1"/>
  <c r="F132" i="1"/>
  <c r="G132" i="1"/>
  <c r="D133" i="1"/>
  <c r="E133" i="1"/>
  <c r="F133" i="1"/>
  <c r="G133" i="1"/>
  <c r="D136" i="1"/>
  <c r="E136" i="1"/>
  <c r="D137" i="1"/>
  <c r="E137" i="1"/>
  <c r="F137" i="1"/>
  <c r="G137" i="1"/>
  <c r="D143" i="1"/>
  <c r="E143" i="1"/>
  <c r="F143" i="1"/>
  <c r="G143" i="1"/>
  <c r="F144" i="1"/>
  <c r="D147" i="1"/>
  <c r="E147" i="1"/>
  <c r="J81" i="1" s="1"/>
  <c r="F147" i="1"/>
  <c r="G147" i="1"/>
  <c r="G148" i="1"/>
  <c r="D154" i="1"/>
  <c r="E97" i="1"/>
  <c r="F97" i="1"/>
  <c r="G97" i="1"/>
  <c r="D97" i="1"/>
  <c r="D72" i="1"/>
  <c r="C68" i="1"/>
  <c r="D68" i="1"/>
  <c r="C64" i="1"/>
  <c r="D64" i="1"/>
  <c r="C60" i="1"/>
  <c r="D60" i="1"/>
  <c r="D126" i="1" s="1"/>
  <c r="C56" i="1"/>
  <c r="D56" i="1"/>
  <c r="C52" i="1"/>
  <c r="D52" i="1"/>
  <c r="C48" i="1"/>
  <c r="D48" i="1"/>
  <c r="D99" i="1" s="1"/>
  <c r="J88" i="1"/>
  <c r="K88" i="1" s="1"/>
  <c r="L88" i="1" s="1"/>
  <c r="M88" i="1" s="1"/>
  <c r="N88" i="1" s="1"/>
  <c r="N34" i="1" s="1"/>
  <c r="N6" i="1" s="1"/>
  <c r="H79" i="1"/>
  <c r="H72" i="1"/>
  <c r="H68" i="1"/>
  <c r="H64" i="1"/>
  <c r="H60" i="1"/>
  <c r="H54" i="1"/>
  <c r="H56" i="1" s="1"/>
  <c r="H52" i="1"/>
  <c r="H48" i="1"/>
  <c r="E88" i="1"/>
  <c r="E154" i="1" s="1"/>
  <c r="E83" i="1"/>
  <c r="G70" i="1"/>
  <c r="G72" i="1" s="1"/>
  <c r="F70" i="1"/>
  <c r="F72" i="1" s="1"/>
  <c r="E72" i="1"/>
  <c r="E68" i="1"/>
  <c r="E64" i="1"/>
  <c r="E60" i="1"/>
  <c r="E54" i="1"/>
  <c r="E56" i="1" s="1"/>
  <c r="E52" i="1"/>
  <c r="E79" i="1"/>
  <c r="E48" i="1"/>
  <c r="F88" i="1"/>
  <c r="G88" i="1"/>
  <c r="F83" i="1"/>
  <c r="F79" i="1"/>
  <c r="G68" i="1"/>
  <c r="F68" i="1"/>
  <c r="G60" i="1"/>
  <c r="F60" i="1"/>
  <c r="G64" i="1"/>
  <c r="F64" i="1"/>
  <c r="G54" i="1"/>
  <c r="G56" i="1" s="1"/>
  <c r="F54" i="1"/>
  <c r="F56" i="1" s="1"/>
  <c r="G52" i="1"/>
  <c r="F52" i="1"/>
  <c r="G48" i="1"/>
  <c r="F48" i="1"/>
  <c r="C6" i="1"/>
  <c r="D6" i="1"/>
  <c r="C4" i="1"/>
  <c r="D4" i="1"/>
  <c r="D34" i="1"/>
  <c r="C34" i="1"/>
  <c r="D12" i="1"/>
  <c r="D15" i="1" s="1"/>
  <c r="C12" i="1"/>
  <c r="C15" i="1" s="1"/>
  <c r="D25" i="1"/>
  <c r="D26" i="1" s="1"/>
  <c r="C25" i="1"/>
  <c r="C26" i="1" s="1"/>
  <c r="E26" i="1"/>
  <c r="C18" i="1"/>
  <c r="D18" i="1"/>
  <c r="E18" i="1"/>
  <c r="E15" i="1"/>
  <c r="G26" i="1"/>
  <c r="F26" i="1"/>
  <c r="F18" i="1"/>
  <c r="G18" i="1"/>
  <c r="F15" i="1"/>
  <c r="G15" i="1"/>
  <c r="G24" i="2"/>
  <c r="G25" i="2" s="1"/>
  <c r="G30" i="2" s="1"/>
  <c r="G15" i="2"/>
  <c r="B15" i="6"/>
  <c r="B16" i="6"/>
  <c r="B17" i="6"/>
  <c r="B18" i="6"/>
  <c r="B19" i="6"/>
  <c r="B24" i="6"/>
  <c r="B25" i="6"/>
  <c r="B26" i="6"/>
  <c r="B27" i="6"/>
  <c r="B28" i="6"/>
  <c r="E15" i="6" a="1"/>
  <c r="A9" i="6" a="1"/>
  <c r="L10" i="6"/>
  <c r="I16" i="6"/>
  <c r="C18" i="6" a="1"/>
  <c r="J10" i="6" a="1"/>
  <c r="C19" i="6" a="1"/>
  <c r="J9" i="6" a="1"/>
  <c r="P16" i="6" a="1"/>
  <c r="C6" i="6"/>
  <c r="C10" i="6"/>
  <c r="J6" i="6" a="1"/>
  <c r="C15" i="6" a="1"/>
  <c r="G15" i="6"/>
  <c r="M15" i="6" a="1"/>
  <c r="D6" i="6"/>
  <c r="H7" i="6"/>
  <c r="D7" i="6"/>
  <c r="E7" i="6"/>
  <c r="L16" i="6" a="1"/>
  <c r="G7" i="6" a="1"/>
  <c r="H9" i="6"/>
  <c r="O15" i="6" a="1"/>
  <c r="F15" i="6" a="1"/>
  <c r="J16" i="6"/>
  <c r="D18" i="6" a="1"/>
  <c r="E10" i="6"/>
  <c r="K7" i="6"/>
  <c r="L6" i="6"/>
  <c r="H6" i="6"/>
  <c r="P15" i="6" a="1"/>
  <c r="K6" i="6"/>
  <c r="L7" i="6"/>
  <c r="A7" i="6" a="1"/>
  <c r="G10" i="6" a="1"/>
  <c r="G9" i="6" a="1"/>
  <c r="N16" i="6" a="1"/>
  <c r="G6" i="6" a="1"/>
  <c r="K16" i="6" a="1"/>
  <c r="G16" i="6"/>
  <c r="C7" i="6"/>
  <c r="E16" i="6" a="1"/>
  <c r="E19" i="6" a="1"/>
  <c r="C9" i="6"/>
  <c r="H10" i="6"/>
  <c r="A6" i="6" a="1"/>
  <c r="K9" i="6"/>
  <c r="J7" i="6" a="1"/>
  <c r="F16" i="6" a="1"/>
  <c r="E9" i="6"/>
  <c r="L9" i="6"/>
  <c r="A10" i="6" a="1"/>
  <c r="K10" i="6"/>
  <c r="D9" i="6"/>
  <c r="D10" i="6"/>
  <c r="E6" i="6"/>
  <c r="J8" i="6" a="1"/>
  <c r="H8" i="6"/>
  <c r="G8" i="6" a="1"/>
  <c r="C8" i="6"/>
  <c r="A8" i="6" a="1"/>
  <c r="Q17" i="6" a="1"/>
  <c r="E8" i="6"/>
  <c r="D8" i="6"/>
  <c r="C17" i="6" a="1"/>
  <c r="L8" i="6"/>
  <c r="K8" i="6"/>
  <c r="Q17" i="6" l="1"/>
  <c r="G145" i="1"/>
  <c r="B39" i="6"/>
  <c r="B43" i="6"/>
  <c r="G36" i="8"/>
  <c r="G37" i="8" s="1"/>
  <c r="G28" i="8" s="1"/>
  <c r="F37" i="8"/>
  <c r="F28" i="8" s="1"/>
  <c r="J34" i="1"/>
  <c r="J6" i="1" s="1"/>
  <c r="J129" i="1"/>
  <c r="J128" i="1"/>
  <c r="J62" i="1" s="1"/>
  <c r="G138" i="1"/>
  <c r="G20" i="1"/>
  <c r="G30" i="1" s="1"/>
  <c r="G36" i="1" s="1"/>
  <c r="G149" i="1"/>
  <c r="J50" i="1"/>
  <c r="K50" i="1" s="1"/>
  <c r="L50" i="1" s="1"/>
  <c r="L52" i="1" s="1"/>
  <c r="L13" i="1" s="1"/>
  <c r="F154" i="1"/>
  <c r="G99" i="1"/>
  <c r="D138" i="1"/>
  <c r="E103" i="1"/>
  <c r="E134" i="1"/>
  <c r="F138" i="1"/>
  <c r="F126" i="1"/>
  <c r="J133" i="1"/>
  <c r="J67" i="1" s="1"/>
  <c r="K67" i="1" s="1"/>
  <c r="L67" i="1" s="1"/>
  <c r="M67" i="1" s="1"/>
  <c r="N67" i="1" s="1"/>
  <c r="H149" i="1"/>
  <c r="D149" i="1"/>
  <c r="J78" i="1"/>
  <c r="K78" i="1" s="1"/>
  <c r="L78" i="1" s="1"/>
  <c r="M78" i="1" s="1"/>
  <c r="N78" i="1" s="1"/>
  <c r="E138" i="1"/>
  <c r="H138" i="1"/>
  <c r="D134" i="1"/>
  <c r="G134" i="1"/>
  <c r="H130" i="1"/>
  <c r="E130" i="1"/>
  <c r="H126" i="1"/>
  <c r="D103" i="1"/>
  <c r="F103" i="1"/>
  <c r="G37" i="4"/>
  <c r="C37" i="4"/>
  <c r="D37" i="4"/>
  <c r="G28" i="4"/>
  <c r="F37" i="4"/>
  <c r="H99" i="1"/>
  <c r="G126" i="1"/>
  <c r="F115" i="1"/>
  <c r="H103" i="1"/>
  <c r="J59" i="1"/>
  <c r="K59" i="1" s="1"/>
  <c r="F134" i="1"/>
  <c r="E126" i="1"/>
  <c r="H115" i="1"/>
  <c r="J63" i="1"/>
  <c r="K63" i="1" s="1"/>
  <c r="L63" i="1" s="1"/>
  <c r="M63" i="1" s="1"/>
  <c r="N63" i="1" s="1"/>
  <c r="D115" i="1"/>
  <c r="J58" i="1"/>
  <c r="K58" i="1" s="1"/>
  <c r="L58" i="1" s="1"/>
  <c r="M58" i="1" s="1"/>
  <c r="N58" i="1" s="1"/>
  <c r="J71" i="1"/>
  <c r="K71" i="1" s="1"/>
  <c r="J55" i="1"/>
  <c r="K55" i="1" s="1"/>
  <c r="L55" i="1" s="1"/>
  <c r="M55" i="1" s="1"/>
  <c r="N55" i="1" s="1"/>
  <c r="F130" i="1"/>
  <c r="E99" i="1"/>
  <c r="F86" i="1"/>
  <c r="H134" i="1"/>
  <c r="G115" i="1"/>
  <c r="H145" i="1"/>
  <c r="G136" i="1"/>
  <c r="G130" i="1"/>
  <c r="D130" i="1"/>
  <c r="J77" i="1"/>
  <c r="K77" i="1" s="1"/>
  <c r="J66" i="1"/>
  <c r="K66" i="1" s="1"/>
  <c r="H136" i="1"/>
  <c r="I49" i="2"/>
  <c r="H49" i="2"/>
  <c r="J49" i="2" s="1"/>
  <c r="H51" i="2"/>
  <c r="H55" i="2"/>
  <c r="G27" i="2"/>
  <c r="C28" i="4"/>
  <c r="C47" i="4"/>
  <c r="C51" i="4" s="1"/>
  <c r="C141" i="3"/>
  <c r="D139" i="3" s="1"/>
  <c r="D141" i="3" s="1"/>
  <c r="C136" i="3"/>
  <c r="D134" i="3" s="1"/>
  <c r="D136" i="3" s="1"/>
  <c r="H74" i="3" s="1"/>
  <c r="H15" i="3" s="1"/>
  <c r="G103" i="3"/>
  <c r="G66" i="3"/>
  <c r="D51" i="4"/>
  <c r="G88" i="3"/>
  <c r="G67" i="3"/>
  <c r="G71" i="3"/>
  <c r="G12" i="3" s="1"/>
  <c r="D117" i="3"/>
  <c r="D144" i="3"/>
  <c r="G39" i="3"/>
  <c r="C39" i="4" s="1"/>
  <c r="G31" i="3"/>
  <c r="C131" i="3"/>
  <c r="D129" i="3" s="1"/>
  <c r="D131" i="3" s="1"/>
  <c r="D123" i="3"/>
  <c r="G80" i="3"/>
  <c r="G21" i="3" s="1"/>
  <c r="B30" i="8"/>
  <c r="F11" i="8"/>
  <c r="F13" i="8" s="1"/>
  <c r="C29" i="8"/>
  <c r="D27" i="8" s="1"/>
  <c r="L34" i="1"/>
  <c r="L6" i="1" s="1"/>
  <c r="K34" i="1"/>
  <c r="K6" i="1" s="1"/>
  <c r="M34" i="1"/>
  <c r="M6" i="1" s="1"/>
  <c r="D145" i="1"/>
  <c r="E145" i="1"/>
  <c r="K81" i="1"/>
  <c r="K46" i="1"/>
  <c r="E115" i="1"/>
  <c r="F145" i="1"/>
  <c r="F149" i="1"/>
  <c r="F136" i="1"/>
  <c r="F105" i="1"/>
  <c r="F99" i="1"/>
  <c r="E149" i="1"/>
  <c r="E105" i="1"/>
  <c r="G105" i="1"/>
  <c r="H105" i="1"/>
  <c r="G154" i="1"/>
  <c r="G103" i="1"/>
  <c r="E86" i="1"/>
  <c r="C86" i="1"/>
  <c r="C87" i="1" s="1"/>
  <c r="C89" i="1" s="1"/>
  <c r="H86" i="1"/>
  <c r="G86" i="1"/>
  <c r="D86" i="1"/>
  <c r="F20" i="1"/>
  <c r="F30" i="1" s="1"/>
  <c r="F36" i="1" s="1"/>
  <c r="E20" i="1"/>
  <c r="E30" i="1" s="1"/>
  <c r="E36" i="1" s="1"/>
  <c r="D20" i="1"/>
  <c r="D30" i="1" s="1"/>
  <c r="D36" i="1" s="1"/>
  <c r="C20" i="1"/>
  <c r="C30" i="1" s="1"/>
  <c r="C36" i="1" s="1"/>
  <c r="B40" i="6"/>
  <c r="K16" i="6"/>
  <c r="C17" i="6"/>
  <c r="A7" i="6"/>
  <c r="J6" i="6"/>
  <c r="D18" i="6"/>
  <c r="A8" i="6"/>
  <c r="E16" i="6"/>
  <c r="J25" i="6"/>
  <c r="G10" i="6"/>
  <c r="C19" i="6"/>
  <c r="M15" i="6"/>
  <c r="J7" i="6"/>
  <c r="J8" i="6"/>
  <c r="G6" i="6"/>
  <c r="I25" i="6"/>
  <c r="E19" i="6"/>
  <c r="F16" i="6"/>
  <c r="F8" i="6"/>
  <c r="C26" i="6"/>
  <c r="C18" i="6"/>
  <c r="F9" i="6"/>
  <c r="C27" i="6"/>
  <c r="J9" i="6"/>
  <c r="G7" i="6"/>
  <c r="O15" i="6"/>
  <c r="A9" i="6"/>
  <c r="A10" i="6"/>
  <c r="P15" i="6"/>
  <c r="P16" i="6"/>
  <c r="C15" i="6"/>
  <c r="N16" i="6"/>
  <c r="L16" i="6"/>
  <c r="J10" i="6"/>
  <c r="G8" i="6"/>
  <c r="C24" i="6"/>
  <c r="F6" i="6"/>
  <c r="E15" i="6"/>
  <c r="C28" i="6"/>
  <c r="F10" i="6"/>
  <c r="F15" i="6"/>
  <c r="G9" i="6"/>
  <c r="F7" i="6"/>
  <c r="C25" i="6"/>
  <c r="A6" i="6"/>
  <c r="B42" i="6"/>
  <c r="B41" i="6"/>
  <c r="J15" i="6"/>
  <c r="I39" i="6"/>
  <c r="H19" i="6"/>
  <c r="F19" i="6" a="1"/>
  <c r="M16" i="6" a="1"/>
  <c r="P18" i="6" a="1"/>
  <c r="K43" i="6"/>
  <c r="H18" i="6"/>
  <c r="L19" i="6" a="1"/>
  <c r="J18" i="6"/>
  <c r="J19" i="6"/>
  <c r="K15" i="6" a="1"/>
  <c r="M43" i="6"/>
  <c r="L15" i="6" a="1"/>
  <c r="N19" i="6" a="1"/>
  <c r="D16" i="6" a="1"/>
  <c r="O19" i="6" a="1"/>
  <c r="E18" i="6" a="1"/>
  <c r="D15" i="6" a="1"/>
  <c r="N18" i="6" a="1"/>
  <c r="O18" i="6" a="1"/>
  <c r="M19" i="6" a="1"/>
  <c r="N15" i="6" a="1"/>
  <c r="O43" i="6" a="1"/>
  <c r="J39" i="6" a="1"/>
  <c r="K18" i="6" a="1"/>
  <c r="N43" i="6"/>
  <c r="H43" i="6"/>
  <c r="L18" i="6" a="1"/>
  <c r="F18" i="6" a="1"/>
  <c r="G18" i="6"/>
  <c r="G43" i="6" a="1"/>
  <c r="E43" i="6" a="1"/>
  <c r="P19" i="6" a="1"/>
  <c r="I19" i="6"/>
  <c r="C43" i="6" a="1"/>
  <c r="K19" i="6" a="1"/>
  <c r="L40" i="6"/>
  <c r="L39" i="6"/>
  <c r="D43" i="6" a="1"/>
  <c r="H15" i="6"/>
  <c r="E40" i="6" a="1"/>
  <c r="L43" i="6"/>
  <c r="I43" i="6"/>
  <c r="O16" i="6" a="1"/>
  <c r="G19" i="6"/>
  <c r="G40" i="6" a="1"/>
  <c r="J43" i="6" a="1"/>
  <c r="C40" i="6" a="1"/>
  <c r="I15" i="6"/>
  <c r="H16" i="6"/>
  <c r="F43" i="6" a="1"/>
  <c r="I18" i="6"/>
  <c r="O40" i="6" a="1"/>
  <c r="M18" i="6" a="1"/>
  <c r="D19" i="6" a="1"/>
  <c r="K39" i="6"/>
  <c r="C16" i="6" a="1"/>
  <c r="H39" i="6"/>
  <c r="M17" i="6" a="1"/>
  <c r="O17" i="6" a="1"/>
  <c r="G17" i="6"/>
  <c r="K17" i="6" a="1"/>
  <c r="D17" i="6" a="1"/>
  <c r="E17" i="6" a="1"/>
  <c r="H17" i="6"/>
  <c r="I17" i="6"/>
  <c r="L17" i="6" a="1"/>
  <c r="F17" i="6" a="1"/>
  <c r="J17" i="6"/>
  <c r="P17" i="6" a="1"/>
  <c r="N17" i="6" a="1"/>
  <c r="M18" i="6" l="1"/>
  <c r="N19" i="6"/>
  <c r="D19" i="6"/>
  <c r="E28" i="6" s="1"/>
  <c r="E18" i="6"/>
  <c r="D16" i="6"/>
  <c r="L25" i="6"/>
  <c r="N15" i="6"/>
  <c r="N18" i="6"/>
  <c r="O16" i="6"/>
  <c r="H25" i="6"/>
  <c r="K25" i="6" s="1"/>
  <c r="M19" i="6"/>
  <c r="D15" i="6"/>
  <c r="E24" i="6" s="1"/>
  <c r="F19" i="6"/>
  <c r="G28" i="6" s="1"/>
  <c r="P19" i="6"/>
  <c r="O19" i="6"/>
  <c r="C43" i="6"/>
  <c r="G44" i="3"/>
  <c r="I103" i="3"/>
  <c r="J103" i="3"/>
  <c r="K103" i="3"/>
  <c r="H103" i="3"/>
  <c r="J88" i="3"/>
  <c r="H88" i="3"/>
  <c r="I88" i="3"/>
  <c r="K88" i="3"/>
  <c r="K52" i="1"/>
  <c r="K13" i="1" s="1"/>
  <c r="J68" i="1"/>
  <c r="J23" i="1" s="1"/>
  <c r="M50" i="1"/>
  <c r="N50" i="1" s="1"/>
  <c r="N52" i="1" s="1"/>
  <c r="N13" i="1" s="1"/>
  <c r="J52" i="1"/>
  <c r="J13" i="1" s="1"/>
  <c r="J47" i="1"/>
  <c r="K47" i="1" s="1"/>
  <c r="L47" i="1" s="1"/>
  <c r="M47" i="1" s="1"/>
  <c r="N47" i="1" s="1"/>
  <c r="J154" i="1"/>
  <c r="K62" i="1"/>
  <c r="K64" i="1" s="1"/>
  <c r="K19" i="1" s="1"/>
  <c r="J64" i="1"/>
  <c r="J19" i="1" s="1"/>
  <c r="J60" i="1"/>
  <c r="J18" i="1" s="1"/>
  <c r="C44" i="4"/>
  <c r="H44" i="3"/>
  <c r="D44" i="4" s="1"/>
  <c r="J70" i="1"/>
  <c r="J79" i="1"/>
  <c r="D152" i="1"/>
  <c r="K49" i="2"/>
  <c r="C31" i="4"/>
  <c r="L49" i="2"/>
  <c r="C21" i="4"/>
  <c r="G75" i="3"/>
  <c r="G16" i="3" s="1"/>
  <c r="G74" i="3"/>
  <c r="G15" i="3" s="1"/>
  <c r="E51" i="4"/>
  <c r="D147" i="3"/>
  <c r="D119" i="3"/>
  <c r="E117" i="3" s="1"/>
  <c r="G73" i="3"/>
  <c r="G14" i="3" s="1"/>
  <c r="E134" i="3"/>
  <c r="D125" i="3"/>
  <c r="H75" i="3"/>
  <c r="H16" i="3" s="1"/>
  <c r="E139" i="3"/>
  <c r="D29" i="8"/>
  <c r="E27" i="8" s="1"/>
  <c r="C30" i="8"/>
  <c r="J82" i="1"/>
  <c r="J83" i="1" s="1"/>
  <c r="L81" i="1"/>
  <c r="H87" i="1"/>
  <c r="H89" i="1" s="1"/>
  <c r="H152" i="1"/>
  <c r="L77" i="1"/>
  <c r="K79" i="1"/>
  <c r="G87" i="1"/>
  <c r="G89" i="1" s="1"/>
  <c r="G152" i="1"/>
  <c r="E87" i="1"/>
  <c r="E89" i="1" s="1"/>
  <c r="E152" i="1"/>
  <c r="F87" i="1"/>
  <c r="F89" i="1" s="1"/>
  <c r="F152" i="1"/>
  <c r="L59" i="1"/>
  <c r="K60" i="1"/>
  <c r="K18" i="1" s="1"/>
  <c r="J54" i="1"/>
  <c r="L71" i="1"/>
  <c r="L46" i="1"/>
  <c r="K68" i="1"/>
  <c r="K23" i="1" s="1"/>
  <c r="L66" i="1"/>
  <c r="D87" i="1"/>
  <c r="D89" i="1" s="1"/>
  <c r="C40" i="6"/>
  <c r="J43" i="6"/>
  <c r="O18" i="6"/>
  <c r="E43" i="6"/>
  <c r="P17" i="6"/>
  <c r="J39" i="6"/>
  <c r="H27" i="6"/>
  <c r="L18" i="6"/>
  <c r="N17" i="6"/>
  <c r="O43" i="6"/>
  <c r="F18" i="6"/>
  <c r="G27" i="6" s="1"/>
  <c r="J26" i="6"/>
  <c r="M17" i="6"/>
  <c r="H26" i="6"/>
  <c r="O40" i="6"/>
  <c r="L15" i="6"/>
  <c r="P18" i="6"/>
  <c r="K15" i="6"/>
  <c r="L19" i="6"/>
  <c r="D19" i="10"/>
  <c r="D20" i="10" s="1"/>
  <c r="D34" i="10" s="1"/>
  <c r="D38" i="10" s="1"/>
  <c r="I27" i="6"/>
  <c r="K19" i="6"/>
  <c r="K18" i="6"/>
  <c r="J28" i="6"/>
  <c r="D17" i="6"/>
  <c r="E26" i="6" s="1"/>
  <c r="E40" i="6"/>
  <c r="D43" i="6"/>
  <c r="G43" i="6"/>
  <c r="I26" i="6"/>
  <c r="L17" i="6"/>
  <c r="J24" i="6"/>
  <c r="I24" i="6"/>
  <c r="J27" i="6"/>
  <c r="F43" i="6"/>
  <c r="I28" i="6"/>
  <c r="C16" i="6"/>
  <c r="M16" i="6"/>
  <c r="G40" i="6"/>
  <c r="E17" i="6"/>
  <c r="F26" i="6" s="1"/>
  <c r="O17" i="6"/>
  <c r="H24" i="6"/>
  <c r="K17" i="6"/>
  <c r="H28" i="6"/>
  <c r="F17" i="6"/>
  <c r="G26" i="6" s="1"/>
  <c r="A27" i="6"/>
  <c r="A42" i="6"/>
  <c r="A18" i="6"/>
  <c r="A26" i="6"/>
  <c r="A41" i="6"/>
  <c r="A17" i="6"/>
  <c r="F24" i="6"/>
  <c r="D24" i="6"/>
  <c r="G24" i="6"/>
  <c r="I6" i="6"/>
  <c r="I10" i="6"/>
  <c r="D28" i="6"/>
  <c r="F28" i="6"/>
  <c r="A25" i="6"/>
  <c r="A16" i="6"/>
  <c r="A40" i="6"/>
  <c r="F27" i="6"/>
  <c r="I9" i="6"/>
  <c r="D27" i="6"/>
  <c r="E27" i="6"/>
  <c r="A24" i="6"/>
  <c r="A39" i="6"/>
  <c r="A15" i="6"/>
  <c r="E25" i="6"/>
  <c r="F25" i="6"/>
  <c r="G25" i="6"/>
  <c r="D25" i="6"/>
  <c r="I7" i="6"/>
  <c r="A19" i="6"/>
  <c r="A28" i="6"/>
  <c r="A43" i="6"/>
  <c r="D26" i="6"/>
  <c r="I8" i="6"/>
  <c r="D40" i="6" a="1"/>
  <c r="H40" i="6"/>
  <c r="D39" i="6" a="1"/>
  <c r="J40" i="6" a="1"/>
  <c r="O42" i="6" a="1"/>
  <c r="K40" i="6"/>
  <c r="L42" i="6"/>
  <c r="I40" i="6"/>
  <c r="E39" i="6" a="1"/>
  <c r="M42" i="6"/>
  <c r="N40" i="6"/>
  <c r="N42" i="6"/>
  <c r="M39" i="6"/>
  <c r="C39" i="6" a="1"/>
  <c r="N39" i="6"/>
  <c r="E42" i="6" a="1"/>
  <c r="O39" i="6" a="1"/>
  <c r="F42" i="6" a="1"/>
  <c r="I42" i="6"/>
  <c r="F40" i="6" a="1"/>
  <c r="M40" i="6"/>
  <c r="H42" i="6"/>
  <c r="C42" i="6" a="1"/>
  <c r="G42" i="6" a="1"/>
  <c r="K42" i="6"/>
  <c r="G39" i="6" a="1"/>
  <c r="J42" i="6" a="1"/>
  <c r="D42" i="6" a="1"/>
  <c r="F39" i="6" a="1"/>
  <c r="F41" i="6" a="1"/>
  <c r="D41" i="6" a="1"/>
  <c r="M41" i="6"/>
  <c r="O41" i="6" a="1"/>
  <c r="G41" i="6" a="1"/>
  <c r="H41" i="6"/>
  <c r="L41" i="6"/>
  <c r="C41" i="6" a="1"/>
  <c r="I41" i="6"/>
  <c r="J41" i="6" a="1"/>
  <c r="N41" i="6"/>
  <c r="K41" i="6"/>
  <c r="E41" i="6" a="1"/>
  <c r="B52" i="11" l="1"/>
  <c r="B30" i="11"/>
  <c r="L62" i="1"/>
  <c r="M52" i="1"/>
  <c r="M13" i="1" s="1"/>
  <c r="M25" i="6"/>
  <c r="C39" i="6"/>
  <c r="G39" i="6"/>
  <c r="O39" i="6"/>
  <c r="E39" i="6"/>
  <c r="F39" i="6"/>
  <c r="F40" i="6"/>
  <c r="J40" i="6"/>
  <c r="D39" i="6"/>
  <c r="D40" i="6"/>
  <c r="K48" i="1"/>
  <c r="K12" i="1" s="1"/>
  <c r="J48" i="1"/>
  <c r="J12" i="1" s="1"/>
  <c r="G17" i="3"/>
  <c r="H39" i="3"/>
  <c r="D39" i="4" s="1"/>
  <c r="H31" i="3"/>
  <c r="D31" i="4" s="1"/>
  <c r="K70" i="1"/>
  <c r="J72" i="1"/>
  <c r="J25" i="1" s="1"/>
  <c r="J26" i="1" s="1"/>
  <c r="J32" i="1"/>
  <c r="J5" i="1" s="1"/>
  <c r="I44" i="3"/>
  <c r="J44" i="3" s="1"/>
  <c r="H71" i="3"/>
  <c r="H12" i="3" s="1"/>
  <c r="K28" i="6"/>
  <c r="F51" i="4"/>
  <c r="E144" i="3"/>
  <c r="E147" i="3" s="1"/>
  <c r="H80" i="3"/>
  <c r="H21" i="3" s="1"/>
  <c r="E136" i="3"/>
  <c r="E141" i="3"/>
  <c r="I75" i="3" s="1"/>
  <c r="I16" i="3" s="1"/>
  <c r="E123" i="3"/>
  <c r="H72" i="3"/>
  <c r="H13" i="3" s="1"/>
  <c r="E119" i="3"/>
  <c r="E29" i="8"/>
  <c r="F27" i="8" s="1"/>
  <c r="D30" i="8"/>
  <c r="M28" i="6"/>
  <c r="K82" i="1"/>
  <c r="D153" i="1"/>
  <c r="L68" i="1"/>
  <c r="L23" i="1" s="1"/>
  <c r="M66" i="1"/>
  <c r="F153" i="1"/>
  <c r="G153" i="1"/>
  <c r="M77" i="1"/>
  <c r="L79" i="1"/>
  <c r="L64" i="1"/>
  <c r="L19" i="1" s="1"/>
  <c r="M62" i="1"/>
  <c r="M71" i="1"/>
  <c r="J56" i="1"/>
  <c r="K54" i="1"/>
  <c r="M59" i="1"/>
  <c r="L60" i="1"/>
  <c r="L18" i="1" s="1"/>
  <c r="M81" i="1"/>
  <c r="E153" i="1"/>
  <c r="M46" i="1"/>
  <c r="L48" i="1"/>
  <c r="L12" i="1" s="1"/>
  <c r="H153" i="1"/>
  <c r="L26" i="6"/>
  <c r="M26" i="6"/>
  <c r="K26" i="6"/>
  <c r="L28" i="6"/>
  <c r="O41" i="6"/>
  <c r="O42" i="6"/>
  <c r="C41" i="6"/>
  <c r="G42" i="6"/>
  <c r="D42" i="6"/>
  <c r="E41" i="6"/>
  <c r="E42" i="6"/>
  <c r="F42" i="6"/>
  <c r="G41" i="6"/>
  <c r="F41" i="6"/>
  <c r="C42" i="6"/>
  <c r="D41" i="6"/>
  <c r="J42" i="6"/>
  <c r="J41" i="6"/>
  <c r="H30" i="6"/>
  <c r="H33" i="6" s="1"/>
  <c r="K24" i="6"/>
  <c r="H31" i="6"/>
  <c r="H34" i="6" s="1"/>
  <c r="G31" i="6"/>
  <c r="G34" i="6" s="1"/>
  <c r="G30" i="6"/>
  <c r="G33" i="6" s="1"/>
  <c r="E31" i="6"/>
  <c r="E34" i="6" s="1"/>
  <c r="E30" i="6"/>
  <c r="E33" i="6" s="1"/>
  <c r="K27" i="6"/>
  <c r="D30" i="6"/>
  <c r="D33" i="6" s="1"/>
  <c r="D31" i="6"/>
  <c r="D34" i="6" s="1"/>
  <c r="L27" i="6"/>
  <c r="F31" i="6"/>
  <c r="F34" i="6" s="1"/>
  <c r="F30" i="6"/>
  <c r="F33" i="6" s="1"/>
  <c r="N27" i="6"/>
  <c r="P27" i="6"/>
  <c r="O27" i="6"/>
  <c r="N25" i="6"/>
  <c r="P25" i="6"/>
  <c r="O25" i="6"/>
  <c r="N26" i="6"/>
  <c r="O26" i="6"/>
  <c r="P26" i="6"/>
  <c r="M27" i="6"/>
  <c r="N24" i="6"/>
  <c r="P24" i="6"/>
  <c r="O24" i="6"/>
  <c r="I30" i="6"/>
  <c r="I33" i="6" s="1"/>
  <c r="I31" i="6"/>
  <c r="I34" i="6" s="1"/>
  <c r="L24" i="6"/>
  <c r="N28" i="6"/>
  <c r="P28" i="6"/>
  <c r="O28" i="6"/>
  <c r="J30" i="6"/>
  <c r="J33" i="6" s="1"/>
  <c r="J31" i="6"/>
  <c r="J34" i="6" s="1"/>
  <c r="M24" i="6"/>
  <c r="B31" i="11" l="1"/>
  <c r="B32" i="11" s="1"/>
  <c r="B33" i="11" s="1"/>
  <c r="B29" i="11"/>
  <c r="B28" i="11" s="1"/>
  <c r="B27" i="11" s="1"/>
  <c r="B51" i="11"/>
  <c r="B50" i="11" s="1"/>
  <c r="B49" i="11" s="1"/>
  <c r="B53" i="11"/>
  <c r="B54" i="11" s="1"/>
  <c r="B55" i="11" s="1"/>
  <c r="L70" i="1"/>
  <c r="K72" i="1"/>
  <c r="K25" i="1" s="1"/>
  <c r="K26" i="1" s="1"/>
  <c r="F44" i="4"/>
  <c r="E44" i="4"/>
  <c r="D21" i="4"/>
  <c r="G51" i="4"/>
  <c r="F144" i="3"/>
  <c r="F147" i="3" s="1"/>
  <c r="I80" i="3"/>
  <c r="I21" i="3" s="1"/>
  <c r="E21" i="4" s="1"/>
  <c r="I31" i="3"/>
  <c r="E31" i="4" s="1"/>
  <c r="I39" i="3"/>
  <c r="E39" i="4" s="1"/>
  <c r="F139" i="3"/>
  <c r="F141" i="3" s="1"/>
  <c r="G139" i="3" s="1"/>
  <c r="I74" i="3"/>
  <c r="I15" i="3" s="1"/>
  <c r="F134" i="3"/>
  <c r="K44" i="3"/>
  <c r="E125" i="3"/>
  <c r="H73" i="3"/>
  <c r="H14" i="3" s="1"/>
  <c r="H17" i="3" s="1"/>
  <c r="H18" i="3" s="1"/>
  <c r="H19" i="3" s="1"/>
  <c r="E129" i="3"/>
  <c r="F117" i="3"/>
  <c r="I71" i="3"/>
  <c r="I12" i="3" s="1"/>
  <c r="F29" i="8"/>
  <c r="G27" i="8" s="1"/>
  <c r="E30" i="8"/>
  <c r="J86" i="1"/>
  <c r="J87" i="1" s="1"/>
  <c r="J89" i="1" s="1"/>
  <c r="J36" i="1" s="1"/>
  <c r="H5" i="2" s="1"/>
  <c r="J14" i="1"/>
  <c r="J15" i="1" s="1"/>
  <c r="J20" i="1" s="1"/>
  <c r="J30" i="1" s="1"/>
  <c r="L82" i="1"/>
  <c r="K83" i="1"/>
  <c r="K32" i="1" s="1"/>
  <c r="K5" i="1" s="1"/>
  <c r="G155" i="1"/>
  <c r="E155" i="1"/>
  <c r="D155" i="1"/>
  <c r="N71" i="1"/>
  <c r="N62" i="1"/>
  <c r="N64" i="1" s="1"/>
  <c r="N19" i="1" s="1"/>
  <c r="M64" i="1"/>
  <c r="M19" i="1" s="1"/>
  <c r="H155" i="1"/>
  <c r="N77" i="1"/>
  <c r="N79" i="1" s="1"/>
  <c r="M79" i="1"/>
  <c r="K56" i="1"/>
  <c r="L54" i="1"/>
  <c r="N46" i="1"/>
  <c r="N48" i="1" s="1"/>
  <c r="N12" i="1" s="1"/>
  <c r="M48" i="1"/>
  <c r="M12" i="1" s="1"/>
  <c r="N81" i="1"/>
  <c r="F155" i="1"/>
  <c r="N59" i="1"/>
  <c r="N60" i="1" s="1"/>
  <c r="N18" i="1" s="1"/>
  <c r="M60" i="1"/>
  <c r="M18" i="1" s="1"/>
  <c r="M68" i="1"/>
  <c r="M23" i="1" s="1"/>
  <c r="N66" i="1"/>
  <c r="N68" i="1" s="1"/>
  <c r="N23" i="1" s="1"/>
  <c r="K31" i="6"/>
  <c r="K34" i="6" s="1"/>
  <c r="K30" i="6"/>
  <c r="K33" i="6" s="1"/>
  <c r="P31" i="6"/>
  <c r="P34" i="6" s="1"/>
  <c r="P30" i="6"/>
  <c r="P33" i="6" s="1"/>
  <c r="N31" i="6"/>
  <c r="N34" i="6" s="1"/>
  <c r="N30" i="6"/>
  <c r="N33" i="6" s="1"/>
  <c r="L31" i="6"/>
  <c r="L34" i="6" s="1"/>
  <c r="L30" i="6"/>
  <c r="L33" i="6" s="1"/>
  <c r="O31" i="6"/>
  <c r="O34" i="6" s="1"/>
  <c r="O30" i="6"/>
  <c r="O33" i="6" s="1"/>
  <c r="M30" i="6"/>
  <c r="M33" i="6" s="1"/>
  <c r="M31" i="6"/>
  <c r="M34" i="6" s="1"/>
  <c r="J4" i="1" l="1"/>
  <c r="J31" i="1"/>
  <c r="G40" i="3"/>
  <c r="C40" i="4" s="1"/>
  <c r="G23" i="3"/>
  <c r="M70" i="1"/>
  <c r="L72" i="1"/>
  <c r="L25" i="1" s="1"/>
  <c r="L26" i="1" s="1"/>
  <c r="H41" i="2"/>
  <c r="G7" i="3"/>
  <c r="G44" i="4"/>
  <c r="J39" i="3"/>
  <c r="F39" i="4" s="1"/>
  <c r="J31" i="3"/>
  <c r="J80" i="3"/>
  <c r="J21" i="3" s="1"/>
  <c r="G144" i="3"/>
  <c r="G147" i="3" s="1"/>
  <c r="F136" i="3"/>
  <c r="J75" i="3"/>
  <c r="J16" i="3" s="1"/>
  <c r="G141" i="3"/>
  <c r="E131" i="3"/>
  <c r="I72" i="3"/>
  <c r="I13" i="3" s="1"/>
  <c r="F123" i="3"/>
  <c r="F119" i="3"/>
  <c r="G29" i="8"/>
  <c r="G30" i="8" s="1"/>
  <c r="F30" i="8"/>
  <c r="K14" i="1"/>
  <c r="K15" i="1" s="1"/>
  <c r="K20" i="1" s="1"/>
  <c r="K30" i="1" s="1"/>
  <c r="K86" i="1"/>
  <c r="K87" i="1" s="1"/>
  <c r="M82" i="1"/>
  <c r="L83" i="1"/>
  <c r="L32" i="1" s="1"/>
  <c r="L5" i="1" s="1"/>
  <c r="M54" i="1"/>
  <c r="L56" i="1"/>
  <c r="F7" i="1"/>
  <c r="E7" i="1"/>
  <c r="D7" i="1"/>
  <c r="C7" i="1"/>
  <c r="B35" i="2"/>
  <c r="C35" i="2"/>
  <c r="D35" i="2"/>
  <c r="E35" i="2"/>
  <c r="F35" i="2"/>
  <c r="B24" i="2"/>
  <c r="E48" i="3"/>
  <c r="F48" i="3"/>
  <c r="B41" i="3"/>
  <c r="C41" i="3"/>
  <c r="D41" i="3"/>
  <c r="E41" i="3"/>
  <c r="F41" i="3"/>
  <c r="B33" i="3"/>
  <c r="C33" i="3"/>
  <c r="D33" i="3"/>
  <c r="E33" i="3"/>
  <c r="F33" i="3"/>
  <c r="B10" i="3"/>
  <c r="C10" i="3"/>
  <c r="D10" i="3"/>
  <c r="E10" i="3"/>
  <c r="F10" i="3"/>
  <c r="B17" i="3"/>
  <c r="C17" i="3"/>
  <c r="D17" i="3"/>
  <c r="E17" i="3"/>
  <c r="F17" i="3"/>
  <c r="B24" i="3"/>
  <c r="C24" i="3"/>
  <c r="D24" i="3"/>
  <c r="E24" i="3"/>
  <c r="F24" i="3"/>
  <c r="C24" i="2"/>
  <c r="D24" i="2"/>
  <c r="E24" i="2"/>
  <c r="F24" i="2"/>
  <c r="C16" i="2"/>
  <c r="D16" i="2"/>
  <c r="D68" i="3" s="1"/>
  <c r="E16" i="2"/>
  <c r="E68" i="3" s="1"/>
  <c r="F16" i="2"/>
  <c r="F68" i="3" s="1"/>
  <c r="B16" i="2"/>
  <c r="G7" i="1"/>
  <c r="J7" i="1" l="1"/>
  <c r="E4" i="12"/>
  <c r="K4" i="1"/>
  <c r="K31" i="1"/>
  <c r="G68" i="3"/>
  <c r="K68" i="3" s="1"/>
  <c r="I68" i="3"/>
  <c r="H20" i="2"/>
  <c r="C23" i="4"/>
  <c r="G24" i="3"/>
  <c r="F77" i="3"/>
  <c r="F50" i="2"/>
  <c r="D77" i="3"/>
  <c r="D50" i="2"/>
  <c r="E77" i="3"/>
  <c r="E50" i="2"/>
  <c r="C77" i="3"/>
  <c r="C50" i="2"/>
  <c r="B77" i="3"/>
  <c r="G77" i="3" s="1"/>
  <c r="G18" i="3" s="1"/>
  <c r="G19" i="3" s="1"/>
  <c r="B50" i="2"/>
  <c r="F21" i="4"/>
  <c r="N70" i="1"/>
  <c r="N72" i="1" s="1"/>
  <c r="N25" i="1" s="1"/>
  <c r="N26" i="1" s="1"/>
  <c r="M72" i="1"/>
  <c r="M25" i="1" s="1"/>
  <c r="M26" i="1" s="1"/>
  <c r="C7" i="4"/>
  <c r="B17" i="2"/>
  <c r="B25" i="2" s="1"/>
  <c r="B27" i="2" s="1"/>
  <c r="B91" i="3"/>
  <c r="B89" i="3"/>
  <c r="B97" i="3"/>
  <c r="F31" i="4"/>
  <c r="F17" i="2"/>
  <c r="F89" i="3"/>
  <c r="F97" i="3"/>
  <c r="F91" i="3"/>
  <c r="E17" i="2"/>
  <c r="E89" i="3"/>
  <c r="E97" i="3"/>
  <c r="E91" i="3"/>
  <c r="D17" i="2"/>
  <c r="D89" i="3"/>
  <c r="D97" i="3"/>
  <c r="D91" i="3"/>
  <c r="C17" i="2"/>
  <c r="C25" i="2" s="1"/>
  <c r="C66" i="2" s="1"/>
  <c r="C89" i="3"/>
  <c r="C91" i="3"/>
  <c r="C97" i="3"/>
  <c r="F19" i="3"/>
  <c r="D19" i="3"/>
  <c r="D95" i="3" s="1"/>
  <c r="C19" i="3"/>
  <c r="C95" i="3" s="1"/>
  <c r="E19" i="3"/>
  <c r="B19" i="3"/>
  <c r="B95" i="3" s="1"/>
  <c r="J74" i="3"/>
  <c r="J15" i="3" s="1"/>
  <c r="G134" i="3"/>
  <c r="K75" i="3"/>
  <c r="K16" i="3" s="1"/>
  <c r="F125" i="3"/>
  <c r="G117" i="3"/>
  <c r="J71" i="3"/>
  <c r="J12" i="3" s="1"/>
  <c r="F49" i="3"/>
  <c r="F129" i="3"/>
  <c r="F131" i="3" s="1"/>
  <c r="I73" i="3"/>
  <c r="I14" i="3" s="1"/>
  <c r="E49" i="3"/>
  <c r="K89" i="1"/>
  <c r="K36" i="1" s="1"/>
  <c r="I5" i="2" s="1"/>
  <c r="L14" i="1"/>
  <c r="L15" i="1" s="1"/>
  <c r="L20" i="1" s="1"/>
  <c r="L30" i="1" s="1"/>
  <c r="L86" i="1"/>
  <c r="L87" i="1" s="1"/>
  <c r="N82" i="1"/>
  <c r="N83" i="1" s="1"/>
  <c r="N32" i="1" s="1"/>
  <c r="N5" i="1" s="1"/>
  <c r="M83" i="1"/>
  <c r="M32" i="1" s="1"/>
  <c r="M5" i="1" s="1"/>
  <c r="N54" i="1"/>
  <c r="N56" i="1" s="1"/>
  <c r="M56" i="1"/>
  <c r="B49" i="3"/>
  <c r="C49" i="3"/>
  <c r="D49" i="3"/>
  <c r="E21" i="12" l="1"/>
  <c r="E84" i="12" s="1"/>
  <c r="H12" i="2" s="1"/>
  <c r="G8" i="3" s="1"/>
  <c r="C8" i="4" s="1"/>
  <c r="E25" i="12"/>
  <c r="E27" i="12"/>
  <c r="E87" i="12" s="1"/>
  <c r="H15" i="2" s="1"/>
  <c r="E19" i="12"/>
  <c r="E83" i="12" s="1"/>
  <c r="H11" i="2" s="1"/>
  <c r="E15" i="12"/>
  <c r="E81" i="12" s="1"/>
  <c r="H9" i="2" s="1"/>
  <c r="E10" i="12"/>
  <c r="E17" i="12"/>
  <c r="E82" i="12" s="1"/>
  <c r="H10" i="2" s="1"/>
  <c r="E5" i="12"/>
  <c r="K7" i="1"/>
  <c r="F4" i="12"/>
  <c r="J68" i="3"/>
  <c r="L4" i="1"/>
  <c r="L31" i="1"/>
  <c r="H68" i="3"/>
  <c r="F25" i="2"/>
  <c r="F66" i="2" s="1"/>
  <c r="F57" i="2"/>
  <c r="E25" i="2"/>
  <c r="E66" i="2" s="1"/>
  <c r="E57" i="2"/>
  <c r="D25" i="2"/>
  <c r="D66" i="2" s="1"/>
  <c r="D57" i="2"/>
  <c r="H23" i="3"/>
  <c r="H40" i="3"/>
  <c r="D40" i="4" s="1"/>
  <c r="B19" i="4"/>
  <c r="C27" i="2"/>
  <c r="C30" i="2"/>
  <c r="C36" i="2" s="1"/>
  <c r="G91" i="3"/>
  <c r="G97" i="3"/>
  <c r="B30" i="2"/>
  <c r="B36" i="2" s="1"/>
  <c r="B66" i="2"/>
  <c r="H7" i="3"/>
  <c r="I41" i="2"/>
  <c r="F95" i="3"/>
  <c r="I17" i="3"/>
  <c r="E25" i="3"/>
  <c r="E95" i="3"/>
  <c r="G95" i="3" s="1"/>
  <c r="C25" i="3"/>
  <c r="D25" i="3"/>
  <c r="B25" i="3"/>
  <c r="F25" i="3"/>
  <c r="K31" i="3"/>
  <c r="G31" i="4" s="1"/>
  <c r="K39" i="3"/>
  <c r="G39" i="4" s="1"/>
  <c r="K80" i="3"/>
  <c r="K21" i="3" s="1"/>
  <c r="G21" i="4" s="1"/>
  <c r="G136" i="3"/>
  <c r="J72" i="3"/>
  <c r="J13" i="3" s="1"/>
  <c r="G123" i="3"/>
  <c r="G119" i="3"/>
  <c r="K71" i="3" s="1"/>
  <c r="K12" i="3" s="1"/>
  <c r="L89" i="1"/>
  <c r="L36" i="1" s="1"/>
  <c r="J5" i="2" s="1"/>
  <c r="M86" i="1"/>
  <c r="M87" i="1" s="1"/>
  <c r="M14" i="1"/>
  <c r="M15" i="1" s="1"/>
  <c r="M20" i="1" s="1"/>
  <c r="M30" i="1" s="1"/>
  <c r="N86" i="1"/>
  <c r="N87" i="1" s="1"/>
  <c r="N14" i="1"/>
  <c r="F15" i="12" l="1"/>
  <c r="G15" i="12" s="1"/>
  <c r="F19" i="12"/>
  <c r="F83" i="12" s="1"/>
  <c r="I11" i="2" s="1"/>
  <c r="F25" i="12"/>
  <c r="F17" i="12"/>
  <c r="F27" i="12"/>
  <c r="F87" i="12" s="1"/>
  <c r="I15" i="2" s="1"/>
  <c r="F21" i="12"/>
  <c r="F84" i="12" s="1"/>
  <c r="I12" i="2" s="1"/>
  <c r="H8" i="3" s="1"/>
  <c r="D8" i="4" s="1"/>
  <c r="F5" i="12"/>
  <c r="F10" i="12"/>
  <c r="E29" i="12"/>
  <c r="E79" i="12"/>
  <c r="L7" i="1"/>
  <c r="G4" i="12"/>
  <c r="F79" i="12"/>
  <c r="I7" i="2" s="1"/>
  <c r="I21" i="2" s="1"/>
  <c r="F82" i="12"/>
  <c r="I10" i="2" s="1"/>
  <c r="D30" i="2"/>
  <c r="D36" i="2" s="1"/>
  <c r="M4" i="1"/>
  <c r="M31" i="1"/>
  <c r="F27" i="2"/>
  <c r="F30" i="2"/>
  <c r="F36" i="2" s="1"/>
  <c r="E27" i="2"/>
  <c r="E30" i="2"/>
  <c r="E36" i="2" s="1"/>
  <c r="D27" i="2"/>
  <c r="I23" i="3"/>
  <c r="E23" i="4" s="1"/>
  <c r="I40" i="3"/>
  <c r="E40" i="4" s="1"/>
  <c r="I20" i="2"/>
  <c r="H24" i="3"/>
  <c r="D23" i="4"/>
  <c r="N15" i="1"/>
  <c r="N20" i="1" s="1"/>
  <c r="H97" i="3"/>
  <c r="D7" i="4"/>
  <c r="B2" i="4"/>
  <c r="B31" i="8"/>
  <c r="B32" i="8" s="1"/>
  <c r="I7" i="3"/>
  <c r="E7" i="4" s="1"/>
  <c r="J41" i="2"/>
  <c r="K74" i="3"/>
  <c r="K15" i="3" s="1"/>
  <c r="H95" i="3"/>
  <c r="G125" i="3"/>
  <c r="K72" i="3" s="1"/>
  <c r="K13" i="3" s="1"/>
  <c r="M89" i="1"/>
  <c r="M36" i="1" s="1"/>
  <c r="K5" i="2" s="1"/>
  <c r="N89" i="1"/>
  <c r="N36" i="1" s="1"/>
  <c r="F81" i="12" l="1"/>
  <c r="I9" i="2" s="1"/>
  <c r="F29" i="12"/>
  <c r="G7" i="2"/>
  <c r="H7" i="2"/>
  <c r="G21" i="12"/>
  <c r="G84" i="12" s="1"/>
  <c r="J12" i="2" s="1"/>
  <c r="I8" i="3" s="1"/>
  <c r="E8" i="4" s="1"/>
  <c r="G25" i="12"/>
  <c r="G27" i="12"/>
  <c r="G87" i="12" s="1"/>
  <c r="J15" i="2" s="1"/>
  <c r="G17" i="12"/>
  <c r="G82" i="12" s="1"/>
  <c r="J10" i="2" s="1"/>
  <c r="G19" i="12"/>
  <c r="G5" i="12"/>
  <c r="G10" i="12"/>
  <c r="M7" i="1"/>
  <c r="H4" i="12"/>
  <c r="H29" i="3"/>
  <c r="G79" i="12"/>
  <c r="J7" i="2" s="1"/>
  <c r="I29" i="3" s="1"/>
  <c r="G83" i="12"/>
  <c r="J11" i="2" s="1"/>
  <c r="G81" i="12"/>
  <c r="J9" i="2" s="1"/>
  <c r="H15" i="12"/>
  <c r="J40" i="3"/>
  <c r="F40" i="4" s="1"/>
  <c r="J23" i="3"/>
  <c r="F23" i="4" s="1"/>
  <c r="J20" i="2"/>
  <c r="I24" i="3"/>
  <c r="L5" i="2"/>
  <c r="N30" i="1"/>
  <c r="I95" i="3"/>
  <c r="J95" i="3" s="1"/>
  <c r="H36" i="3"/>
  <c r="I97" i="3"/>
  <c r="J7" i="3"/>
  <c r="K41" i="2"/>
  <c r="J73" i="3"/>
  <c r="J14" i="3" s="1"/>
  <c r="G129" i="3"/>
  <c r="G131" i="3" s="1"/>
  <c r="G29" i="12" l="1"/>
  <c r="H25" i="12"/>
  <c r="H27" i="12"/>
  <c r="H87" i="12" s="1"/>
  <c r="K15" i="2" s="1"/>
  <c r="H21" i="12"/>
  <c r="H84" i="12" s="1"/>
  <c r="K12" i="2" s="1"/>
  <c r="J8" i="3" s="1"/>
  <c r="F8" i="4" s="1"/>
  <c r="H17" i="12"/>
  <c r="H82" i="12" s="1"/>
  <c r="K10" i="2" s="1"/>
  <c r="H19" i="12"/>
  <c r="H83" i="12" s="1"/>
  <c r="K11" i="2" s="1"/>
  <c r="H5" i="12"/>
  <c r="H79" i="12" s="1"/>
  <c r="K7" i="2" s="1"/>
  <c r="J29" i="3" s="1"/>
  <c r="F29" i="4" s="1"/>
  <c r="H10" i="12"/>
  <c r="G29" i="3"/>
  <c r="C29" i="4" s="1"/>
  <c r="H21" i="2"/>
  <c r="G61" i="2"/>
  <c r="G16" i="2"/>
  <c r="E29" i="4"/>
  <c r="J21" i="2"/>
  <c r="H81" i="12"/>
  <c r="K9" i="2" s="1"/>
  <c r="N4" i="1"/>
  <c r="N31" i="1"/>
  <c r="K20" i="2"/>
  <c r="J24" i="3"/>
  <c r="K40" i="3"/>
  <c r="G40" i="4" s="1"/>
  <c r="K23" i="3"/>
  <c r="L41" i="2"/>
  <c r="K7" i="3"/>
  <c r="G7" i="4" s="1"/>
  <c r="K95" i="3"/>
  <c r="J97" i="3"/>
  <c r="F7" i="4"/>
  <c r="J17" i="3"/>
  <c r="D29" i="4" l="1"/>
  <c r="H29" i="12"/>
  <c r="N7" i="1"/>
  <c r="I4" i="12"/>
  <c r="K21" i="2"/>
  <c r="I15" i="12"/>
  <c r="I81" i="12" s="1"/>
  <c r="L9" i="2" s="1"/>
  <c r="L20" i="2"/>
  <c r="K24" i="3"/>
  <c r="G23" i="4"/>
  <c r="K97" i="3"/>
  <c r="K73" i="3"/>
  <c r="K14" i="3" s="1"/>
  <c r="I27" i="12" l="1"/>
  <c r="I87" i="12" s="1"/>
  <c r="L15" i="2" s="1"/>
  <c r="I19" i="12"/>
  <c r="I83" i="12" s="1"/>
  <c r="L11" i="2" s="1"/>
  <c r="I25" i="12"/>
  <c r="I21" i="12"/>
  <c r="I84" i="12" s="1"/>
  <c r="L12" i="2" s="1"/>
  <c r="K8" i="3" s="1"/>
  <c r="G8" i="4" s="1"/>
  <c r="I17" i="12"/>
  <c r="I82" i="12" s="1"/>
  <c r="L10" i="2" s="1"/>
  <c r="I10" i="12"/>
  <c r="I5" i="12"/>
  <c r="I79" i="12" s="1"/>
  <c r="L7" i="2" s="1"/>
  <c r="L21" i="2" s="1"/>
  <c r="K17" i="3"/>
  <c r="K18" i="3" s="1"/>
  <c r="K19" i="3" s="1"/>
  <c r="J18" i="3"/>
  <c r="I18" i="3"/>
  <c r="I29" i="12" l="1"/>
  <c r="K29" i="3"/>
  <c r="G29" i="4" s="1"/>
  <c r="I19" i="3"/>
  <c r="K36" i="3"/>
  <c r="J19" i="3"/>
  <c r="G19" i="4" s="1"/>
  <c r="F19" i="4" l="1"/>
  <c r="E19" i="4"/>
  <c r="D19" i="4"/>
  <c r="C19" i="4"/>
  <c r="J36" i="3"/>
  <c r="I36" i="3"/>
  <c r="E36" i="4" s="1"/>
  <c r="F177" i="3" l="1"/>
  <c r="F36" i="4"/>
  <c r="G36" i="4"/>
  <c r="D36" i="4"/>
  <c r="C34" i="4"/>
  <c r="C36" i="4"/>
  <c r="G11" i="8" l="1"/>
  <c r="H7" i="8"/>
  <c r="H11" i="8" l="1"/>
  <c r="H12" i="8" s="1"/>
  <c r="H13" i="8" s="1"/>
  <c r="H10" i="8"/>
  <c r="G12" i="8"/>
  <c r="G13" i="8" s="1"/>
  <c r="H34" i="3" l="1"/>
  <c r="D34" i="4" s="1"/>
  <c r="I7" i="8"/>
  <c r="I10" i="8" s="1"/>
  <c r="I19" i="2"/>
  <c r="I24" i="2" s="1"/>
  <c r="H19" i="2"/>
  <c r="H24" i="2" s="1"/>
  <c r="I34" i="3" l="1"/>
  <c r="E34" i="4" s="1"/>
  <c r="I11" i="8"/>
  <c r="I12" i="8" s="1"/>
  <c r="J7" i="8"/>
  <c r="J10" i="8" s="1"/>
  <c r="K7" i="8" l="1"/>
  <c r="K10" i="8" s="1"/>
  <c r="J34" i="3"/>
  <c r="F34" i="4" s="1"/>
  <c r="J11" i="8"/>
  <c r="J12" i="8" s="1"/>
  <c r="I13" i="8"/>
  <c r="J19" i="2"/>
  <c r="J24" i="2" s="1"/>
  <c r="J13" i="8" l="1"/>
  <c r="K19" i="2"/>
  <c r="K24" i="2" s="1"/>
  <c r="K11" i="8"/>
  <c r="K12" i="8" s="1"/>
  <c r="K34" i="3"/>
  <c r="G34" i="4" s="1"/>
  <c r="B3" i="11"/>
  <c r="K13" i="8" l="1"/>
  <c r="L19" i="2"/>
  <c r="L24" i="2" s="1"/>
  <c r="C41" i="11"/>
  <c r="E80" i="12"/>
  <c r="H8" i="2" s="1"/>
  <c r="H16" i="2" s="1"/>
  <c r="H17" i="2" s="1"/>
  <c r="E36" i="12"/>
  <c r="E52" i="12" s="1"/>
  <c r="E90" i="12" s="1"/>
  <c r="G30" i="3" l="1"/>
  <c r="C30" i="4" s="1"/>
  <c r="G38" i="3"/>
  <c r="H57" i="2"/>
  <c r="H25" i="2"/>
  <c r="G9" i="3"/>
  <c r="G32" i="3"/>
  <c r="C32" i="4" s="1"/>
  <c r="C38" i="4" l="1"/>
  <c r="G41" i="3"/>
  <c r="H26" i="2"/>
  <c r="H30" i="2" s="1"/>
  <c r="H36" i="2" s="1"/>
  <c r="C9" i="4"/>
  <c r="G93" i="3"/>
  <c r="G33" i="3"/>
  <c r="H27" i="2" l="1"/>
  <c r="C2" i="4" s="1"/>
  <c r="C54" i="4" s="1"/>
  <c r="C31" i="8" l="1"/>
  <c r="C32" i="8" s="1"/>
  <c r="H28" i="2" s="1"/>
  <c r="G156" i="3"/>
  <c r="G161" i="3" s="1"/>
  <c r="G45" i="3" s="1"/>
  <c r="G48" i="3" s="1"/>
  <c r="G49" i="3" s="1"/>
  <c r="C57" i="4"/>
  <c r="C59" i="4"/>
  <c r="G162" i="3" l="1"/>
  <c r="H155" i="3"/>
  <c r="D56" i="4"/>
  <c r="G6" i="3"/>
  <c r="G10" i="3" s="1"/>
  <c r="G25" i="3" s="1"/>
  <c r="G51" i="3" s="1"/>
  <c r="C16" i="11"/>
  <c r="C17" i="11" s="1"/>
  <c r="C61" i="4"/>
  <c r="G52" i="12" l="1"/>
  <c r="G90" i="12" s="1"/>
  <c r="G80" i="12"/>
  <c r="J8" i="2" s="1"/>
  <c r="J16" i="2" s="1"/>
  <c r="F80" i="12"/>
  <c r="I8" i="2" s="1"/>
  <c r="I16" i="2" s="1"/>
  <c r="F52" i="12"/>
  <c r="F90" i="12" s="1"/>
  <c r="H30" i="3" l="1"/>
  <c r="I17" i="2"/>
  <c r="H32" i="3"/>
  <c r="D32" i="4" s="1"/>
  <c r="H38" i="3"/>
  <c r="H9" i="3"/>
  <c r="H80" i="12"/>
  <c r="K8" i="2" s="1"/>
  <c r="K16" i="2" s="1"/>
  <c r="H52" i="12"/>
  <c r="H90" i="12" s="1"/>
  <c r="J17" i="2"/>
  <c r="I38" i="3"/>
  <c r="I9" i="3"/>
  <c r="I30" i="3"/>
  <c r="I32" i="3"/>
  <c r="E32" i="4" l="1"/>
  <c r="J25" i="2"/>
  <c r="J57" i="2"/>
  <c r="I52" i="12"/>
  <c r="I90" i="12" s="1"/>
  <c r="I80" i="12"/>
  <c r="L8" i="2" s="1"/>
  <c r="L16" i="2" s="1"/>
  <c r="J38" i="3"/>
  <c r="K17" i="2"/>
  <c r="J30" i="3"/>
  <c r="J32" i="3"/>
  <c r="F32" i="4" s="1"/>
  <c r="J9" i="3"/>
  <c r="F9" i="4" s="1"/>
  <c r="I33" i="3"/>
  <c r="E30" i="4"/>
  <c r="I93" i="3"/>
  <c r="I41" i="3"/>
  <c r="E38" i="4"/>
  <c r="E9" i="4"/>
  <c r="H93" i="3"/>
  <c r="D9" i="4"/>
  <c r="H41" i="3"/>
  <c r="D38" i="4"/>
  <c r="I57" i="2"/>
  <c r="I25" i="2"/>
  <c r="H33" i="3"/>
  <c r="D30" i="4"/>
  <c r="L52" i="12" l="1"/>
  <c r="L75" i="12"/>
  <c r="I26" i="2"/>
  <c r="I30" i="2" s="1"/>
  <c r="I36" i="2" s="1"/>
  <c r="K57" i="2"/>
  <c r="K25" i="2"/>
  <c r="J93" i="3"/>
  <c r="F30" i="4"/>
  <c r="J33" i="3"/>
  <c r="F38" i="4"/>
  <c r="J41" i="3"/>
  <c r="K30" i="3"/>
  <c r="K38" i="3"/>
  <c r="K9" i="3"/>
  <c r="K93" i="3" s="1"/>
  <c r="L17" i="2"/>
  <c r="K32" i="3"/>
  <c r="G32" i="4" s="1"/>
  <c r="J26" i="2"/>
  <c r="J30" i="2" s="1"/>
  <c r="J36" i="2" s="1"/>
  <c r="I27" i="2" l="1"/>
  <c r="D2" i="4" s="1"/>
  <c r="D54" i="4" s="1"/>
  <c r="J27" i="2"/>
  <c r="E2" i="4" s="1"/>
  <c r="E54" i="4" s="1"/>
  <c r="E59" i="4" s="1"/>
  <c r="K33" i="3"/>
  <c r="G30" i="4"/>
  <c r="L25" i="2"/>
  <c r="L57" i="2"/>
  <c r="K41" i="3"/>
  <c r="G38" i="4"/>
  <c r="G9" i="4"/>
  <c r="K26" i="2"/>
  <c r="K27" i="2" s="1"/>
  <c r="I156" i="3" l="1"/>
  <c r="E31" i="8"/>
  <c r="E32" i="8" s="1"/>
  <c r="J28" i="2" s="1"/>
  <c r="H156" i="3"/>
  <c r="H161" i="3" s="1"/>
  <c r="H45" i="3" s="1"/>
  <c r="H48" i="3" s="1"/>
  <c r="H49" i="3" s="1"/>
  <c r="D31" i="8"/>
  <c r="D32" i="8" s="1"/>
  <c r="I28" i="2" s="1"/>
  <c r="K30" i="2"/>
  <c r="K36" i="2" s="1"/>
  <c r="L26" i="2"/>
  <c r="L30" i="2" s="1"/>
  <c r="L36" i="2" s="1"/>
  <c r="D59" i="4"/>
  <c r="D57" i="4"/>
  <c r="F31" i="8"/>
  <c r="F32" i="8" s="1"/>
  <c r="K28" i="2" s="1"/>
  <c r="F2" i="4"/>
  <c r="F54" i="4" s="1"/>
  <c r="F59" i="4" s="1"/>
  <c r="J156" i="3"/>
  <c r="E16" i="11"/>
  <c r="E61" i="4"/>
  <c r="I155" i="3" l="1"/>
  <c r="I161" i="3" s="1"/>
  <c r="J155" i="3" s="1"/>
  <c r="J161" i="3" s="1"/>
  <c r="L27" i="2"/>
  <c r="G2" i="4" s="1"/>
  <c r="G54" i="4" s="1"/>
  <c r="G59" i="4" s="1"/>
  <c r="H6" i="3"/>
  <c r="H10" i="3" s="1"/>
  <c r="H25" i="3" s="1"/>
  <c r="H51" i="3" s="1"/>
  <c r="E56" i="4"/>
  <c r="E57" i="4" s="1"/>
  <c r="F61" i="4"/>
  <c r="F16" i="11"/>
  <c r="D61" i="4"/>
  <c r="D16" i="11"/>
  <c r="E40" i="11"/>
  <c r="E41" i="11" s="1"/>
  <c r="E17" i="11"/>
  <c r="I45" i="3" l="1"/>
  <c r="I48" i="3" s="1"/>
  <c r="I49" i="3" s="1"/>
  <c r="G31" i="8"/>
  <c r="G32" i="8" s="1"/>
  <c r="L28" i="2" s="1"/>
  <c r="K156" i="3"/>
  <c r="K155" i="3"/>
  <c r="J45" i="3"/>
  <c r="J48" i="3" s="1"/>
  <c r="J49" i="3" s="1"/>
  <c r="G61" i="4"/>
  <c r="G16" i="11"/>
  <c r="D40" i="11"/>
  <c r="D41" i="11" s="1"/>
  <c r="D17" i="11"/>
  <c r="F17" i="11"/>
  <c r="F40" i="11"/>
  <c r="F41" i="11" s="1"/>
  <c r="I6" i="3"/>
  <c r="I10" i="3" s="1"/>
  <c r="I25" i="3" s="1"/>
  <c r="F56" i="4"/>
  <c r="F57" i="4" s="1"/>
  <c r="I51" i="3" l="1"/>
  <c r="K161" i="3"/>
  <c r="K45" i="3" s="1"/>
  <c r="K48" i="3" s="1"/>
  <c r="K49" i="3" s="1"/>
  <c r="J6" i="3"/>
  <c r="J10" i="3" s="1"/>
  <c r="J25" i="3" s="1"/>
  <c r="J51" i="3" s="1"/>
  <c r="G56" i="4"/>
  <c r="G57" i="4" s="1"/>
  <c r="K6" i="3" s="1"/>
  <c r="K10" i="3" s="1"/>
  <c r="K25" i="3" s="1"/>
  <c r="G40" i="11"/>
  <c r="B21" i="11"/>
  <c r="B22" i="11" s="1"/>
  <c r="G17" i="11"/>
  <c r="K51" i="3" l="1"/>
  <c r="B23" i="11"/>
  <c r="B24" i="11" s="1"/>
  <c r="B26" i="11" s="1"/>
  <c r="G41" i="11"/>
  <c r="B43" i="11"/>
  <c r="B44" i="11" s="1"/>
  <c r="B8" i="11" l="1"/>
  <c r="E18" i="9" s="1"/>
  <c r="B45" i="11"/>
  <c r="B46" i="11" s="1"/>
  <c r="I8" i="11" l="1"/>
  <c r="E20" i="9"/>
  <c r="B48" i="11"/>
  <c r="B9" i="11"/>
  <c r="I9" i="11" l="1"/>
  <c r="E19" i="9"/>
  <c r="E21" i="9" s="1"/>
  <c r="E23" i="9" s="1"/>
  <c r="E15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<sst xmlns="http://schemas.openxmlformats.org/spreadsheetml/2006/main" count="1263" uniqueCount="549">
  <si>
    <t>Scenario Switchboard</t>
  </si>
  <si>
    <t> </t>
  </si>
  <si>
    <t>Revenue &amp; Operating Expenses</t>
  </si>
  <si>
    <t>Business Segment</t>
  </si>
  <si>
    <t>Valuation Date:</t>
  </si>
  <si>
    <t>Company Name:</t>
  </si>
  <si>
    <t>Fedex corporation</t>
  </si>
  <si>
    <t>US Ground - Revenue Per Package</t>
  </si>
  <si>
    <t>Sector:</t>
  </si>
  <si>
    <t>Industrials</t>
  </si>
  <si>
    <t>Industry:</t>
  </si>
  <si>
    <t>Logistics</t>
  </si>
  <si>
    <t>International Export - Revenue per package</t>
  </si>
  <si>
    <t>Rating:</t>
  </si>
  <si>
    <t>Purchased Transportation</t>
  </si>
  <si>
    <t>Current Price</t>
  </si>
  <si>
    <t>Scenario Key</t>
  </si>
  <si>
    <t>Valuation Price</t>
  </si>
  <si>
    <t>Bull</t>
  </si>
  <si>
    <t>12-month Valuation Price</t>
  </si>
  <si>
    <t>Base</t>
  </si>
  <si>
    <t>Valuation Appreciation</t>
  </si>
  <si>
    <t>Bear</t>
  </si>
  <si>
    <t>12-mo Valuation Appreciation</t>
  </si>
  <si>
    <t>Dividend Yield</t>
  </si>
  <si>
    <t>Share count in Millions</t>
  </si>
  <si>
    <t>Cost of Equity</t>
  </si>
  <si>
    <t>Today</t>
  </si>
  <si>
    <t>Number of Shares in thousands:</t>
  </si>
  <si>
    <t>One year</t>
  </si>
  <si>
    <t>Two year</t>
  </si>
  <si>
    <t>Actual Price:</t>
  </si>
  <si>
    <t>Price Appreciation</t>
  </si>
  <si>
    <t>Model Valuation:</t>
  </si>
  <si>
    <t>Model 12 Month Price Target:</t>
  </si>
  <si>
    <t>Price Appreciation (12 month)</t>
  </si>
  <si>
    <t>Model Current Valuation with Sensitivity of Ke</t>
  </si>
  <si>
    <t>Time period (years)</t>
  </si>
  <si>
    <t>Nominal FCFE:</t>
  </si>
  <si>
    <t>PV FCFE:</t>
  </si>
  <si>
    <t>Terminal Growth Rate</t>
  </si>
  <si>
    <t>Terminal Value in 2029</t>
  </si>
  <si>
    <t>&lt;== Implied terminal value / net income (or P/E) multiple for terminal value</t>
  </si>
  <si>
    <t>PV of Terminal Value</t>
  </si>
  <si>
    <t>Total PV:</t>
  </si>
  <si>
    <t>Valuation per Share ($):</t>
  </si>
  <si>
    <t>Cost Of Equity Ke</t>
  </si>
  <si>
    <t>Model 12 Month Price Target with Sensitivity of Ke</t>
  </si>
  <si>
    <t>Time period</t>
  </si>
  <si>
    <t>Terminal Value in 2030</t>
  </si>
  <si>
    <t>FDX.O</t>
  </si>
  <si>
    <t>Price = E*(1+g)/(ke-g)</t>
  </si>
  <si>
    <t>P/E = (1+g)/(ke-g)</t>
  </si>
  <si>
    <r>
      <t>(</t>
    </r>
    <r>
      <rPr>
        <sz val="11"/>
        <color rgb="FF0000FF"/>
        <rFont val="Calibri"/>
        <family val="2"/>
      </rPr>
      <t>Blue = input</t>
    </r>
    <r>
      <rPr>
        <sz val="11"/>
        <rFont val="Calibri"/>
        <family val="2"/>
      </rPr>
      <t>, Black = calculation)</t>
    </r>
  </si>
  <si>
    <t>ke = (1+g)/(P/E) + g</t>
  </si>
  <si>
    <t>Historic Beta</t>
  </si>
  <si>
    <t>S&amp;P 500 data</t>
  </si>
  <si>
    <t>Source</t>
  </si>
  <si>
    <t>Reference</t>
  </si>
  <si>
    <t>S&amp;P500 Forward P/E</t>
  </si>
  <si>
    <t>WSJ</t>
  </si>
  <si>
    <t>1-Year Forward P/E for S&amp;P</t>
  </si>
  <si>
    <r>
      <t xml:space="preserve">Projected EPS growth rate (g </t>
    </r>
    <r>
      <rPr>
        <vertAlign val="subscript"/>
        <sz val="11"/>
        <rFont val="Calibri (Body)"/>
      </rPr>
      <t>S&amp;P</t>
    </r>
    <r>
      <rPr>
        <sz val="11"/>
        <rFont val="Calibri"/>
        <family val="2"/>
      </rPr>
      <t>)</t>
    </r>
  </si>
  <si>
    <t>CapIQ/Bloomberg</t>
  </si>
  <si>
    <t>5-Year Projected Earnings Growth Rate for S&amp;P</t>
  </si>
  <si>
    <r>
      <t>Risk-free rate (R</t>
    </r>
    <r>
      <rPr>
        <vertAlign val="subscript"/>
        <sz val="11"/>
        <rFont val="Calibri (Body)"/>
      </rPr>
      <t>f</t>
    </r>
    <r>
      <rPr>
        <sz val="11"/>
        <rFont val="Calibri"/>
        <family val="2"/>
      </rPr>
      <t>)</t>
    </r>
  </si>
  <si>
    <t>WSJ (5/8)</t>
  </si>
  <si>
    <t>10 yr T-Note</t>
  </si>
  <si>
    <r>
      <t>Implied required return on equity (R</t>
    </r>
    <r>
      <rPr>
        <vertAlign val="subscript"/>
        <sz val="11"/>
        <rFont val="Calibri (Body)"/>
      </rPr>
      <t>s&amp;p</t>
    </r>
    <r>
      <rPr>
        <vertAlign val="subscript"/>
        <sz val="11"/>
        <rFont val="Calibri"/>
        <family val="2"/>
      </rPr>
      <t>500</t>
    </r>
    <r>
      <rPr>
        <sz val="11"/>
        <rFont val="Calibri"/>
        <family val="2"/>
      </rPr>
      <t>)</t>
    </r>
  </si>
  <si>
    <r>
      <t>{ (1+ g</t>
    </r>
    <r>
      <rPr>
        <vertAlign val="subscript"/>
        <sz val="11"/>
        <rFont val="Calibri (Body)"/>
      </rPr>
      <t>s&amp;p500</t>
    </r>
    <r>
      <rPr>
        <sz val="11"/>
        <rFont val="Calibri"/>
        <family val="2"/>
      </rPr>
      <t xml:space="preserve"> ) / (P/E</t>
    </r>
    <r>
      <rPr>
        <vertAlign val="subscript"/>
        <sz val="11"/>
        <rFont val="Calibri (Body)"/>
      </rPr>
      <t>s&amp;p500</t>
    </r>
    <r>
      <rPr>
        <sz val="11"/>
        <rFont val="Calibri"/>
        <family val="2"/>
      </rPr>
      <t>) } + g</t>
    </r>
    <r>
      <rPr>
        <vertAlign val="subscript"/>
        <sz val="11"/>
        <rFont val="Calibri (Body)"/>
      </rPr>
      <t>s&amp;p500</t>
    </r>
  </si>
  <si>
    <r>
      <t>Implied equity risk premium (R</t>
    </r>
    <r>
      <rPr>
        <vertAlign val="subscript"/>
        <sz val="11"/>
        <rFont val="Calibri (Body)"/>
      </rPr>
      <t>m</t>
    </r>
    <r>
      <rPr>
        <sz val="11"/>
        <rFont val="Calibri"/>
        <family val="2"/>
      </rPr>
      <t>)</t>
    </r>
  </si>
  <si>
    <r>
      <t>R</t>
    </r>
    <r>
      <rPr>
        <vertAlign val="subscript"/>
        <sz val="11"/>
        <rFont val="Calibri (Body)"/>
      </rPr>
      <t>s&amp;p500</t>
    </r>
    <r>
      <rPr>
        <sz val="11"/>
        <rFont val="Calibri"/>
        <family val="2"/>
      </rPr>
      <t>-R</t>
    </r>
    <r>
      <rPr>
        <vertAlign val="subscript"/>
        <sz val="11"/>
        <rFont val="Calibri (Body)"/>
      </rPr>
      <t>m</t>
    </r>
  </si>
  <si>
    <t>Beta</t>
  </si>
  <si>
    <t>Fedex data</t>
  </si>
  <si>
    <t>Current Price (P)</t>
  </si>
  <si>
    <t xml:space="preserve">WorkSpace </t>
  </si>
  <si>
    <t>Forward EPS (E)</t>
  </si>
  <si>
    <t>P/E ratio</t>
  </si>
  <si>
    <t xml:space="preserve"> calc </t>
  </si>
  <si>
    <t>Book</t>
  </si>
  <si>
    <t>Projected EPS growth rate (g)</t>
  </si>
  <si>
    <t>WorkSpace + Calculation</t>
  </si>
  <si>
    <t xml:space="preserve">Took the average </t>
  </si>
  <si>
    <t>Market Cap</t>
  </si>
  <si>
    <t>D/E Ratio</t>
  </si>
  <si>
    <t>Tax Rate</t>
  </si>
  <si>
    <r>
      <t>b</t>
    </r>
    <r>
      <rPr>
        <vertAlign val="subscript"/>
        <sz val="11"/>
        <color rgb="FF000000"/>
        <rFont val="Calibri (Body)"/>
      </rPr>
      <t>U</t>
    </r>
    <r>
      <rPr>
        <sz val="11"/>
        <color rgb="FF000000"/>
        <rFont val="Calibri"/>
        <family val="2"/>
      </rPr>
      <t xml:space="preserve"> = </t>
    </r>
    <r>
      <rPr>
        <sz val="11"/>
        <color rgb="FF000000"/>
        <rFont val="Symbol"/>
        <family val="1"/>
        <charset val="2"/>
      </rPr>
      <t>b</t>
    </r>
    <r>
      <rPr>
        <vertAlign val="subscript"/>
        <sz val="11"/>
        <color rgb="FF000000"/>
        <rFont val="Calibri (Body)"/>
      </rPr>
      <t xml:space="preserve">L / </t>
    </r>
    <r>
      <rPr>
        <sz val="11"/>
        <color rgb="FF000000"/>
        <rFont val="Calibri"/>
        <family val="2"/>
      </rPr>
      <t>(1+ ((1-t)D/E))</t>
    </r>
  </si>
  <si>
    <r>
      <t>b</t>
    </r>
    <r>
      <rPr>
        <vertAlign val="subscript"/>
        <sz val="11"/>
        <color rgb="FF000000"/>
        <rFont val="Calibri (Body)"/>
      </rPr>
      <t>L</t>
    </r>
    <r>
      <rPr>
        <sz val="11"/>
        <color rgb="FF000000"/>
        <rFont val="Calibri"/>
        <family val="2"/>
      </rPr>
      <t xml:space="preserve"> = </t>
    </r>
    <r>
      <rPr>
        <sz val="11"/>
        <color rgb="FF000000"/>
        <rFont val="Symbol"/>
        <family val="1"/>
        <charset val="2"/>
      </rPr>
      <t>b</t>
    </r>
    <r>
      <rPr>
        <sz val="11"/>
        <color rgb="FF000000"/>
        <rFont val="Calibri"/>
        <family val="2"/>
      </rPr>
      <t>u (1+ ((1-t)D/E))</t>
    </r>
  </si>
  <si>
    <t>Implied required return on equity (Re)</t>
  </si>
  <si>
    <t>{ (1+g) / (P/E) } +g</t>
  </si>
  <si>
    <t>UPS</t>
  </si>
  <si>
    <t>Forward (Bf)</t>
  </si>
  <si>
    <t>(Re-Rf)/Rm</t>
  </si>
  <si>
    <t>JBHT.O</t>
  </si>
  <si>
    <t>GXO</t>
  </si>
  <si>
    <t>Comparable Beta</t>
  </si>
  <si>
    <t>Relevered</t>
  </si>
  <si>
    <t>Market Beta</t>
  </si>
  <si>
    <t>CHRW</t>
  </si>
  <si>
    <t>Workspace</t>
  </si>
  <si>
    <t>JB hunt transport</t>
  </si>
  <si>
    <t>GXO logistics</t>
  </si>
  <si>
    <t xml:space="preserve">Unlevered </t>
  </si>
  <si>
    <t xml:space="preserve">Relevered </t>
  </si>
  <si>
    <t>FDX</t>
  </si>
  <si>
    <t>Mean</t>
  </si>
  <si>
    <t>Historical Beta</t>
  </si>
  <si>
    <t>Historic (Bh) - 5-year monthly</t>
  </si>
  <si>
    <t>Five-year monthly beta</t>
  </si>
  <si>
    <t>Cost of Equity:</t>
  </si>
  <si>
    <t>Historic equity risk premium</t>
  </si>
  <si>
    <t>Weight</t>
  </si>
  <si>
    <t>Based on long-term, historic, average risk premium (see class slides, source: Damodaran)</t>
  </si>
  <si>
    <t>Using Forward Beta</t>
  </si>
  <si>
    <t>Rf+Rm*Bf</t>
  </si>
  <si>
    <t>Using Comparable Beta</t>
  </si>
  <si>
    <t>Using Historic Beta</t>
  </si>
  <si>
    <t>Rf+Rm*Bh</t>
  </si>
  <si>
    <t>Weighted COE</t>
  </si>
  <si>
    <t>Market COE (beta = 1)</t>
  </si>
  <si>
    <t>Assumes beta of 1.0</t>
  </si>
  <si>
    <t>FEDEX CORPORATION</t>
  </si>
  <si>
    <t>2026E</t>
  </si>
  <si>
    <t>2027E</t>
  </si>
  <si>
    <t>2028E</t>
  </si>
  <si>
    <t>2029E</t>
  </si>
  <si>
    <t>2030E</t>
  </si>
  <si>
    <t>REVENUE STATEMENT</t>
  </si>
  <si>
    <t>Federal Express</t>
  </si>
  <si>
    <t>FedEx Frieght</t>
  </si>
  <si>
    <t>Other(Print &amp;Office)</t>
  </si>
  <si>
    <t>Total</t>
  </si>
  <si>
    <t>Federal Express  segment</t>
  </si>
  <si>
    <t>Package:</t>
  </si>
  <si>
    <t>US priority revenue</t>
  </si>
  <si>
    <t>US deferred revenue</t>
  </si>
  <si>
    <t>US ground revenue</t>
  </si>
  <si>
    <t>Total US domestic package revenue</t>
  </si>
  <si>
    <t>International Priority</t>
  </si>
  <si>
    <t>International economy</t>
  </si>
  <si>
    <t>Total international export package revenue</t>
  </si>
  <si>
    <t>Calcualted as total due to the 10k reporting method</t>
  </si>
  <si>
    <t>International domestic</t>
  </si>
  <si>
    <t>Total package revenue</t>
  </si>
  <si>
    <t>Freight:</t>
  </si>
  <si>
    <t>U.S.</t>
  </si>
  <si>
    <t>International priority</t>
  </si>
  <si>
    <t>Total freight revenue</t>
  </si>
  <si>
    <t>Other</t>
  </si>
  <si>
    <t>Fedex freight segment</t>
  </si>
  <si>
    <t>Other and eliminations</t>
  </si>
  <si>
    <t>Total revenue</t>
  </si>
  <si>
    <t>Package statistics</t>
  </si>
  <si>
    <t>Average daily package volume(ADV)</t>
  </si>
  <si>
    <t>in thousands</t>
  </si>
  <si>
    <t>Revenue/package</t>
  </si>
  <si>
    <t>dollars</t>
  </si>
  <si>
    <t>BusinessDays</t>
  </si>
  <si>
    <t>calendar-neutral hold; no structural change expected.</t>
  </si>
  <si>
    <t>Q1 2026</t>
  </si>
  <si>
    <t xml:space="preserve">      U.S. Priority(ADV)</t>
  </si>
  <si>
    <t xml:space="preserve">      Revenue/package</t>
  </si>
  <si>
    <t xml:space="preserve">     Revenue</t>
  </si>
  <si>
    <t xml:space="preserve">     U.S. Deferred(ADV)</t>
  </si>
  <si>
    <t xml:space="preserve">     Revenue/package</t>
  </si>
  <si>
    <t xml:space="preserve">     U.S. Ground (total)(ADV)</t>
  </si>
  <si>
    <t xml:space="preserve">     International Export(ADV)</t>
  </si>
  <si>
    <t xml:space="preserve">     International Domestic(ADV)</t>
  </si>
  <si>
    <t>Freight  statistics:</t>
  </si>
  <si>
    <t xml:space="preserve">     U.S.(ADV-pounds)</t>
  </si>
  <si>
    <t xml:space="preserve">     International Economy+priority(ADV-pounds)</t>
  </si>
  <si>
    <t>other</t>
  </si>
  <si>
    <r>
      <t>~$950mm flat</t>
    </r>
    <r>
      <rPr>
        <sz val="11"/>
        <color theme="1"/>
        <rFont val="Aptos Narrow"/>
        <family val="2"/>
        <scheme val="minor"/>
      </rPr>
      <t xml:space="preserve"> — non-transport services and eliminations stay stable.</t>
    </r>
  </si>
  <si>
    <t>FedEx Freight segment (LTL revenue)</t>
  </si>
  <si>
    <t xml:space="preserve">     Priority(ADV-pounds)</t>
  </si>
  <si>
    <t xml:space="preserve">     revenue/ship</t>
  </si>
  <si>
    <t xml:space="preserve">     economy(ADV-pounds)</t>
  </si>
  <si>
    <t>Consolidated Revenue/day</t>
  </si>
  <si>
    <t>Revenue/annum in millions</t>
  </si>
  <si>
    <t>Other &amp; Eliminations</t>
  </si>
  <si>
    <r>
      <t>Mechanical outputs</t>
    </r>
    <r>
      <rPr>
        <sz val="11"/>
        <color theme="1"/>
        <rFont val="Aptos Narrow"/>
        <family val="2"/>
        <scheme val="minor"/>
      </rPr>
      <t xml:space="preserve"> of the above drivers and business-day assumption; no incremental top-down overlay</t>
    </r>
  </si>
  <si>
    <t>YOY Growth</t>
  </si>
  <si>
    <t>Assumptions</t>
  </si>
  <si>
    <t>U.S. Priority</t>
  </si>
  <si>
    <r>
      <t>flat to +1–2%/yr</t>
    </r>
    <r>
      <rPr>
        <sz val="11"/>
        <color theme="1"/>
        <rFont val="Aptos Narrow"/>
        <family val="2"/>
        <scheme val="minor"/>
      </rPr>
      <t xml:space="preserve"> — premium next-day demand stabilizes as on-time performance improves and commercial activity normalizes.</t>
    </r>
  </si>
  <si>
    <r>
      <t>~+1.5%/yr</t>
    </r>
    <r>
      <rPr>
        <sz val="11"/>
        <color theme="1"/>
        <rFont val="Aptos Narrow"/>
        <family val="2"/>
        <scheme val="minor"/>
      </rPr>
      <t xml:space="preserve"> — annual price increases and fuel surcharge pass-through offset mix pressure.</t>
    </r>
  </si>
  <si>
    <t>U.S. Deferred</t>
  </si>
  <si>
    <r>
      <t>+1–2%/yr</t>
    </r>
    <r>
      <rPr>
        <sz val="11"/>
        <color theme="1"/>
        <rFont val="Aptos Narrow"/>
        <family val="2"/>
        <scheme val="minor"/>
      </rPr>
      <t xml:space="preserve"> — steady e-commerce activity adds parcels without needing more air capacity.</t>
    </r>
  </si>
  <si>
    <r>
      <t>~+1%/yr</t>
    </r>
    <r>
      <rPr>
        <sz val="11"/>
        <color theme="1"/>
        <rFont val="Aptos Narrow"/>
        <family val="2"/>
        <scheme val="minor"/>
      </rPr>
      <t xml:space="preserve"> — competitive market limits pricing; GRIs mostly cover costs.</t>
    </r>
  </si>
  <si>
    <t>U.S. Ground (total)</t>
  </si>
  <si>
    <r>
      <t>base +3%/yr (bull 3–4%, bear 1–2%)</t>
    </r>
    <r>
      <rPr>
        <sz val="11"/>
        <color theme="1"/>
        <rFont val="Aptos Narrow"/>
        <family val="2"/>
        <scheme val="minor"/>
      </rPr>
      <t xml:space="preserve"> — SMB and marketplace volumes add stops per route as the economy grows.</t>
    </r>
  </si>
  <si>
    <r>
      <t>base +2%/yr (bands shown)</t>
    </r>
    <r>
      <rPr>
        <sz val="11"/>
        <color theme="1"/>
        <rFont val="Aptos Narrow"/>
        <family val="2"/>
        <scheme val="minor"/>
      </rPr>
      <t xml:space="preserve"> — list price increases partially offset by contract resets and customer mix.</t>
    </r>
  </si>
  <si>
    <t>International Export</t>
  </si>
  <si>
    <r>
      <t>−1% in 2026, then +1–2%/yr</t>
    </r>
    <r>
      <rPr>
        <sz val="11"/>
        <color theme="1"/>
        <rFont val="Aptos Narrow"/>
        <family val="2"/>
        <scheme val="minor"/>
      </rPr>
      <t xml:space="preserve"> — airfreight lanes recover slowly with global trade; China/EU cycles drive pace.</t>
    </r>
  </si>
  <si>
    <r>
      <t>~+2%/yr</t>
    </r>
    <r>
      <rPr>
        <sz val="11"/>
        <color theme="1"/>
        <rFont val="Aptos Narrow"/>
        <family val="2"/>
        <scheme val="minor"/>
      </rPr>
      <t xml:space="preserve"> — disciplined pricing and fuel adders offset softer weight/mix.</t>
    </r>
  </si>
  <si>
    <t>International Domestic</t>
  </si>
  <si>
    <r>
      <t>~−1.9%/yr</t>
    </r>
    <r>
      <rPr>
        <sz val="11"/>
        <color theme="1"/>
        <rFont val="Aptos Narrow"/>
        <family val="2"/>
        <scheme val="minor"/>
      </rPr>
      <t xml:space="preserve"> — selective exits and portfolio pruning reduce lower-return in-country volume.</t>
    </r>
  </si>
  <si>
    <r>
      <t>~+3.1%/yr</t>
    </r>
    <r>
      <rPr>
        <sz val="11"/>
        <color theme="1"/>
        <rFont val="Aptos Narrow"/>
        <family val="2"/>
        <scheme val="minor"/>
      </rPr>
      <t xml:space="preserve"> — local inflation and annual price actions lift unit revenue.</t>
    </r>
  </si>
  <si>
    <t>U.S. Frieght</t>
  </si>
  <si>
    <r>
      <t>trough in 2025, then modest rebound</t>
    </r>
    <r>
      <rPr>
        <sz val="11"/>
        <color theme="1"/>
        <rFont val="Aptos Narrow"/>
        <family val="2"/>
        <scheme val="minor"/>
      </rPr>
      <t xml:space="preserve"> — capacity and product mix reset; industrial activity steadies.</t>
    </r>
  </si>
  <si>
    <r>
      <t>~+3%/yr after near-term lift</t>
    </r>
    <r>
      <rPr>
        <sz val="11"/>
        <color theme="1"/>
        <rFont val="Aptos Narrow"/>
        <family val="2"/>
        <scheme val="minor"/>
      </rPr>
      <t xml:space="preserve"> — rate discipline normalizes from post-disruption peaks.</t>
    </r>
  </si>
  <si>
    <t>International Economy+priority</t>
  </si>
  <si>
    <r>
      <t>~+1%/yr</t>
    </r>
    <r>
      <rPr>
        <sz val="11"/>
        <color theme="1"/>
        <rFont val="Aptos Narrow"/>
        <family val="2"/>
        <scheme val="minor"/>
      </rPr>
      <t xml:space="preserve"> — gradual rebuild in cross-border flows; no major capacity adds assumed.</t>
    </r>
  </si>
  <si>
    <r>
      <t>~+2.5–4% → tapering to ~2.5%</t>
    </r>
    <r>
      <rPr>
        <sz val="11"/>
        <color theme="1"/>
        <rFont val="Aptos Narrow"/>
        <family val="2"/>
        <scheme val="minor"/>
      </rPr>
      <t xml:space="preserve"> — yields ease from highs as markets normalize.</t>
    </r>
  </si>
  <si>
    <t>Priority</t>
  </si>
  <si>
    <r>
      <t xml:space="preserve">flat to </t>
    </r>
    <r>
      <rPr>
        <b/>
        <sz val="11"/>
        <color theme="1"/>
        <rFont val="Aptos Narrow"/>
        <family val="2"/>
        <scheme val="minor"/>
      </rPr>
      <t>+2%/yr</t>
    </r>
    <r>
      <rPr>
        <sz val="11"/>
        <color theme="1"/>
        <rFont val="Aptos Narrow"/>
        <family val="2"/>
        <scheme val="minor"/>
      </rPr>
      <t xml:space="preserve"> — demand steady; factories improve slowly.</t>
    </r>
  </si>
  <si>
    <t>revenue/ship</t>
  </si>
  <si>
    <r>
      <t xml:space="preserve">about </t>
    </r>
    <r>
      <rPr>
        <b/>
        <sz val="11"/>
        <color theme="1"/>
        <rFont val="Aptos Narrow"/>
        <family val="2"/>
        <scheme val="minor"/>
      </rPr>
      <t>+1%/yr</t>
    </r>
    <r>
      <rPr>
        <sz val="11"/>
        <color theme="1"/>
        <rFont val="Aptos Narrow"/>
        <family val="2"/>
        <scheme val="minor"/>
      </rPr>
      <t xml:space="preserve"> — annual price increases offset route/weight mix.</t>
    </r>
  </si>
  <si>
    <t>economy</t>
  </si>
  <si>
    <r>
      <t>+1% to +1.5%/yr</t>
    </r>
    <r>
      <rPr>
        <sz val="11"/>
        <color theme="1"/>
        <rFont val="Aptos Narrow"/>
        <family val="2"/>
        <scheme val="minor"/>
      </rPr>
      <t xml:space="preserve"> — gradual restocking adds volume.</t>
    </r>
  </si>
  <si>
    <r>
      <t xml:space="preserve">about </t>
    </r>
    <r>
      <rPr>
        <b/>
        <sz val="11"/>
        <color theme="1"/>
        <rFont val="Aptos Narrow"/>
        <family val="2"/>
        <scheme val="minor"/>
      </rPr>
      <t>+1.5%/yr</t>
    </r>
    <r>
      <rPr>
        <sz val="11"/>
        <color theme="1"/>
        <rFont val="Aptos Narrow"/>
        <family val="2"/>
        <scheme val="minor"/>
      </rPr>
      <t xml:space="preserve"> — contract price bumps run slightly above inflation.</t>
    </r>
  </si>
  <si>
    <t>revenue/annum in millions</t>
  </si>
  <si>
    <r>
      <t>~+3%/yr</t>
    </r>
    <r>
      <rPr>
        <sz val="11"/>
        <color theme="1"/>
        <rFont val="Aptos Narrow"/>
        <family val="2"/>
        <scheme val="minor"/>
      </rPr>
      <t xml:space="preserve"> — grows roughly with total company revenue and intercompany passthroughs.</t>
    </r>
  </si>
  <si>
    <t>CONSOLIDATED STATEMENTS OF INCOME</t>
  </si>
  <si>
    <t>(IN MILLIONS, EXCEPT PER SHARE AMOUNTS)</t>
  </si>
  <si>
    <t>REVENUE</t>
  </si>
  <si>
    <t>OPERATING EXPENSES</t>
  </si>
  <si>
    <t>Salaries and employee benefits</t>
  </si>
  <si>
    <t>Purchased transportation</t>
  </si>
  <si>
    <t>Rentals and landing fees</t>
  </si>
  <si>
    <t>Depreciation and amortization</t>
  </si>
  <si>
    <t>Fuel</t>
  </si>
  <si>
    <t>Maintanence and repairs</t>
  </si>
  <si>
    <t>Goodwill and other asset impairment charges</t>
  </si>
  <si>
    <t>Business optimization and realignment costs</t>
  </si>
  <si>
    <t>TOTAL OPERATING EXPENSES</t>
  </si>
  <si>
    <t>OPERATING INCOME</t>
  </si>
  <si>
    <t>OTHER INCOME(EXPENSE)</t>
  </si>
  <si>
    <t>Interest expense</t>
  </si>
  <si>
    <t>Interest income</t>
  </si>
  <si>
    <t>Other retirement plans income</t>
  </si>
  <si>
    <t>Loss on debt extinguishment</t>
  </si>
  <si>
    <t>Other,net</t>
  </si>
  <si>
    <t>TOTAL OTHER INCOME(EXPENSE)</t>
  </si>
  <si>
    <t>INCOME BEFORE INCOME TAXES</t>
  </si>
  <si>
    <t>PROVISION FOR INCOME TAXES</t>
  </si>
  <si>
    <t>NET INCOME</t>
  </si>
  <si>
    <t>BASIC EARNINGS PER COMMON SHARE</t>
  </si>
  <si>
    <t>DILUTED EARNINGS PER COMMON SHARE</t>
  </si>
  <si>
    <t>OTHER COMPREHENSIVE INCOME(LOSS)</t>
  </si>
  <si>
    <t>Foreign currency translation adhustments</t>
  </si>
  <si>
    <t>prior service credit</t>
  </si>
  <si>
    <t>Amortization of prior service credit and other</t>
  </si>
  <si>
    <t>TOTAL OTHER COMP.INCOME(LOSS)</t>
  </si>
  <si>
    <t>2020E</t>
  </si>
  <si>
    <r>
      <t>+3–4%/yr</t>
    </r>
    <r>
      <rPr>
        <sz val="11"/>
        <color theme="1"/>
        <rFont val="Aptos Narrow"/>
        <family val="2"/>
        <scheme val="minor"/>
      </rPr>
      <t xml:space="preserve"> — modest parcel volume growth and small price increases after markets normalize.</t>
    </r>
  </si>
  <si>
    <r>
      <t>~35.5% of revenue</t>
    </r>
    <r>
      <rPr>
        <sz val="11"/>
        <color theme="1"/>
        <rFont val="Aptos Narrow"/>
        <family val="2"/>
        <scheme val="minor"/>
      </rPr>
      <t xml:space="preserve"> — wage inflation partly offset by DRIVE efficiencies and the Europe workforce reduction (~$150mm annualized savings from 2026).</t>
    </r>
  </si>
  <si>
    <r>
      <t>~25.0% of revenue (24.5–25.5% bands)</t>
    </r>
    <r>
      <rPr>
        <sz val="11"/>
        <color theme="1"/>
        <rFont val="Aptos Narrow"/>
        <family val="2"/>
        <scheme val="minor"/>
      </rPr>
      <t xml:space="preserve"> — rates normalize; DRIVE and linehaul optimization temper costs after USPS contract roll-off effects.</t>
    </r>
  </si>
  <si>
    <t>Falls to ~22% if FedEx insources more linehaul/airlift, Ground route density improves (fewer third-party miles per stop), freight &amp; ACMI spot rates stay soft, and contract renewals lock in lower carrier costs.</t>
  </si>
  <si>
    <t>Holds near the multi-year average if external capacity and rates are stable, mix between in-house vs. third-party is unchanged, and GRIs/fuel pass-throughs broadly offset carrier increases.</t>
  </si>
  <si>
    <t>Rises toward ~27% if trucking/air capacity tightens (spot rates up), FedEx needs more surge/charter lift in peaks or disruptions, ISP/linehaul contracts reprice higher, or fuel spikes aren’t fully recovered.</t>
  </si>
  <si>
    <r>
      <t>~5.1–5.2% of revenue</t>
    </r>
    <r>
      <rPr>
        <sz val="11"/>
        <color theme="1"/>
        <rFont val="Aptos Narrow"/>
        <family val="2"/>
        <scheme val="minor"/>
      </rPr>
      <t xml:space="preserve"> — largely contractual airport/real estate expense; held near FY25 mix.</t>
    </r>
  </si>
  <si>
    <t>Depreciation and amortization (% of Gross PP&amp;E)</t>
  </si>
  <si>
    <r>
      <t>~5.2% of gross PP&amp;E</t>
    </r>
    <r>
      <rPr>
        <sz val="11"/>
        <color theme="1"/>
        <rFont val="Aptos Narrow"/>
        <family val="2"/>
        <scheme val="minor"/>
      </rPr>
      <t xml:space="preserve"> — steady run-rate; MD-11 retirement timeline extended to 2032 reduces near-term D&amp;A volatility.</t>
    </r>
  </si>
  <si>
    <r>
      <t>~5.0% of revenue</t>
    </r>
    <r>
      <rPr>
        <sz val="11"/>
        <color theme="1"/>
        <rFont val="Aptos Narrow"/>
        <family val="2"/>
        <scheme val="minor"/>
      </rPr>
      <t xml:space="preserve"> — indexed fuel surcharges mitigate price swings; aircraft fleet modernization improves burn (new 767F/777F/ATR/408 deliveries).</t>
    </r>
  </si>
  <si>
    <r>
      <t>~3.8% of revenue</t>
    </r>
    <r>
      <rPr>
        <sz val="11"/>
        <color theme="1"/>
        <rFont val="Aptos Narrow"/>
        <family val="2"/>
        <scheme val="minor"/>
      </rPr>
      <t xml:space="preserve"> — preventive maintenance on a modernizing, younger fleet; temporary idles managed within network.</t>
    </r>
  </si>
  <si>
    <r>
      <t>$0 from ’26</t>
    </r>
    <r>
      <rPr>
        <sz val="11"/>
        <color theme="1"/>
        <rFont val="Aptos Narrow"/>
        <family val="2"/>
        <scheme val="minor"/>
      </rPr>
      <t xml:space="preserve"> — aircraft impairment in FY25 tied to specific retirements; no planned write-downs thereafter.</t>
    </r>
  </si>
  <si>
    <r>
      <t>~$250mm in ’26, $0 thereafter</t>
    </r>
    <r>
      <rPr>
        <sz val="11"/>
        <color theme="1"/>
        <rFont val="Aptos Narrow"/>
        <family val="2"/>
        <scheme val="minor"/>
      </rPr>
      <t xml:space="preserve"> — tail of DRIVE program; Europe restructuring costs largely incurred, savings begin 2026.</t>
    </r>
  </si>
  <si>
    <r>
      <t>~14.7% of revenue</t>
    </r>
    <r>
      <rPr>
        <sz val="11"/>
        <color theme="1"/>
        <rFont val="Aptos Narrow"/>
        <family val="2"/>
        <scheme val="minor"/>
      </rPr>
      <t xml:space="preserve"> — keep near multi-year run-rate for insurance, technology, and supplies embedded in “other.</t>
    </r>
  </si>
  <si>
    <r>
      <t>Down from ~$680mm to ~$515mm</t>
    </r>
    <r>
      <rPr>
        <sz val="11"/>
        <color theme="1"/>
        <rFont val="Aptos Narrow"/>
        <family val="2"/>
        <scheme val="minor"/>
      </rPr>
      <t xml:space="preserve"> — predominantly fixed-rate debt; stable ratings and scheduled maturities lower interest burden.</t>
    </r>
  </si>
  <si>
    <r>
      <t>Flat at ~$229mm</t>
    </r>
    <r>
      <rPr>
        <sz val="11"/>
        <color theme="1"/>
        <rFont val="Aptos Narrow"/>
        <family val="2"/>
        <scheme val="minor"/>
      </rPr>
      <t xml:space="preserve"> — similar cash/liquidity posture and yield assumptions.</t>
    </r>
  </si>
  <si>
    <r>
      <t>(~+2.5%/yr)</t>
    </r>
    <r>
      <rPr>
        <sz val="11"/>
        <color theme="1"/>
        <rFont val="Aptos Narrow"/>
        <family val="2"/>
        <scheme val="minor"/>
      </rPr>
      <t xml:space="preserve"> — MTM framework + normal EROA/discount rates; smooth growth versus FY23–25 path.</t>
    </r>
  </si>
  <si>
    <r>
      <t>No special refi events assumed</t>
    </r>
    <r>
      <rPr>
        <sz val="11"/>
        <color theme="1"/>
        <rFont val="Aptos Narrow"/>
        <family val="2"/>
        <scheme val="minor"/>
      </rPr>
      <t>; trend is non-recurring.</t>
    </r>
  </si>
  <si>
    <r>
      <t>Recurring non-operating items at steady state</t>
    </r>
    <r>
      <rPr>
        <sz val="11"/>
        <color theme="1"/>
        <rFont val="Aptos Narrow"/>
        <family val="2"/>
        <scheme val="minor"/>
      </rPr>
      <t>, consistent with FY23–25.</t>
    </r>
  </si>
  <si>
    <r>
      <t>Normalized blended rate</t>
    </r>
    <r>
      <rPr>
        <sz val="11"/>
        <color theme="1"/>
        <rFont val="Aptos Narrow"/>
        <family val="2"/>
        <scheme val="minor"/>
      </rPr>
      <t>; aligned with the recent multi-year average.</t>
    </r>
  </si>
  <si>
    <r>
      <t>Fleet modernization detail</t>
    </r>
    <r>
      <rPr>
        <sz val="11"/>
        <color theme="1"/>
        <rFont val="Aptos Narrow"/>
        <family val="2"/>
        <scheme val="minor"/>
      </rPr>
      <t xml:space="preserve"> — scheduled deliveries: 7×767F (by 2026), 3×ATR-72-600F (2026), plus exercised options for 8×777F (2026–2027) and 10×ATR-72-600F (2027–2029); MD-11 fleet retired by 2032</t>
    </r>
  </si>
  <si>
    <r>
      <t>Fuel efficiency programs</t>
    </r>
    <r>
      <rPr>
        <sz val="11"/>
        <color theme="1"/>
        <rFont val="Aptos Narrow"/>
        <family val="2"/>
        <scheme val="minor"/>
      </rPr>
      <t xml:space="preserve"> — Fuel Sense + aircraft modernization saved ~141M gallons in 2024; SAF procurement underway.</t>
    </r>
  </si>
  <si>
    <t>Debt schedule</t>
  </si>
  <si>
    <t>Debt (10-K disclosures &amp; management outlook)</t>
  </si>
  <si>
    <t>Year</t>
  </si>
  <si>
    <t>Opening Debt Principal (mm)</t>
  </si>
  <si>
    <t>Maturities (mm)</t>
  </si>
  <si>
    <r>
      <t>Given in 10-K/10-Q</t>
    </r>
    <r>
      <rPr>
        <sz val="11"/>
        <color theme="1"/>
        <rFont val="Aptos Narrow"/>
        <family val="2"/>
        <scheme val="minor"/>
      </rPr>
      <t xml:space="preserve"> — taken from the contractual debt maturity table by fiscal year.</t>
    </r>
  </si>
  <si>
    <t>Closing Debt Principal (mm)</t>
  </si>
  <si>
    <t>Avg debt</t>
  </si>
  <si>
    <r>
      <t>Modeled</t>
    </r>
    <r>
      <rPr>
        <sz val="11"/>
        <color theme="1"/>
        <rFont val="Aptos Narrow"/>
        <family val="2"/>
        <scheme val="minor"/>
      </rPr>
      <t xml:space="preserve"> — average debt × assumed blended coupon; reflects scheduled paydowns.</t>
    </r>
  </si>
  <si>
    <t>capex schedule</t>
  </si>
  <si>
    <t>FY 2025</t>
  </si>
  <si>
    <t>FY 2026</t>
  </si>
  <si>
    <t>By Asset Type</t>
  </si>
  <si>
    <r>
      <t>Given in latest 10-Q</t>
    </r>
    <r>
      <rPr>
        <sz val="11"/>
        <color theme="1"/>
        <rFont val="Aptos Narrow"/>
        <family val="2"/>
        <scheme val="minor"/>
      </rPr>
      <t xml:space="preserve"> — year-to-date capex by class (where disclosed).</t>
    </r>
  </si>
  <si>
    <t>Aircraft and related equipment</t>
  </si>
  <si>
    <t>Package handling and ground support equipment</t>
  </si>
  <si>
    <t>Information technology</t>
  </si>
  <si>
    <t>Vehicles and trailers</t>
  </si>
  <si>
    <t>Facilities and other</t>
  </si>
  <si>
    <r>
      <t>Modeled</t>
    </r>
    <r>
      <rPr>
        <sz val="11"/>
        <color theme="1"/>
        <rFont val="Aptos Narrow"/>
        <family val="2"/>
        <scheme val="minor"/>
      </rPr>
      <t xml:space="preserve"> — forward plan based on fleet/ground automation program cadence and historical mix.</t>
    </r>
  </si>
  <si>
    <t>Shares outstanding</t>
  </si>
  <si>
    <t>Opening Diluted Shares (mm)</t>
  </si>
  <si>
    <t>Buybacks (mm)</t>
  </si>
  <si>
    <r>
      <t>Modeled</t>
    </r>
    <r>
      <rPr>
        <sz val="11"/>
        <color theme="1"/>
        <rFont val="Aptos Narrow"/>
        <family val="2"/>
        <scheme val="minor"/>
      </rPr>
      <t xml:space="preserve"> — shares repurchased derived from assumed buyback dollars ÷ est. average price (authorizations disclosed but volumes not).</t>
    </r>
  </si>
  <si>
    <t>Ending Diluted Shares (mm)</t>
  </si>
  <si>
    <t>Avg Diluted Shares (mm)</t>
  </si>
  <si>
    <t>Net income</t>
  </si>
  <si>
    <t>Eps</t>
  </si>
  <si>
    <t>Capital Expenditures</t>
  </si>
  <si>
    <t>FY 2023 – FY 2026</t>
  </si>
  <si>
    <t>Years ended May 31</t>
  </si>
  <si>
    <t>In millions</t>
  </si>
  <si>
    <t>Q1 YTD</t>
  </si>
  <si>
    <t>FY 2023</t>
  </si>
  <si>
    <t>FY 2024</t>
  </si>
  <si>
    <t>Assumed to decline post-FY26 as major aircraft modernization under Network 2.0 concludes and fleet age profile stabilizes.</t>
  </si>
  <si>
    <t>Peaks through FY26 with automation and hub consolidation projects, then normalizes as Network 2.0 transitions from build-out to maintenance.</t>
  </si>
  <si>
    <t>Gradually tapers after FY26 as key digital infrastructure and routing-optimization platforms are fully deployed, leaving steady maintenance spend.</t>
  </si>
  <si>
    <t>Moderate decline due to completion of large-scale Ground fleet refresh and increased reliance on leased or partner-supplied EV vehicles.</t>
  </si>
  <si>
    <t>Decreases from FY26 onward as major hub expansions and building upgrades are completed, consistent with capital discipline and FCF priorities.</t>
  </si>
  <si>
    <t>FY26 ≈ $4.5 B per management guidance; decline through FY30 reflects completion of modernization cycle and focus on shareholder returns.</t>
  </si>
  <si>
    <t>By Segment</t>
  </si>
  <si>
    <t>Federal Express segment</t>
  </si>
  <si>
    <t>Fore-word</t>
  </si>
  <si>
    <t>FedEx Freight segment</t>
  </si>
  <si>
    <t>“FY26 CapEx ≈ $4.5 B driven by aircraft and Network 2.0 investments.”</t>
  </si>
  <si>
    <t>“Investments in Network 2.0 and sort facility automation continue in FY26.”</t>
  </si>
  <si>
    <r>
      <t xml:space="preserve">“We expect </t>
    </r>
    <r>
      <rPr>
        <b/>
        <sz val="11"/>
        <color theme="1"/>
        <rFont val="Aptos Narrow"/>
        <family val="2"/>
        <scheme val="minor"/>
      </rPr>
      <t>lower incremental spend</t>
    </r>
    <r>
      <rPr>
        <sz val="11"/>
        <color theme="1"/>
        <rFont val="Aptos Narrow"/>
        <family val="2"/>
        <scheme val="minor"/>
      </rPr>
      <t xml:space="preserve"> in subsequent years as platform deployments are completed.”</t>
    </r>
  </si>
  <si>
    <t>“Vehicle purchases moderated as fleet modernization and electrification partnerships progress.”</t>
  </si>
  <si>
    <r>
      <t>“</t>
    </r>
    <r>
      <rPr>
        <b/>
        <sz val="11"/>
        <color theme="1"/>
        <rFont val="Aptos Narrow"/>
        <family val="2"/>
        <scheme val="minor"/>
      </rPr>
      <t>Network 2.0</t>
    </r>
    <r>
      <rPr>
        <sz val="11"/>
        <color theme="1"/>
        <rFont val="Aptos Narrow"/>
        <family val="2"/>
        <scheme val="minor"/>
      </rPr>
      <t xml:space="preserve"> continues to focus on </t>
    </r>
    <r>
      <rPr>
        <b/>
        <sz val="11"/>
        <color theme="1"/>
        <rFont val="Aptos Narrow"/>
        <family val="2"/>
        <scheme val="minor"/>
      </rPr>
      <t>facility optimization, automation, and hub consolidation</t>
    </r>
    <r>
      <rPr>
        <sz val="11"/>
        <color theme="1"/>
        <rFont val="Aptos Narrow"/>
        <family val="2"/>
        <scheme val="minor"/>
      </rPr>
      <t>, which are expected to deliver efficiency and cost benefits in FY26 and beyond.”</t>
    </r>
  </si>
  <si>
    <t xml:space="preserve">CONSOLIDATED BALANCE SHEETS </t>
  </si>
  <si>
    <t xml:space="preserve">(IN MILLIONS, EXCEPT SHARE DATA) </t>
  </si>
  <si>
    <t>ASSETS</t>
  </si>
  <si>
    <t>CURRENT ASSETS</t>
  </si>
  <si>
    <t>Cash and cash equivalents</t>
  </si>
  <si>
    <t>Receivables</t>
  </si>
  <si>
    <t>Spare parts</t>
  </si>
  <si>
    <t>Prepaid expenses</t>
  </si>
  <si>
    <t>Total current assets</t>
  </si>
  <si>
    <t>PROPERTY AND EQUIPMENT</t>
  </si>
  <si>
    <t>Total PP&amp;E</t>
  </si>
  <si>
    <t>Depreciation and amortization, accumulated</t>
  </si>
  <si>
    <t>Net PP&amp;E</t>
  </si>
  <si>
    <t>OTHER LONG-TERM ASSETS</t>
  </si>
  <si>
    <t>Operating lease right-of-use assets</t>
  </si>
  <si>
    <t>Goodwill</t>
  </si>
  <si>
    <t>Other assets</t>
  </si>
  <si>
    <t>Total other long-term assets</t>
  </si>
  <si>
    <t>TOTAL ASSETS</t>
  </si>
  <si>
    <t>LIABILITIES AND COMMON STOCKHOLDERS INVESTMENT</t>
  </si>
  <si>
    <t>CURRENT LIABILITIES</t>
  </si>
  <si>
    <t>Current portion of long-term debt</t>
  </si>
  <si>
    <t>Accrued salaries and employee benefits</t>
  </si>
  <si>
    <t>Accounts payable</t>
  </si>
  <si>
    <t>Operating lease liabilities</t>
  </si>
  <si>
    <t>Accrued expenses</t>
  </si>
  <si>
    <t>Total current liabilities</t>
  </si>
  <si>
    <t>Long term debt</t>
  </si>
  <si>
    <t>OTHER LONG-TERM LIABILITIES</t>
  </si>
  <si>
    <t>Deferred income taxes</t>
  </si>
  <si>
    <t>Pension</t>
  </si>
  <si>
    <t>Self-insurance accruals</t>
  </si>
  <si>
    <t>Other Liabilities</t>
  </si>
  <si>
    <t>Total other long-term liabilities</t>
  </si>
  <si>
    <t>COMMON STOCKHOLDERS INVESTMENT</t>
  </si>
  <si>
    <t>Common stock, 0.10 par value</t>
  </si>
  <si>
    <t>Additional paid-in capital</t>
  </si>
  <si>
    <t>Retained earnings</t>
  </si>
  <si>
    <t>Accumulated other comprehensive loss</t>
  </si>
  <si>
    <t>Treasury stock</t>
  </si>
  <si>
    <t>Total common stockholders investment</t>
  </si>
  <si>
    <t>TOTAL LIABILITIES AND COMMON STOCKHOLDERS INVESTMENT</t>
  </si>
  <si>
    <t>Check</t>
  </si>
  <si>
    <r>
      <t xml:space="preserve">Scale with revenue with </t>
    </r>
    <r>
      <rPr>
        <b/>
        <sz val="11"/>
        <color theme="1"/>
        <rFont val="Aptos Narrow"/>
        <family val="2"/>
        <scheme val="minor"/>
      </rPr>
      <t>DSO held near recent average</t>
    </r>
    <r>
      <rPr>
        <sz val="11"/>
        <color theme="1"/>
        <rFont val="Aptos Narrow"/>
        <family val="2"/>
        <scheme val="minor"/>
      </rPr>
      <t xml:space="preserve"> (stable customer mix/terms per 10-K).”</t>
    </r>
  </si>
  <si>
    <r>
      <t xml:space="preserve">Grow modestly with fleet/ground assets—kept </t>
    </r>
    <r>
      <rPr>
        <b/>
        <sz val="11"/>
        <color theme="1"/>
        <rFont val="Aptos Narrow"/>
        <family val="2"/>
        <scheme val="minor"/>
      </rPr>
      <t>near historical ratio to maintenance needs</t>
    </r>
    <r>
      <rPr>
        <sz val="11"/>
        <color theme="1"/>
        <rFont val="Aptos Narrow"/>
        <family val="2"/>
        <scheme val="minor"/>
      </rPr>
      <t xml:space="preserve"> (trend-based)</t>
    </r>
  </si>
  <si>
    <r>
      <t xml:space="preserve">Held </t>
    </r>
    <r>
      <rPr>
        <b/>
        <sz val="11"/>
        <color theme="1"/>
        <rFont val="Aptos Narrow"/>
        <family val="2"/>
        <scheme val="minor"/>
      </rPr>
      <t>flat at FY25 run-rate</t>
    </r>
    <r>
      <rPr>
        <sz val="11"/>
        <color theme="1"/>
        <rFont val="Aptos Narrow"/>
        <family val="2"/>
        <scheme val="minor"/>
      </rPr>
      <t>; timing/contract items stable (trend-based).</t>
    </r>
  </si>
  <si>
    <r>
      <t xml:space="preserve">Roll-forward = prior close + capex </t>
    </r>
    <r>
      <rPr>
        <b/>
        <sz val="11"/>
        <color theme="1"/>
        <rFont val="Aptos Narrow"/>
        <family val="2"/>
        <scheme val="minor"/>
      </rPr>
      <t>per fleet plan</t>
    </r>
    <r>
      <rPr>
        <sz val="11"/>
        <color theme="1"/>
        <rFont val="Aptos Narrow"/>
        <family val="2"/>
        <scheme val="minor"/>
      </rPr>
      <t>; retirements minimal (10-K fleet notes + trend).</t>
    </r>
  </si>
  <si>
    <r>
      <t xml:space="preserve">Roll-forward = prior close + </t>
    </r>
    <r>
      <rPr>
        <b/>
        <sz val="11"/>
        <color theme="1"/>
        <rFont val="Aptos Narrow"/>
        <family val="2"/>
        <scheme val="minor"/>
      </rPr>
      <t>automation/handling capex</t>
    </r>
    <r>
      <rPr>
        <sz val="11"/>
        <color theme="1"/>
        <rFont val="Aptos Narrow"/>
        <family val="2"/>
        <scheme val="minor"/>
      </rPr>
      <t>; consistent with network upgrades (10-K + trend).</t>
    </r>
  </si>
  <si>
    <r>
      <t xml:space="preserve">Roll-forward = prior close + </t>
    </r>
    <r>
      <rPr>
        <b/>
        <sz val="11"/>
        <color theme="1"/>
        <rFont val="Aptos Narrow"/>
        <family val="2"/>
        <scheme val="minor"/>
      </rPr>
      <t>IT modernization capex</t>
    </r>
    <r>
      <rPr>
        <sz val="11"/>
        <color theme="1"/>
        <rFont val="Aptos Narrow"/>
        <family val="2"/>
        <scheme val="minor"/>
      </rPr>
      <t>; steady digital spend (10-K + trend)</t>
    </r>
  </si>
  <si>
    <r>
      <t xml:space="preserve">Roll-forward = prior close + </t>
    </r>
    <r>
      <rPr>
        <b/>
        <sz val="11"/>
        <color theme="1"/>
        <rFont val="Aptos Narrow"/>
        <family val="2"/>
        <scheme val="minor"/>
      </rPr>
      <t>route/tractor refresh capex</t>
    </r>
    <r>
      <rPr>
        <sz val="11"/>
        <color theme="1"/>
        <rFont val="Aptos Narrow"/>
        <family val="2"/>
        <scheme val="minor"/>
      </rPr>
      <t>; tied to Ground density (trend-based).</t>
    </r>
  </si>
  <si>
    <r>
      <t xml:space="preserve">Roll-forward = prior close + </t>
    </r>
    <r>
      <rPr>
        <b/>
        <sz val="11"/>
        <color theme="1"/>
        <rFont val="Aptos Narrow"/>
        <family val="2"/>
        <scheme val="minor"/>
      </rPr>
      <t>real-estate/sortation capex</t>
    </r>
    <r>
      <rPr>
        <sz val="11"/>
        <color theme="1"/>
        <rFont val="Aptos Narrow"/>
        <family val="2"/>
        <scheme val="minor"/>
      </rPr>
      <t>; selective hub investments (10-K + trend).</t>
    </r>
  </si>
  <si>
    <r>
      <t>Set at ~</t>
    </r>
    <r>
      <rPr>
        <b/>
        <sz val="11"/>
        <color theme="1"/>
        <rFont val="Aptos Narrow"/>
        <family val="2"/>
        <scheme val="minor"/>
      </rPr>
      <t>50% of gross PP&amp;E</t>
    </r>
    <r>
      <rPr>
        <sz val="11"/>
        <color theme="1"/>
        <rFont val="Aptos Narrow"/>
        <family val="2"/>
        <scheme val="minor"/>
      </rPr>
      <t xml:space="preserve"> to reflect mid-life asset mix; consistent with historical depreciation profile (trend-based).</t>
    </r>
  </si>
  <si>
    <r>
      <t xml:space="preserve">Down each year as </t>
    </r>
    <r>
      <rPr>
        <b/>
        <sz val="11"/>
        <color theme="1"/>
        <rFont val="Aptos Narrow"/>
        <family val="2"/>
        <scheme val="minor"/>
      </rPr>
      <t>amortization &gt; new lease adds</t>
    </r>
    <r>
      <rPr>
        <sz val="11"/>
        <color theme="1"/>
        <rFont val="Aptos Narrow"/>
        <family val="2"/>
        <scheme val="minor"/>
      </rPr>
      <t>; mirrors lease liabilities schedule (10-K/10-Q mechanics).</t>
    </r>
  </si>
  <si>
    <r>
      <t>Flat</t>
    </r>
    <r>
      <rPr>
        <sz val="11"/>
        <color theme="1"/>
        <rFont val="Aptos Narrow"/>
        <family val="2"/>
        <scheme val="minor"/>
      </rPr>
      <t>—no acquisitions or impairments modeled (10-K baseline).</t>
    </r>
  </si>
  <si>
    <r>
      <t xml:space="preserve">From </t>
    </r>
    <r>
      <rPr>
        <b/>
        <sz val="11"/>
        <color theme="1"/>
        <rFont val="Aptos Narrow"/>
        <family val="2"/>
        <scheme val="minor"/>
      </rPr>
      <t>debt maturity table</t>
    </r>
    <r>
      <rPr>
        <sz val="11"/>
        <color theme="1"/>
        <rFont val="Aptos Narrow"/>
        <family val="2"/>
        <scheme val="minor"/>
      </rPr>
      <t xml:space="preserve"> (10-K/10-Q).</t>
    </r>
  </si>
  <si>
    <r>
      <t xml:space="preserve">Modeled at </t>
    </r>
    <r>
      <rPr>
        <b/>
        <sz val="11"/>
        <color theme="1"/>
        <rFont val="Aptos Narrow"/>
        <family val="2"/>
        <scheme val="minor"/>
      </rPr>
      <t>~8½–9% of annual salary expense</t>
    </r>
    <r>
      <rPr>
        <sz val="11"/>
        <color theme="1"/>
        <rFont val="Aptos Narrow"/>
        <family val="2"/>
        <scheme val="minor"/>
      </rPr>
      <t>, matching multi-year average (trend-based).</t>
    </r>
  </si>
  <si>
    <r>
      <t>~4½% of revenue</t>
    </r>
    <r>
      <rPr>
        <sz val="11"/>
        <color theme="1"/>
        <rFont val="Aptos Narrow"/>
        <family val="2"/>
        <scheme val="minor"/>
      </rPr>
      <t>—holds historical payables turnover (trend-based).</t>
    </r>
  </si>
  <si>
    <r>
      <t>~15% of total lease liabilities</t>
    </r>
    <r>
      <rPr>
        <sz val="11"/>
        <color theme="1"/>
        <rFont val="Aptos Narrow"/>
        <family val="2"/>
        <scheme val="minor"/>
      </rPr>
      <t>—consistent split of current vs. non-current (10-K mechanics).</t>
    </r>
  </si>
  <si>
    <r>
      <t>~5.9% of revenue</t>
    </r>
    <r>
      <rPr>
        <sz val="11"/>
        <color theme="1"/>
        <rFont val="Aptos Narrow"/>
        <family val="2"/>
        <scheme val="minor"/>
      </rPr>
      <t>—kept at multi-year run-rate (trend-based).</t>
    </r>
  </si>
  <si>
    <t>LONG-TERM DEBT</t>
  </si>
  <si>
    <r>
      <t xml:space="preserve">Held near </t>
    </r>
    <r>
      <rPr>
        <b/>
        <sz val="11"/>
        <color theme="1"/>
        <rFont val="Aptos Narrow"/>
        <family val="2"/>
        <scheme val="minor"/>
      </rPr>
      <t>~10–11% of other LT liabilities</t>
    </r>
    <r>
      <rPr>
        <sz val="11"/>
        <color theme="1"/>
        <rFont val="Aptos Narrow"/>
        <family val="2"/>
        <scheme val="minor"/>
      </rPr>
      <t>; grows with timing differences from capex/pensions (trend + 10-K mechanics).</t>
    </r>
  </si>
  <si>
    <r>
      <t>Gradual increase</t>
    </r>
    <r>
      <rPr>
        <sz val="11"/>
        <color theme="1"/>
        <rFont val="Aptos Narrow"/>
        <family val="2"/>
        <scheme val="minor"/>
      </rPr>
      <t xml:space="preserve"> with normal service cost/actuarial updates; no plan design change (10-K framework).</t>
    </r>
  </si>
  <si>
    <r>
      <t>Step-up over time</t>
    </r>
    <r>
      <rPr>
        <sz val="11"/>
        <color theme="1"/>
        <rFont val="Aptos Narrow"/>
        <family val="2"/>
        <scheme val="minor"/>
      </rPr>
      <t xml:space="preserve"> to reflect claims inflation and network scale; anchored to historical % of revenue (trend-based).</t>
    </r>
  </si>
  <si>
    <r>
      <t>~85% of total lease liabilities</t>
    </r>
    <r>
      <rPr>
        <sz val="11"/>
        <color theme="1"/>
        <rFont val="Aptos Narrow"/>
        <family val="2"/>
        <scheme val="minor"/>
      </rPr>
      <t>—consistent amortization profile (10-K mechanics).”</t>
    </r>
  </si>
  <si>
    <r>
      <t>Constant</t>
    </r>
    <r>
      <rPr>
        <sz val="11"/>
        <color theme="1"/>
        <rFont val="Aptos Narrow"/>
        <family val="2"/>
        <scheme val="minor"/>
      </rPr>
      <t>—no change in authorized/issued structure (10-K baseline).</t>
    </r>
  </si>
  <si>
    <r>
      <t>Up modestly each year</t>
    </r>
    <r>
      <rPr>
        <sz val="11"/>
        <color theme="1"/>
        <rFont val="Aptos Narrow"/>
        <family val="2"/>
        <scheme val="minor"/>
      </rPr>
      <t xml:space="preserve"> from stock-based compensation capitalization; ties to SBC schedule (10-K/10-Q + trend).</t>
    </r>
  </si>
  <si>
    <r>
      <t>Held flat</t>
    </r>
    <r>
      <rPr>
        <sz val="11"/>
        <color theme="1"/>
        <rFont val="Aptos Narrow"/>
        <family val="2"/>
        <scheme val="minor"/>
      </rPr>
      <t>—no FX/actuarial shocks modeled (trend-based).</t>
    </r>
  </si>
  <si>
    <r>
      <t>Cumulative buybacks at modeled $ / avg price</t>
    </r>
    <r>
      <rPr>
        <sz val="11"/>
        <color theme="1"/>
        <rFont val="Aptos Narrow"/>
        <family val="2"/>
        <scheme val="minor"/>
      </rPr>
      <t>; authorization disclosed, volumes modeled (10-K + buyback plan).</t>
    </r>
  </si>
  <si>
    <t>2025A</t>
  </si>
  <si>
    <t>Opening Balance</t>
  </si>
  <si>
    <t>–</t>
  </si>
  <si>
    <t>Additions (Capex)</t>
  </si>
  <si>
    <t>10-K</t>
  </si>
  <si>
    <t>Closing Balance</t>
  </si>
  <si>
    <t>Additions</t>
  </si>
  <si>
    <t>Lease liabilities</t>
  </si>
  <si>
    <t>New Lease Additions</t>
  </si>
  <si>
    <t>Amortization (≈lease payments – interest)</t>
  </si>
  <si>
    <t>Issuance costs</t>
  </si>
  <si>
    <t>Net Income</t>
  </si>
  <si>
    <t>Dividends</t>
  </si>
  <si>
    <t>Dividend per Share</t>
  </si>
  <si>
    <t>Growth</t>
  </si>
  <si>
    <t>New Grants Through SBC</t>
  </si>
  <si>
    <t>Share Repurchases</t>
  </si>
  <si>
    <t># of Shares</t>
  </si>
  <si>
    <t>Price/Share</t>
  </si>
  <si>
    <t>Share Count</t>
  </si>
  <si>
    <t>%of non cash assests</t>
  </si>
  <si>
    <r>
      <t>Long-term debt as % of non-cash assets (~25% from ’26):</t>
    </r>
    <r>
      <rPr>
        <sz val="11"/>
        <color theme="1"/>
        <rFont val="Aptos Narrow"/>
        <family val="2"/>
        <scheme val="minor"/>
      </rPr>
      <t xml:space="preserve"> “Targets a </t>
    </r>
    <r>
      <rPr>
        <b/>
        <sz val="11"/>
        <color theme="1"/>
        <rFont val="Aptos Narrow"/>
        <family val="2"/>
        <scheme val="minor"/>
      </rPr>
      <t>steady leverage profile</t>
    </r>
    <r>
      <rPr>
        <sz val="11"/>
        <color theme="1"/>
        <rFont val="Aptos Narrow"/>
        <family val="2"/>
        <scheme val="minor"/>
      </rPr>
      <t xml:space="preserve"> consistent with management’s balance-sheet discipline (trend + 10-K tone)</t>
    </r>
  </si>
  <si>
    <t xml:space="preserve">Current Portion </t>
  </si>
  <si>
    <t>Free cash flow</t>
  </si>
  <si>
    <t>Repurchases</t>
  </si>
  <si>
    <t>Net Cash Generated</t>
  </si>
  <si>
    <t>Cash at Starting of Year</t>
  </si>
  <si>
    <t>Cash at Ending of Year</t>
  </si>
  <si>
    <t>FCFE</t>
  </si>
  <si>
    <t>USD</t>
  </si>
  <si>
    <t>COMPARABLE COMPANY ANALYSIS</t>
  </si>
  <si>
    <t>COMPANY DATA</t>
  </si>
  <si>
    <t>(in millions)</t>
  </si>
  <si>
    <t>Recent</t>
  </si>
  <si>
    <t>52 week</t>
  </si>
  <si>
    <t>Shares</t>
  </si>
  <si>
    <t>Market</t>
  </si>
  <si>
    <t>Enterprise</t>
  </si>
  <si>
    <t>WS 12-mo</t>
  </si>
  <si>
    <t>Company Name</t>
  </si>
  <si>
    <t>Ticker</t>
  </si>
  <si>
    <t>Price</t>
  </si>
  <si>
    <t>High</t>
  </si>
  <si>
    <t>Out</t>
  </si>
  <si>
    <t>Cap</t>
  </si>
  <si>
    <t>Debt</t>
  </si>
  <si>
    <t>Cash</t>
  </si>
  <si>
    <t>Value</t>
  </si>
  <si>
    <t>Price Target</t>
  </si>
  <si>
    <t>CHRW.O</t>
  </si>
  <si>
    <t/>
  </si>
  <si>
    <t>I/B/E/S  ESTIMATES</t>
  </si>
  <si>
    <t>SALES</t>
  </si>
  <si>
    <t>EPS</t>
  </si>
  <si>
    <t>EBIT</t>
  </si>
  <si>
    <t>EBITDA</t>
  </si>
  <si>
    <t>EPS 5-yr</t>
  </si>
  <si>
    <t>Last FY</t>
  </si>
  <si>
    <t>FYR1</t>
  </si>
  <si>
    <t>FYR2</t>
  </si>
  <si>
    <t>FYR3</t>
  </si>
  <si>
    <t>Growth %</t>
  </si>
  <si>
    <t>Not available</t>
  </si>
  <si>
    <t>VALUATION MULTIPLES</t>
  </si>
  <si>
    <t xml:space="preserve">Price / </t>
  </si>
  <si>
    <t>Price/Sales</t>
  </si>
  <si>
    <t>P/E</t>
  </si>
  <si>
    <t>PEG</t>
  </si>
  <si>
    <t>EV/EBITDA</t>
  </si>
  <si>
    <t>SAME STORE SALES GROWTH</t>
  </si>
  <si>
    <t>Average</t>
  </si>
  <si>
    <t>Median</t>
  </si>
  <si>
    <t>ws.OperatingProfitMargin[ws.cpa]</t>
  </si>
  <si>
    <t>ws.AssetTurnover[ws.cpa]</t>
  </si>
  <si>
    <t>ws.InventoryTurnover[ws.cpa]</t>
  </si>
  <si>
    <t>ws.ReceivablesTurnover[ws.cpa]</t>
  </si>
  <si>
    <t>ws.TotalDebtPctCommonEquity[ws.cpa]</t>
  </si>
  <si>
    <t>ws.LTDebtPctCommonEquity[ws.cpa]</t>
  </si>
  <si>
    <t>ws.LTDebtPctTotalCapital[ws.cpa]</t>
  </si>
  <si>
    <t>ws.QuickRatio[ws.cpa]</t>
  </si>
  <si>
    <t>ws.CurrentRatio[ws.cpa]</t>
  </si>
  <si>
    <t>RATIO ANALYSIS</t>
  </si>
  <si>
    <t>Gross</t>
  </si>
  <si>
    <t>Operating</t>
  </si>
  <si>
    <t>Net</t>
  </si>
  <si>
    <t>Asset</t>
  </si>
  <si>
    <t>Inventory</t>
  </si>
  <si>
    <t>Quick</t>
  </si>
  <si>
    <t>Current</t>
  </si>
  <si>
    <t>Interest</t>
  </si>
  <si>
    <t>Margin</t>
  </si>
  <si>
    <t>ROA</t>
  </si>
  <si>
    <t>ROE</t>
  </si>
  <si>
    <t>Turnvover</t>
  </si>
  <si>
    <t>Debt/E</t>
  </si>
  <si>
    <t>LTD/TC</t>
  </si>
  <si>
    <t>Ratio</t>
  </si>
  <si>
    <t>Coverage</t>
  </si>
  <si>
    <t>United Parcel Service Inc</t>
  </si>
  <si>
    <t>J B Hunt Transport Services Inc</t>
  </si>
  <si>
    <t>GXO Logistics Inc</t>
  </si>
  <si>
    <t>CH Robinson Worldwide Inc</t>
  </si>
  <si>
    <t>FedEx Corp</t>
  </si>
  <si>
    <t>NULL</t>
  </si>
  <si>
    <t>“Amortization of lease liabilities modeled at $2.6 B in FY26 declining ~$0.1–0.2 B per year, consistent with the FedEx 10-K p. 92 lease-maturity table showing total cash lease payments of $3.1 B → $2.4 B (2026–2030) less implied interest of ~15 %).”</t>
  </si>
  <si>
    <t>“The difference between the undiscounted lease payments and the present value of the lease liabilities represents imputed interest.”</t>
  </si>
  <si>
    <t>“Lease obligations are expected to decline as existing facility, aircraft, and vehicle leases mature and as we maintain disciplined capital and lease commitments.”</t>
  </si>
  <si>
    <t>10-k foreword</t>
  </si>
  <si>
    <t>“We have entered into additional leases that have not yet commenced, with undiscounted future payments of approximately $1.1 billion expected to begin in calendar 2025–2026.”</t>
  </si>
  <si>
    <t>% of revenue</t>
  </si>
  <si>
    <t>Coupon rate</t>
  </si>
  <si>
    <t>Operating Expense</t>
  </si>
  <si>
    <t>Salaries &amp; Employee Benefits</t>
  </si>
  <si>
    <t>Rentals &amp; Landing Fees</t>
  </si>
  <si>
    <t>Depreciation &amp; Amortization</t>
  </si>
  <si>
    <t>Maintenance &amp; Repairs</t>
  </si>
  <si>
    <t>Asset Impairment Charges</t>
  </si>
  <si>
    <t>Business Optimization Costs</t>
  </si>
  <si>
    <t>Intercompany Allocations (Charges)</t>
  </si>
  <si>
    <t>Total Operating Expenses</t>
  </si>
  <si>
    <t>Goodwill / Asset Impairment Charges</t>
  </si>
  <si>
    <t>FedEx Express Segment</t>
  </si>
  <si>
    <t>FedEx Freight Segment</t>
  </si>
  <si>
    <t>Corporate, Other &amp; Eliminations</t>
  </si>
  <si>
    <t>CapEx Drivers</t>
  </si>
  <si>
    <t>$4.1 B (low point)</t>
  </si>
  <si>
    <t>“CapEx lowest in a decade (4.6 % of rev) – discipline while initiating Network 2.0”</t>
  </si>
  <si>
    <t>$4.5 B (+0.4 B y/y)</t>
  </si>
  <si>
    <t>“Peak year for modernization – facility &amp; IT upgrades offset aircraft cut”</t>
  </si>
  <si>
    <t>$4.4 B</t>
  </si>
  <si>
    <t>“Network 2.0 U.S. completion in progress – steady investment”</t>
  </si>
  <si>
    <t>“Optimization benefits emerge – CapEx intensity drops”</t>
  </si>
  <si>
    <t>“Sustaining maintenance CapEx”</t>
  </si>
  <si>
    <t>“Normalized CapEx ≈ 4.2 % of revenue – structurally leaner FedEx”</t>
  </si>
  <si>
    <t>$4.5 B</t>
  </si>
  <si>
    <t>$4.3 B</t>
  </si>
  <si>
    <t>new debt</t>
  </si>
  <si>
    <t>sales YOY</t>
  </si>
  <si>
    <t>At close oct 22, 2025</t>
  </si>
  <si>
    <t xml:space="preserve">sales </t>
  </si>
  <si>
    <t>*expecting continued operational efficiency, saving 1B from 2026</t>
  </si>
  <si>
    <t>*Maintained at 2025 level</t>
  </si>
  <si>
    <t>*normalsied over the years</t>
  </si>
  <si>
    <t>*maintained at 2025 levels as  no effect on landing fees</t>
  </si>
  <si>
    <t>*tapered to 4.7 as new equipment will decrease dep.</t>
  </si>
  <si>
    <t>*Kept at 2025 level</t>
  </si>
  <si>
    <t>Tapered to 3.4 expecting less reapirs because of new equipmwnt</t>
  </si>
  <si>
    <t>*maintaining same as 2025</t>
  </si>
  <si>
    <t>*expected to decrease by optimisation and balanced by wage inflation</t>
  </si>
  <si>
    <t>*expeccted to be low as new equipment is being introduced</t>
  </si>
  <si>
    <t>*similar or slightly higher than 2025 levels</t>
  </si>
  <si>
    <t>*Tapered down to 4.5 as expected to lower dep for newer vehicles</t>
  </si>
  <si>
    <t>*maintaine as same as 2025</t>
  </si>
  <si>
    <t>*Tapered to 3.5 expecting reduction in repairs</t>
  </si>
  <si>
    <t>*Maintained at same as 2025</t>
  </si>
  <si>
    <t>*Manitianed as same as 2025 levels</t>
  </si>
  <si>
    <t>DHLN.DE</t>
  </si>
  <si>
    <t>Total Valuation Appreciation</t>
  </si>
  <si>
    <t>US Ground -no of Packages</t>
  </si>
  <si>
    <t>International Export - no of Packages</t>
  </si>
  <si>
    <t>Salaries &amp; Employee Benefits-cogs</t>
  </si>
  <si>
    <t>Purchased Transportation-cogs</t>
  </si>
  <si>
    <t>*operating expense decrese by Network 2.0 , which has already been shown in Q1 2026.</t>
  </si>
  <si>
    <t>*expecting continued operational efficiency, saving 1B from 2026(management foreword)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</si>
</sst>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_ &quot;₹&quot;\ * #,##0.00_ ;_ &quot;₹&quot;\ * \-#,##0.00_ ;_ &quot;₹&quot;\ * &quot;-&quot;??_ ;_ @_ "/>
    <numFmt numFmtId="167" formatCode="0.00\x"/>
    <numFmt numFmtId="168" formatCode="_ * #,##0.00_ ;_ * \-#,##0.00_ ;_ * &quot;-&quot;??_ ;_ @_ "/>
    <numFmt numFmtId="169" formatCode="&quot;$&quot;#,##0"/>
    <numFmt numFmtId="170" formatCode="_(* #,##0.0_);_(* \(#,##0.0\);_(* &quot;-&quot;??_);_(@_)"/>
    <numFmt numFmtId="171" formatCode="&quot;$&quot;* #,##0_);&quot;$&quot;* \(#,##0\);&quot;$&quot;* #,##0_);_(@_)"/>
    <numFmt numFmtId="172" formatCode="&quot;&quot;* #,##0_);&quot;&quot;* \(#,##0\);&quot;&quot;* #,##0_);_(@_)"/>
    <numFmt numFmtId="173" formatCode="0.0"/>
    <numFmt numFmtId="174" formatCode="_(* #,##0_);_(* \(#,##0\);_(* &quot;-&quot;??_);_(@_)"/>
    <numFmt numFmtId="175" formatCode="0.0000"/>
    <numFmt numFmtId="176" formatCode="m/d/yy;@"/>
    <numFmt numFmtId="177" formatCode="0.0\x"/>
    <numFmt numFmtId="178" formatCode="0.000000000000000%"/>
    <numFmt numFmtId="179" formatCode="0.000%"/>
  </numFmts>
  <fonts count="7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sz val="10"/>
      <color theme="1"/>
      <name val="Helvetica"/>
      <family val="2"/>
    </font>
    <font>
      <b/>
      <sz val="10"/>
      <color theme="1"/>
      <name val="Helvetica"/>
      <family val="2"/>
    </font>
    <font>
      <sz val="10"/>
      <color theme="0"/>
      <name val="Helvetica"/>
      <family val="2"/>
    </font>
    <font>
      <sz val="10"/>
      <name val="Times New Roman"/>
      <family val="1"/>
    </font>
    <font>
      <sz val="10"/>
      <color rgb="FFFF0000"/>
      <name val="Helvetica"/>
      <family val="2"/>
    </font>
    <font>
      <b/>
      <sz val="10"/>
      <color theme="0"/>
      <name val="Helvetica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Garamond"/>
      <family val="1"/>
    </font>
    <font>
      <sz val="14"/>
      <color rgb="FF000000"/>
      <name val="Garamond"/>
      <family val="1"/>
    </font>
    <font>
      <b/>
      <sz val="14"/>
      <color rgb="FF000000"/>
      <name val="Garamond"/>
      <family val="1"/>
    </font>
    <font>
      <b/>
      <i/>
      <sz val="14"/>
      <color rgb="FF808080"/>
      <name val="Garamond"/>
      <family val="1"/>
    </font>
    <font>
      <b/>
      <sz val="14"/>
      <color rgb="FF000000"/>
      <name val="Calibri"/>
      <family val="2"/>
    </font>
    <font>
      <sz val="14"/>
      <color rgb="FF0000FF"/>
      <name val="Calibri"/>
      <family val="2"/>
    </font>
    <font>
      <sz val="14"/>
      <color rgb="FF000000"/>
      <name val="Calibri"/>
      <family val="2"/>
    </font>
    <font>
      <sz val="14"/>
      <color rgb="FF0432FF"/>
      <name val="Garamond"/>
      <family val="1"/>
    </font>
    <font>
      <b/>
      <u/>
      <sz val="14"/>
      <color rgb="FF000000"/>
      <name val="Garamond"/>
      <family val="1"/>
    </font>
    <font>
      <i/>
      <sz val="8"/>
      <name val="Helvetica"/>
      <family val="2"/>
    </font>
    <font>
      <b/>
      <sz val="10"/>
      <color rgb="FF0000FF"/>
      <name val="Helvetica"/>
      <family val="2"/>
    </font>
    <font>
      <sz val="10"/>
      <color theme="0" tint="-0.249977111117893"/>
      <name val="Helvetica"/>
      <family val="2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rgb="FF0000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 (Body)"/>
    </font>
    <font>
      <sz val="11"/>
      <color rgb="FFFFFFFF"/>
      <name val="Calibri"/>
      <family val="2"/>
    </font>
    <font>
      <sz val="11"/>
      <color rgb="FF3366FF"/>
      <name val="Calibri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rgb="FF0000FF"/>
      <name val="Calibri"/>
      <family val="2"/>
    </font>
    <font>
      <vertAlign val="subscript"/>
      <sz val="11"/>
      <name val="Calibri (Body)"/>
    </font>
    <font>
      <vertAlign val="subscript"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vertAlign val="subscript"/>
      <sz val="11"/>
      <color rgb="FF000000"/>
      <name val="Calibri (Body)"/>
    </font>
    <font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Helvetica"/>
    </font>
    <font>
      <b/>
      <sz val="16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u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0"/>
      <name val="Helvetica"/>
    </font>
    <font>
      <b/>
      <sz val="11"/>
      <color rgb="FF4D148C"/>
      <name val="Calibri"/>
      <family val="2"/>
    </font>
    <font>
      <sz val="11"/>
      <color rgb="FF4D148C"/>
      <name val="Calibri"/>
      <family val="2"/>
    </font>
    <font>
      <b/>
      <sz val="12"/>
      <color rgb="FFFF6200"/>
      <name val="Helvetica"/>
    </font>
    <font>
      <i/>
      <sz val="11"/>
      <color theme="1"/>
      <name val="Aptos Narrow"/>
      <family val="2"/>
      <scheme val="minor"/>
    </font>
    <font>
      <sz val="10"/>
      <color rgb="FFFFFFFF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F9B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D148C"/>
        <bgColor indexed="64"/>
      </patternFill>
    </fill>
    <fill>
      <patternFill patternType="solid">
        <fgColor rgb="FF4D148C"/>
        <bgColor rgb="FF000000"/>
      </patternFill>
    </fill>
    <fill>
      <patternFill patternType="solid">
        <fgColor rgb="FFFF620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10" fillId="0" borderId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47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0" xfId="1" applyFont="1"/>
    <xf numFmtId="0" fontId="5" fillId="0" borderId="0" xfId="1" applyFont="1"/>
    <xf numFmtId="2" fontId="5" fillId="0" borderId="2" xfId="2" applyNumberFormat="1" applyFont="1" applyBorder="1" applyAlignment="1">
      <alignment horizontal="center"/>
    </xf>
    <xf numFmtId="2" fontId="5" fillId="2" borderId="3" xfId="2" applyNumberFormat="1" applyFont="1" applyFill="1" applyBorder="1" applyAlignment="1">
      <alignment horizontal="center"/>
    </xf>
    <xf numFmtId="2" fontId="5" fillId="2" borderId="4" xfId="2" applyNumberFormat="1" applyFont="1" applyFill="1" applyBorder="1" applyAlignment="1">
      <alignment horizontal="center"/>
    </xf>
    <xf numFmtId="2" fontId="5" fillId="0" borderId="3" xfId="2" applyNumberFormat="1" applyFont="1" applyBorder="1" applyAlignment="1">
      <alignment horizontal="center"/>
    </xf>
    <xf numFmtId="2" fontId="5" fillId="0" borderId="4" xfId="2" applyNumberFormat="1" applyFont="1" applyBorder="1" applyAlignment="1">
      <alignment horizontal="center"/>
    </xf>
    <xf numFmtId="2" fontId="5" fillId="0" borderId="5" xfId="2" applyNumberFormat="1" applyFont="1" applyBorder="1" applyAlignment="1">
      <alignment horizontal="center"/>
    </xf>
    <xf numFmtId="2" fontId="5" fillId="2" borderId="5" xfId="2" applyNumberFormat="1" applyFont="1" applyFill="1" applyBorder="1" applyAlignment="1">
      <alignment horizontal="center"/>
    </xf>
    <xf numFmtId="164" fontId="5" fillId="0" borderId="3" xfId="2" applyNumberFormat="1" applyFont="1" applyBorder="1" applyAlignment="1">
      <alignment horizontal="center"/>
    </xf>
    <xf numFmtId="164" fontId="5" fillId="0" borderId="5" xfId="2" applyNumberFormat="1" applyFont="1" applyBorder="1" applyAlignment="1">
      <alignment horizontal="center"/>
    </xf>
    <xf numFmtId="164" fontId="5" fillId="0" borderId="4" xfId="2" applyNumberFormat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2" xfId="1" applyFont="1" applyBorder="1"/>
    <xf numFmtId="2" fontId="5" fillId="0" borderId="6" xfId="2" applyNumberFormat="1" applyFont="1" applyBorder="1" applyAlignment="1">
      <alignment horizontal="center"/>
    </xf>
    <xf numFmtId="2" fontId="5" fillId="2" borderId="7" xfId="2" applyNumberFormat="1" applyFont="1" applyFill="1" applyBorder="1" applyAlignment="1">
      <alignment horizontal="center"/>
    </xf>
    <xf numFmtId="2" fontId="5" fillId="2" borderId="8" xfId="2" applyNumberFormat="1" applyFont="1" applyFill="1" applyBorder="1" applyAlignment="1">
      <alignment horizontal="center"/>
    </xf>
    <xf numFmtId="2" fontId="5" fillId="0" borderId="7" xfId="2" applyNumberFormat="1" applyFont="1" applyBorder="1" applyAlignment="1">
      <alignment horizontal="center"/>
    </xf>
    <xf numFmtId="2" fontId="5" fillId="0" borderId="8" xfId="2" applyNumberFormat="1" applyFont="1" applyBorder="1" applyAlignment="1">
      <alignment horizontal="center"/>
    </xf>
    <xf numFmtId="2" fontId="5" fillId="0" borderId="0" xfId="2" applyNumberFormat="1" applyFont="1" applyAlignment="1">
      <alignment horizontal="center"/>
    </xf>
    <xf numFmtId="2" fontId="5" fillId="2" borderId="0" xfId="2" applyNumberFormat="1" applyFont="1" applyFill="1" applyAlignment="1">
      <alignment horizontal="center"/>
    </xf>
    <xf numFmtId="164" fontId="5" fillId="0" borderId="7" xfId="2" applyNumberFormat="1" applyFont="1" applyBorder="1" applyAlignment="1">
      <alignment horizontal="center"/>
    </xf>
    <xf numFmtId="164" fontId="5" fillId="0" borderId="0" xfId="2" applyNumberFormat="1" applyFont="1" applyAlignment="1">
      <alignment horizontal="center"/>
    </xf>
    <xf numFmtId="164" fontId="5" fillId="0" borderId="8" xfId="2" applyNumberFormat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6" xfId="1" applyFont="1" applyBorder="1"/>
    <xf numFmtId="165" fontId="5" fillId="0" borderId="0" xfId="1" applyNumberFormat="1" applyFont="1"/>
    <xf numFmtId="2" fontId="5" fillId="0" borderId="1" xfId="2" applyNumberFormat="1" applyFont="1" applyBorder="1" applyAlignment="1">
      <alignment horizontal="center"/>
    </xf>
    <xf numFmtId="2" fontId="5" fillId="2" borderId="1" xfId="2" applyNumberFormat="1" applyFont="1" applyFill="1" applyBorder="1" applyAlignment="1">
      <alignment horizontal="center"/>
    </xf>
    <xf numFmtId="2" fontId="5" fillId="0" borderId="9" xfId="2" applyNumberFormat="1" applyFont="1" applyBorder="1" applyAlignment="1">
      <alignment horizontal="center"/>
    </xf>
    <xf numFmtId="164" fontId="5" fillId="0" borderId="1" xfId="2" applyNumberFormat="1" applyFont="1" applyBorder="1" applyAlignment="1">
      <alignment horizontal="center"/>
    </xf>
    <xf numFmtId="164" fontId="5" fillId="0" borderId="9" xfId="2" applyNumberFormat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5" fillId="0" borderId="15" xfId="1" applyFont="1" applyBorder="1"/>
    <xf numFmtId="0" fontId="7" fillId="0" borderId="0" xfId="1" applyFont="1"/>
    <xf numFmtId="0" fontId="7" fillId="3" borderId="0" xfId="1" applyFont="1" applyFill="1"/>
    <xf numFmtId="0" fontId="4" fillId="3" borderId="0" xfId="1" applyFont="1" applyFill="1"/>
    <xf numFmtId="0" fontId="8" fillId="3" borderId="0" xfId="1" applyFont="1" applyFill="1"/>
    <xf numFmtId="0" fontId="8" fillId="3" borderId="0" xfId="1" applyFont="1" applyFill="1" applyAlignment="1">
      <alignment horizontal="center"/>
    </xf>
    <xf numFmtId="0" fontId="9" fillId="0" borderId="0" xfId="1" applyFont="1"/>
    <xf numFmtId="0" fontId="9" fillId="0" borderId="0" xfId="3" applyFont="1" applyProtection="1">
      <protection locked="0"/>
    </xf>
    <xf numFmtId="165" fontId="11" fillId="0" borderId="0" xfId="3" applyNumberFormat="1" applyFont="1" applyProtection="1">
      <protection locked="0"/>
    </xf>
    <xf numFmtId="0" fontId="9" fillId="0" borderId="0" xfId="1" applyFont="1" applyAlignment="1">
      <alignment horizontal="center"/>
    </xf>
    <xf numFmtId="166" fontId="7" fillId="0" borderId="10" xfId="4" applyFont="1" applyBorder="1" applyAlignment="1">
      <alignment horizontal="center"/>
    </xf>
    <xf numFmtId="166" fontId="7" fillId="0" borderId="12" xfId="4" applyFont="1" applyBorder="1" applyAlignment="1">
      <alignment horizontal="center"/>
    </xf>
    <xf numFmtId="166" fontId="7" fillId="0" borderId="11" xfId="4" applyFont="1" applyBorder="1" applyAlignment="1">
      <alignment horizontal="center"/>
    </xf>
    <xf numFmtId="0" fontId="12" fillId="4" borderId="0" xfId="1" applyFont="1" applyFill="1"/>
    <xf numFmtId="0" fontId="7" fillId="0" borderId="0" xfId="1" applyFont="1" applyAlignment="1">
      <alignment horizontal="center"/>
    </xf>
    <xf numFmtId="166" fontId="7" fillId="0" borderId="14" xfId="4" applyFont="1" applyBorder="1" applyAlignment="1">
      <alignment horizontal="center"/>
    </xf>
    <xf numFmtId="166" fontId="7" fillId="0" borderId="1" xfId="4" applyFont="1" applyBorder="1" applyAlignment="1">
      <alignment horizontal="center"/>
    </xf>
    <xf numFmtId="166" fontId="7" fillId="0" borderId="9" xfId="4" applyFont="1" applyBorder="1" applyAlignment="1">
      <alignment horizontal="center"/>
    </xf>
    <xf numFmtId="167" fontId="7" fillId="0" borderId="10" xfId="1" applyNumberFormat="1" applyFont="1" applyBorder="1" applyAlignment="1">
      <alignment horizontal="center"/>
    </xf>
    <xf numFmtId="167" fontId="7" fillId="0" borderId="12" xfId="1" applyNumberFormat="1" applyFont="1" applyBorder="1" applyAlignment="1">
      <alignment horizontal="center"/>
    </xf>
    <xf numFmtId="167" fontId="7" fillId="0" borderId="11" xfId="1" applyNumberFormat="1" applyFont="1" applyBorder="1" applyAlignment="1">
      <alignment horizontal="center"/>
    </xf>
    <xf numFmtId="167" fontId="7" fillId="0" borderId="10" xfId="5" applyNumberFormat="1" applyFont="1" applyBorder="1" applyAlignment="1">
      <alignment horizontal="center"/>
    </xf>
    <xf numFmtId="167" fontId="7" fillId="0" borderId="12" xfId="5" applyNumberFormat="1" applyFont="1" applyBorder="1" applyAlignment="1">
      <alignment horizontal="center"/>
    </xf>
    <xf numFmtId="167" fontId="7" fillId="0" borderId="11" xfId="5" applyNumberFormat="1" applyFont="1" applyBorder="1" applyAlignment="1">
      <alignment horizontal="center"/>
    </xf>
    <xf numFmtId="167" fontId="7" fillId="0" borderId="14" xfId="1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67" fontId="7" fillId="0" borderId="9" xfId="1" applyNumberFormat="1" applyFont="1" applyBorder="1" applyAlignment="1">
      <alignment horizontal="center"/>
    </xf>
    <xf numFmtId="167" fontId="7" fillId="0" borderId="14" xfId="5" applyNumberFormat="1" applyFont="1" applyBorder="1" applyAlignment="1">
      <alignment horizontal="center"/>
    </xf>
    <xf numFmtId="167" fontId="7" fillId="0" borderId="1" xfId="5" applyNumberFormat="1" applyFont="1" applyBorder="1" applyAlignment="1">
      <alignment horizontal="center"/>
    </xf>
    <xf numFmtId="167" fontId="7" fillId="0" borderId="9" xfId="5" applyNumberFormat="1" applyFont="1" applyBorder="1" applyAlignment="1">
      <alignment horizontal="center"/>
    </xf>
    <xf numFmtId="167" fontId="7" fillId="0" borderId="3" xfId="1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67" fontId="7" fillId="0" borderId="4" xfId="1" applyNumberFormat="1" applyFont="1" applyBorder="1" applyAlignment="1">
      <alignment horizontal="center"/>
    </xf>
    <xf numFmtId="167" fontId="7" fillId="0" borderId="3" xfId="5" applyNumberFormat="1" applyFont="1" applyBorder="1" applyAlignment="1">
      <alignment horizontal="center"/>
    </xf>
    <xf numFmtId="167" fontId="7" fillId="0" borderId="5" xfId="5" applyNumberFormat="1" applyFont="1" applyBorder="1" applyAlignment="1">
      <alignment horizontal="center"/>
    </xf>
    <xf numFmtId="167" fontId="7" fillId="0" borderId="4" xfId="5" applyNumberFormat="1" applyFont="1" applyBorder="1" applyAlignment="1">
      <alignment horizontal="center"/>
    </xf>
    <xf numFmtId="165" fontId="7" fillId="0" borderId="2" xfId="1" applyNumberFormat="1" applyFont="1" applyBorder="1" applyAlignment="1">
      <alignment horizontal="center"/>
    </xf>
    <xf numFmtId="0" fontId="7" fillId="0" borderId="2" xfId="1" applyFont="1" applyBorder="1"/>
    <xf numFmtId="167" fontId="7" fillId="0" borderId="7" xfId="1" applyNumberFormat="1" applyFont="1" applyBorder="1" applyAlignment="1">
      <alignment horizontal="center"/>
    </xf>
    <xf numFmtId="167" fontId="7" fillId="0" borderId="0" xfId="1" applyNumberFormat="1" applyFont="1" applyAlignment="1">
      <alignment horizontal="center"/>
    </xf>
    <xf numFmtId="167" fontId="7" fillId="0" borderId="8" xfId="1" applyNumberFormat="1" applyFont="1" applyBorder="1" applyAlignment="1">
      <alignment horizontal="center"/>
    </xf>
    <xf numFmtId="167" fontId="7" fillId="0" borderId="7" xfId="5" applyNumberFormat="1" applyFont="1" applyBorder="1" applyAlignment="1">
      <alignment horizontal="center"/>
    </xf>
    <xf numFmtId="167" fontId="7" fillId="0" borderId="0" xfId="5" applyNumberFormat="1" applyFont="1" applyAlignment="1">
      <alignment horizontal="center"/>
    </xf>
    <xf numFmtId="167" fontId="7" fillId="0" borderId="8" xfId="5" applyNumberFormat="1" applyFont="1" applyBorder="1" applyAlignment="1">
      <alignment horizontal="center"/>
    </xf>
    <xf numFmtId="165" fontId="7" fillId="0" borderId="6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6" xfId="1" applyFont="1" applyBorder="1"/>
    <xf numFmtId="0" fontId="8" fillId="0" borderId="3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3" fontId="7" fillId="0" borderId="14" xfId="1" applyNumberFormat="1" applyFont="1" applyBorder="1" applyAlignment="1">
      <alignment horizontal="centerContinuous"/>
    </xf>
    <xf numFmtId="3" fontId="7" fillId="0" borderId="1" xfId="1" applyNumberFormat="1" applyFont="1" applyBorder="1" applyAlignment="1">
      <alignment horizontal="centerContinuous"/>
    </xf>
    <xf numFmtId="0" fontId="8" fillId="0" borderId="4" xfId="1" applyFont="1" applyBorder="1" applyAlignment="1">
      <alignment horizontal="centerContinuous"/>
    </xf>
    <xf numFmtId="0" fontId="8" fillId="0" borderId="15" xfId="1" applyFont="1" applyBorder="1" applyAlignment="1">
      <alignment horizontal="center"/>
    </xf>
    <xf numFmtId="0" fontId="7" fillId="0" borderId="15" xfId="1" applyFont="1" applyBorder="1"/>
    <xf numFmtId="164" fontId="5" fillId="0" borderId="2" xfId="2" applyNumberFormat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165" fontId="7" fillId="0" borderId="5" xfId="1" applyNumberFormat="1" applyFont="1" applyBorder="1" applyAlignment="1">
      <alignment horizontal="center"/>
    </xf>
    <xf numFmtId="165" fontId="7" fillId="0" borderId="4" xfId="1" applyNumberFormat="1" applyFont="1" applyBorder="1" applyAlignment="1">
      <alignment horizontal="center"/>
    </xf>
    <xf numFmtId="3" fontId="7" fillId="0" borderId="3" xfId="1" applyNumberFormat="1" applyFont="1" applyBorder="1" applyAlignment="1">
      <alignment horizontal="center"/>
    </xf>
    <xf numFmtId="3" fontId="7" fillId="0" borderId="5" xfId="1" applyNumberFormat="1" applyFont="1" applyBorder="1" applyAlignment="1">
      <alignment horizontal="center"/>
    </xf>
    <xf numFmtId="3" fontId="7" fillId="0" borderId="4" xfId="1" applyNumberFormat="1" applyFont="1" applyBorder="1" applyAlignment="1">
      <alignment horizontal="center"/>
    </xf>
    <xf numFmtId="0" fontId="7" fillId="0" borderId="0" xfId="1" quotePrefix="1" applyFont="1"/>
    <xf numFmtId="164" fontId="5" fillId="0" borderId="15" xfId="2" applyNumberFormat="1" applyFont="1" applyBorder="1" applyAlignment="1">
      <alignment horizontal="center"/>
    </xf>
    <xf numFmtId="165" fontId="7" fillId="0" borderId="0" xfId="1" applyNumberFormat="1" applyFont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165" fontId="7" fillId="0" borderId="7" xfId="1" applyNumberFormat="1" applyFont="1" applyBorder="1" applyAlignment="1">
      <alignment horizontal="center"/>
    </xf>
    <xf numFmtId="169" fontId="7" fillId="0" borderId="7" xfId="1" applyNumberFormat="1" applyFont="1" applyBorder="1" applyAlignment="1">
      <alignment horizontal="center"/>
    </xf>
    <xf numFmtId="169" fontId="7" fillId="0" borderId="0" xfId="1" applyNumberFormat="1" applyFont="1" applyAlignment="1">
      <alignment horizontal="center"/>
    </xf>
    <xf numFmtId="169" fontId="7" fillId="0" borderId="8" xfId="1" applyNumberFormat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169" fontId="7" fillId="0" borderId="14" xfId="1" applyNumberFormat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3" xfId="1" applyFont="1" applyBorder="1" applyAlignment="1">
      <alignment horizontal="centerContinuous"/>
    </xf>
    <xf numFmtId="0" fontId="8" fillId="0" borderId="5" xfId="1" applyFont="1" applyBorder="1" applyAlignment="1">
      <alignment horizontal="centerContinuous"/>
    </xf>
    <xf numFmtId="0" fontId="7" fillId="0" borderId="15" xfId="1" applyFont="1" applyBorder="1" applyAlignment="1">
      <alignment horizontal="center"/>
    </xf>
    <xf numFmtId="10" fontId="5" fillId="0" borderId="0" xfId="2" applyNumberFormat="1" applyFont="1"/>
    <xf numFmtId="8" fontId="5" fillId="0" borderId="2" xfId="5" applyNumberFormat="1" applyFont="1" applyBorder="1"/>
    <xf numFmtId="4" fontId="5" fillId="0" borderId="2" xfId="1" applyNumberFormat="1" applyFont="1" applyBorder="1"/>
    <xf numFmtId="169" fontId="5" fillId="0" borderId="5" xfId="5" applyNumberFormat="1" applyFont="1" applyBorder="1"/>
    <xf numFmtId="170" fontId="7" fillId="0" borderId="5" xfId="5" applyNumberFormat="1" applyFont="1" applyBorder="1"/>
    <xf numFmtId="165" fontId="5" fillId="0" borderId="5" xfId="1" applyNumberFormat="1" applyFont="1" applyBorder="1"/>
    <xf numFmtId="165" fontId="5" fillId="0" borderId="4" xfId="1" applyNumberFormat="1" applyFont="1" applyBorder="1"/>
    <xf numFmtId="0" fontId="5" fillId="5" borderId="2" xfId="1" applyFont="1" applyFill="1" applyBorder="1" applyAlignment="1">
      <alignment horizontal="center"/>
    </xf>
    <xf numFmtId="8" fontId="5" fillId="0" borderId="6" xfId="5" applyNumberFormat="1" applyFont="1" applyBorder="1"/>
    <xf numFmtId="4" fontId="5" fillId="0" borderId="6" xfId="1" applyNumberFormat="1" applyFont="1" applyBorder="1"/>
    <xf numFmtId="169" fontId="5" fillId="0" borderId="0" xfId="5" applyNumberFormat="1" applyFont="1"/>
    <xf numFmtId="170" fontId="7" fillId="0" borderId="0" xfId="5" applyNumberFormat="1" applyFont="1"/>
    <xf numFmtId="165" fontId="5" fillId="0" borderId="8" xfId="1" applyNumberFormat="1" applyFont="1" applyBorder="1"/>
    <xf numFmtId="0" fontId="5" fillId="5" borderId="6" xfId="1" quotePrefix="1" applyFont="1" applyFill="1" applyBorder="1" applyAlignment="1">
      <alignment horizontal="center"/>
    </xf>
    <xf numFmtId="0" fontId="7" fillId="6" borderId="16" xfId="1" applyFont="1" applyFill="1" applyBorder="1" applyAlignment="1">
      <alignment horizontal="center"/>
    </xf>
    <xf numFmtId="8" fontId="5" fillId="0" borderId="15" xfId="5" applyNumberFormat="1" applyFont="1" applyBorder="1"/>
    <xf numFmtId="4" fontId="5" fillId="0" borderId="15" xfId="1" applyNumberFormat="1" applyFont="1" applyBorder="1"/>
    <xf numFmtId="169" fontId="5" fillId="0" borderId="1" xfId="5" applyNumberFormat="1" applyFont="1" applyBorder="1"/>
    <xf numFmtId="165" fontId="5" fillId="0" borderId="1" xfId="1" applyNumberFormat="1" applyFont="1" applyBorder="1"/>
    <xf numFmtId="165" fontId="5" fillId="0" borderId="9" xfId="1" applyNumberFormat="1" applyFont="1" applyBorder="1"/>
    <xf numFmtId="0" fontId="8" fillId="0" borderId="10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7" fillId="3" borderId="0" xfId="1" applyFont="1" applyFill="1" applyAlignment="1">
      <alignment horizontal="center"/>
    </xf>
    <xf numFmtId="0" fontId="9" fillId="4" borderId="0" xfId="1" applyFont="1" applyFill="1"/>
    <xf numFmtId="0" fontId="9" fillId="4" borderId="0" xfId="1" applyFont="1" applyFill="1" applyAlignment="1">
      <alignment horizontal="center"/>
    </xf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37" fontId="13" fillId="0" borderId="0" xfId="0" applyNumberFormat="1" applyFont="1" applyAlignment="1">
      <alignment vertical="top"/>
    </xf>
    <xf numFmtId="9" fontId="0" fillId="0" borderId="0" xfId="7" applyFon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1" xfId="0" applyNumberFormat="1" applyBorder="1"/>
    <xf numFmtId="1" fontId="13" fillId="0" borderId="0" xfId="0" applyNumberFormat="1" applyFont="1" applyAlignment="1">
      <alignment vertical="top"/>
    </xf>
    <xf numFmtId="1" fontId="2" fillId="0" borderId="0" xfId="0" applyNumberFormat="1" applyFont="1"/>
    <xf numFmtId="10" fontId="0" fillId="0" borderId="0" xfId="7" applyNumberFormat="1" applyFont="1"/>
    <xf numFmtId="0" fontId="0" fillId="0" borderId="8" xfId="0" applyBorder="1"/>
    <xf numFmtId="0" fontId="2" fillId="0" borderId="8" xfId="0" applyFont="1" applyBorder="1"/>
    <xf numFmtId="0" fontId="0" fillId="7" borderId="0" xfId="0" applyFill="1"/>
    <xf numFmtId="0" fontId="0" fillId="7" borderId="1" xfId="0" applyFill="1" applyBorder="1"/>
    <xf numFmtId="9" fontId="0" fillId="7" borderId="0" xfId="7" applyFont="1" applyFill="1"/>
    <xf numFmtId="0" fontId="0" fillId="0" borderId="0" xfId="7" applyNumberFormat="1" applyFont="1"/>
    <xf numFmtId="0" fontId="0" fillId="0" borderId="0" xfId="0" applyAlignment="1">
      <alignment horizontal="left" vertical="center" indent="1"/>
    </xf>
    <xf numFmtId="3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0" fillId="0" borderId="0" xfId="7" applyNumberFormat="1" applyFont="1"/>
    <xf numFmtId="164" fontId="0" fillId="0" borderId="0" xfId="0" applyNumberFormat="1"/>
    <xf numFmtId="0" fontId="0" fillId="0" borderId="7" xfId="0" applyBorder="1"/>
    <xf numFmtId="0" fontId="15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3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74" fontId="15" fillId="0" borderId="0" xfId="8" applyNumberFormat="1" applyFont="1"/>
    <xf numFmtId="1" fontId="15" fillId="0" borderId="0" xfId="0" applyNumberFormat="1" applyFont="1"/>
    <xf numFmtId="9" fontId="0" fillId="0" borderId="0" xfId="7" applyFont="1" applyAlignment="1">
      <alignment vertical="center" wrapText="1"/>
    </xf>
    <xf numFmtId="0" fontId="18" fillId="0" borderId="0" xfId="0" applyFont="1"/>
    <xf numFmtId="0" fontId="17" fillId="0" borderId="0" xfId="0" applyFont="1"/>
    <xf numFmtId="174" fontId="0" fillId="0" borderId="0" xfId="0" applyNumberFormat="1"/>
    <xf numFmtId="1" fontId="17" fillId="0" borderId="0" xfId="0" applyNumberFormat="1" applyFont="1"/>
    <xf numFmtId="1" fontId="2" fillId="0" borderId="4" xfId="0" applyNumberFormat="1" applyFont="1" applyBorder="1"/>
    <xf numFmtId="0" fontId="19" fillId="0" borderId="0" xfId="0" applyFont="1"/>
    <xf numFmtId="0" fontId="21" fillId="0" borderId="0" xfId="0" applyFont="1" applyAlignment="1">
      <alignment wrapText="1"/>
    </xf>
    <xf numFmtId="0" fontId="21" fillId="0" borderId="0" xfId="0" applyFont="1"/>
    <xf numFmtId="0" fontId="22" fillId="9" borderId="0" xfId="0" applyFont="1" applyFill="1" applyAlignment="1">
      <alignment wrapText="1"/>
    </xf>
    <xf numFmtId="0" fontId="23" fillId="10" borderId="0" xfId="0" applyFont="1" applyFill="1"/>
    <xf numFmtId="0" fontId="24" fillId="0" borderId="0" xfId="0" applyFont="1"/>
    <xf numFmtId="14" fontId="25" fillId="11" borderId="21" xfId="0" applyNumberFormat="1" applyFont="1" applyFill="1" applyBorder="1"/>
    <xf numFmtId="0" fontId="26" fillId="0" borderId="0" xfId="0" applyFont="1"/>
    <xf numFmtId="0" fontId="22" fillId="0" borderId="0" xfId="0" applyFont="1" applyAlignment="1">
      <alignment wrapText="1"/>
    </xf>
    <xf numFmtId="0" fontId="21" fillId="12" borderId="22" xfId="0" applyFont="1" applyFill="1" applyBorder="1"/>
    <xf numFmtId="8" fontId="27" fillId="12" borderId="23" xfId="0" applyNumberFormat="1" applyFont="1" applyFill="1" applyBorder="1"/>
    <xf numFmtId="0" fontId="21" fillId="13" borderId="24" xfId="0" applyFont="1" applyFill="1" applyBorder="1"/>
    <xf numFmtId="2" fontId="21" fillId="13" borderId="25" xfId="0" applyNumberFormat="1" applyFont="1" applyFill="1" applyBorder="1"/>
    <xf numFmtId="0" fontId="28" fillId="14" borderId="0" xfId="0" applyFont="1" applyFill="1" applyAlignment="1">
      <alignment wrapText="1"/>
    </xf>
    <xf numFmtId="0" fontId="21" fillId="9" borderId="0" xfId="0" applyFont="1" applyFill="1"/>
    <xf numFmtId="0" fontId="21" fillId="15" borderId="24" xfId="0" applyFont="1" applyFill="1" applyBorder="1"/>
    <xf numFmtId="10" fontId="21" fillId="15" borderId="25" xfId="0" applyNumberFormat="1" applyFont="1" applyFill="1" applyBorder="1"/>
    <xf numFmtId="0" fontId="21" fillId="15" borderId="26" xfId="0" applyFont="1" applyFill="1" applyBorder="1"/>
    <xf numFmtId="10" fontId="21" fillId="15" borderId="27" xfId="0" applyNumberFormat="1" applyFont="1" applyFill="1" applyBorder="1"/>
    <xf numFmtId="0" fontId="6" fillId="0" borderId="0" xfId="9" applyFont="1"/>
    <xf numFmtId="0" fontId="5" fillId="0" borderId="0" xfId="9" applyFont="1"/>
    <xf numFmtId="0" fontId="6" fillId="0" borderId="22" xfId="9" applyFont="1" applyBorder="1"/>
    <xf numFmtId="10" fontId="6" fillId="0" borderId="30" xfId="9" applyNumberFormat="1" applyFont="1" applyBorder="1"/>
    <xf numFmtId="10" fontId="6" fillId="0" borderId="23" xfId="9" applyNumberFormat="1" applyFont="1" applyBorder="1"/>
    <xf numFmtId="14" fontId="5" fillId="0" borderId="0" xfId="9" applyNumberFormat="1" applyFont="1"/>
    <xf numFmtId="3" fontId="7" fillId="0" borderId="0" xfId="9" applyNumberFormat="1" applyFont="1"/>
    <xf numFmtId="0" fontId="5" fillId="0" borderId="24" xfId="9" applyFont="1" applyBorder="1"/>
    <xf numFmtId="14" fontId="5" fillId="0" borderId="25" xfId="9" applyNumberFormat="1" applyFont="1" applyBorder="1" applyAlignment="1">
      <alignment horizontal="right"/>
    </xf>
    <xf numFmtId="3" fontId="5" fillId="0" borderId="0" xfId="9" applyNumberFormat="1" applyFont="1"/>
    <xf numFmtId="0" fontId="5" fillId="0" borderId="25" xfId="9" applyFont="1" applyBorder="1"/>
    <xf numFmtId="4" fontId="0" fillId="0" borderId="0" xfId="1" applyNumberFormat="1" applyFont="1"/>
    <xf numFmtId="0" fontId="29" fillId="0" borderId="25" xfId="9" applyFont="1" applyBorder="1"/>
    <xf numFmtId="165" fontId="30" fillId="0" borderId="0" xfId="9" applyNumberFormat="1" applyFont="1"/>
    <xf numFmtId="0" fontId="5" fillId="0" borderId="22" xfId="9" applyFont="1" applyBorder="1"/>
    <xf numFmtId="0" fontId="5" fillId="0" borderId="30" xfId="9" applyFont="1" applyBorder="1"/>
    <xf numFmtId="10" fontId="5" fillId="0" borderId="23" xfId="9" applyNumberFormat="1" applyFont="1" applyBorder="1"/>
    <xf numFmtId="0" fontId="5" fillId="0" borderId="26" xfId="9" applyFont="1" applyBorder="1"/>
    <xf numFmtId="0" fontId="5" fillId="0" borderId="27" xfId="9" applyFont="1" applyBorder="1"/>
    <xf numFmtId="0" fontId="5" fillId="0" borderId="31" xfId="9" applyFont="1" applyBorder="1"/>
    <xf numFmtId="10" fontId="5" fillId="0" borderId="27" xfId="10" applyNumberFormat="1" applyFont="1" applyBorder="1"/>
    <xf numFmtId="2" fontId="6" fillId="0" borderId="0" xfId="9" applyNumberFormat="1" applyFont="1"/>
    <xf numFmtId="0" fontId="6" fillId="0" borderId="0" xfId="9" applyFont="1" applyAlignment="1">
      <alignment horizontal="centerContinuous"/>
    </xf>
    <xf numFmtId="176" fontId="6" fillId="0" borderId="12" xfId="9" applyNumberFormat="1" applyFont="1" applyBorder="1"/>
    <xf numFmtId="2" fontId="5" fillId="0" borderId="0" xfId="9" applyNumberFormat="1" applyFont="1"/>
    <xf numFmtId="0" fontId="6" fillId="0" borderId="12" xfId="9" applyFont="1" applyBorder="1"/>
    <xf numFmtId="0" fontId="5" fillId="0" borderId="12" xfId="9" applyFont="1" applyBorder="1"/>
    <xf numFmtId="37" fontId="5" fillId="0" borderId="12" xfId="9" applyNumberFormat="1" applyFont="1" applyBorder="1"/>
    <xf numFmtId="37" fontId="5" fillId="0" borderId="0" xfId="9" applyNumberFormat="1" applyFont="1"/>
    <xf numFmtId="0" fontId="31" fillId="0" borderId="0" xfId="9" applyFont="1"/>
    <xf numFmtId="9" fontId="5" fillId="0" borderId="0" xfId="2" applyFont="1"/>
    <xf numFmtId="164" fontId="6" fillId="0" borderId="0" xfId="9" applyNumberFormat="1" applyFont="1"/>
    <xf numFmtId="177" fontId="5" fillId="0" borderId="0" xfId="9" applyNumberFormat="1" applyFont="1"/>
    <xf numFmtId="4" fontId="5" fillId="0" borderId="0" xfId="9" applyNumberFormat="1" applyFont="1"/>
    <xf numFmtId="3" fontId="5" fillId="0" borderId="12" xfId="9" applyNumberFormat="1" applyFont="1" applyBorder="1"/>
    <xf numFmtId="0" fontId="6" fillId="0" borderId="33" xfId="9" applyFont="1" applyBorder="1"/>
    <xf numFmtId="2" fontId="6" fillId="0" borderId="33" xfId="9" applyNumberFormat="1" applyFont="1" applyBorder="1"/>
    <xf numFmtId="0" fontId="5" fillId="0" borderId="0" xfId="9" applyFont="1" applyAlignment="1">
      <alignment horizontal="centerContinuous"/>
    </xf>
    <xf numFmtId="165" fontId="32" fillId="0" borderId="0" xfId="9" applyNumberFormat="1" applyFont="1" applyAlignment="1">
      <alignment horizontal="right" vertical="center"/>
    </xf>
    <xf numFmtId="10" fontId="33" fillId="0" borderId="0" xfId="9" applyNumberFormat="1" applyFont="1" applyAlignment="1">
      <alignment horizontal="center"/>
    </xf>
    <xf numFmtId="164" fontId="34" fillId="0" borderId="0" xfId="9" applyNumberFormat="1" applyFont="1" applyAlignment="1">
      <alignment horizontal="center"/>
    </xf>
    <xf numFmtId="164" fontId="33" fillId="0" borderId="0" xfId="9" applyNumberFormat="1" applyFont="1" applyAlignment="1">
      <alignment horizontal="right" vertical="center"/>
    </xf>
    <xf numFmtId="165" fontId="33" fillId="0" borderId="34" xfId="9" applyNumberFormat="1" applyFont="1" applyBorder="1" applyAlignment="1">
      <alignment horizontal="center"/>
    </xf>
    <xf numFmtId="165" fontId="33" fillId="0" borderId="35" xfId="9" applyNumberFormat="1" applyFont="1" applyBorder="1" applyAlignment="1">
      <alignment horizontal="center"/>
    </xf>
    <xf numFmtId="165" fontId="33" fillId="2" borderId="35" xfId="9" applyNumberFormat="1" applyFont="1" applyFill="1" applyBorder="1" applyAlignment="1">
      <alignment horizontal="center"/>
    </xf>
    <xf numFmtId="165" fontId="33" fillId="0" borderId="36" xfId="9" applyNumberFormat="1" applyFont="1" applyBorder="1" applyAlignment="1">
      <alignment horizontal="center"/>
    </xf>
    <xf numFmtId="165" fontId="33" fillId="0" borderId="37" xfId="9" applyNumberFormat="1" applyFont="1" applyBorder="1" applyAlignment="1">
      <alignment horizontal="center"/>
    </xf>
    <xf numFmtId="165" fontId="33" fillId="0" borderId="0" xfId="9" applyNumberFormat="1" applyFont="1" applyAlignment="1">
      <alignment horizontal="center"/>
    </xf>
    <xf numFmtId="165" fontId="33" fillId="2" borderId="0" xfId="9" applyNumberFormat="1" applyFont="1" applyFill="1" applyAlignment="1">
      <alignment horizontal="center"/>
    </xf>
    <xf numFmtId="165" fontId="33" fillId="0" borderId="38" xfId="9" applyNumberFormat="1" applyFont="1" applyBorder="1" applyAlignment="1">
      <alignment horizontal="center"/>
    </xf>
    <xf numFmtId="164" fontId="34" fillId="0" borderId="0" xfId="9" applyNumberFormat="1" applyFont="1" applyAlignment="1">
      <alignment horizontal="right" vertical="center"/>
    </xf>
    <xf numFmtId="165" fontId="33" fillId="2" borderId="37" xfId="9" applyNumberFormat="1" applyFont="1" applyFill="1" applyBorder="1" applyAlignment="1">
      <alignment horizontal="center" vertical="center"/>
    </xf>
    <xf numFmtId="165" fontId="33" fillId="2" borderId="0" xfId="9" applyNumberFormat="1" applyFont="1" applyFill="1" applyAlignment="1">
      <alignment horizontal="center" vertical="center"/>
    </xf>
    <xf numFmtId="165" fontId="33" fillId="2" borderId="38" xfId="9" applyNumberFormat="1" applyFont="1" applyFill="1" applyBorder="1" applyAlignment="1">
      <alignment horizontal="center" vertical="center"/>
    </xf>
    <xf numFmtId="165" fontId="33" fillId="0" borderId="39" xfId="9" applyNumberFormat="1" applyFont="1" applyBorder="1" applyAlignment="1">
      <alignment horizontal="center"/>
    </xf>
    <xf numFmtId="165" fontId="33" fillId="0" borderId="40" xfId="9" applyNumberFormat="1" applyFont="1" applyBorder="1" applyAlignment="1">
      <alignment horizontal="center"/>
    </xf>
    <xf numFmtId="165" fontId="33" fillId="2" borderId="40" xfId="9" applyNumberFormat="1" applyFont="1" applyFill="1" applyBorder="1" applyAlignment="1">
      <alignment horizontal="center"/>
    </xf>
    <xf numFmtId="165" fontId="33" fillId="0" borderId="41" xfId="9" applyNumberFormat="1" applyFont="1" applyBorder="1" applyAlignment="1">
      <alignment horizontal="center"/>
    </xf>
    <xf numFmtId="10" fontId="5" fillId="0" borderId="0" xfId="9" applyNumberFormat="1" applyFont="1"/>
    <xf numFmtId="4" fontId="5" fillId="0" borderId="0" xfId="9" applyNumberFormat="1" applyFont="1" applyAlignment="1">
      <alignment horizontal="center"/>
    </xf>
    <xf numFmtId="4" fontId="6" fillId="0" borderId="33" xfId="9" applyNumberFormat="1" applyFont="1" applyBorder="1"/>
    <xf numFmtId="4" fontId="6" fillId="0" borderId="0" xfId="9" applyNumberFormat="1" applyFont="1"/>
    <xf numFmtId="0" fontId="5" fillId="0" borderId="0" xfId="9" applyFont="1" applyAlignment="1">
      <alignment horizontal="centerContinuous" vertical="center"/>
    </xf>
    <xf numFmtId="10" fontId="34" fillId="0" borderId="0" xfId="9" applyNumberFormat="1" applyFont="1" applyAlignment="1">
      <alignment horizontal="right" vertical="center"/>
    </xf>
    <xf numFmtId="43" fontId="0" fillId="0" borderId="0" xfId="8" applyFont="1"/>
    <xf numFmtId="0" fontId="38" fillId="0" borderId="0" xfId="1" applyFont="1"/>
    <xf numFmtId="0" fontId="38" fillId="0" borderId="0" xfId="1" applyFont="1" applyAlignment="1">
      <alignment wrapText="1"/>
    </xf>
    <xf numFmtId="0" fontId="39" fillId="0" borderId="0" xfId="1" applyFont="1"/>
    <xf numFmtId="0" fontId="39" fillId="0" borderId="0" xfId="1" applyFont="1" applyAlignment="1">
      <alignment wrapText="1"/>
    </xf>
    <xf numFmtId="0" fontId="0" fillId="0" borderId="0" xfId="1" applyFont="1"/>
    <xf numFmtId="0" fontId="40" fillId="0" borderId="0" xfId="1" applyFont="1" applyAlignment="1">
      <alignment wrapText="1"/>
    </xf>
    <xf numFmtId="0" fontId="41" fillId="0" borderId="0" xfId="1" applyFont="1"/>
    <xf numFmtId="0" fontId="38" fillId="0" borderId="24" xfId="1" applyFont="1" applyBorder="1"/>
    <xf numFmtId="0" fontId="37" fillId="9" borderId="0" xfId="1" applyFont="1" applyFill="1"/>
    <xf numFmtId="0" fontId="44" fillId="0" borderId="0" xfId="1" applyFont="1"/>
    <xf numFmtId="0" fontId="14" fillId="0" borderId="25" xfId="11" applyBorder="1"/>
    <xf numFmtId="0" fontId="38" fillId="0" borderId="6" xfId="1" applyFont="1" applyBorder="1" applyAlignment="1">
      <alignment wrapText="1"/>
    </xf>
    <xf numFmtId="10" fontId="37" fillId="5" borderId="0" xfId="1" applyNumberFormat="1" applyFont="1" applyFill="1"/>
    <xf numFmtId="0" fontId="41" fillId="0" borderId="25" xfId="1" applyFont="1" applyBorder="1"/>
    <xf numFmtId="10" fontId="37" fillId="9" borderId="0" xfId="1" applyNumberFormat="1" applyFont="1" applyFill="1"/>
    <xf numFmtId="0" fontId="45" fillId="0" borderId="0" xfId="1" applyFont="1"/>
    <xf numFmtId="10" fontId="39" fillId="0" borderId="0" xfId="1" applyNumberFormat="1" applyFont="1"/>
    <xf numFmtId="0" fontId="38" fillId="0" borderId="25" xfId="1" applyFont="1" applyBorder="1"/>
    <xf numFmtId="0" fontId="39" fillId="0" borderId="24" xfId="1" applyFont="1" applyBorder="1"/>
    <xf numFmtId="8" fontId="37" fillId="9" borderId="0" xfId="1" applyNumberFormat="1" applyFont="1" applyFill="1"/>
    <xf numFmtId="14" fontId="38" fillId="0" borderId="6" xfId="1" applyNumberFormat="1" applyFont="1" applyBorder="1" applyAlignment="1">
      <alignment wrapText="1"/>
    </xf>
    <xf numFmtId="175" fontId="39" fillId="0" borderId="0" xfId="1" applyNumberFormat="1" applyFont="1"/>
    <xf numFmtId="0" fontId="38" fillId="0" borderId="12" xfId="1" applyFont="1" applyBorder="1"/>
    <xf numFmtId="175" fontId="37" fillId="0" borderId="0" xfId="1" applyNumberFormat="1" applyFont="1"/>
    <xf numFmtId="0" fontId="46" fillId="0" borderId="0" xfId="1" applyFont="1"/>
    <xf numFmtId="0" fontId="44" fillId="0" borderId="25" xfId="1" applyFont="1" applyBorder="1"/>
    <xf numFmtId="10" fontId="38" fillId="0" borderId="0" xfId="1" applyNumberFormat="1" applyFont="1"/>
    <xf numFmtId="10" fontId="47" fillId="0" borderId="0" xfId="1" applyNumberFormat="1" applyFont="1"/>
    <xf numFmtId="0" fontId="38" fillId="0" borderId="26" xfId="1" applyFont="1" applyBorder="1"/>
    <xf numFmtId="0" fontId="39" fillId="0" borderId="31" xfId="1" applyFont="1" applyBorder="1" applyAlignment="1">
      <alignment wrapText="1"/>
    </xf>
    <xf numFmtId="10" fontId="39" fillId="0" borderId="31" xfId="1" applyNumberFormat="1" applyFont="1" applyBorder="1"/>
    <xf numFmtId="0" fontId="38" fillId="0" borderId="31" xfId="1" applyFont="1" applyBorder="1"/>
    <xf numFmtId="0" fontId="38" fillId="0" borderId="27" xfId="1" applyFont="1" applyBorder="1"/>
    <xf numFmtId="0" fontId="38" fillId="0" borderId="13" xfId="1" applyFont="1" applyBorder="1" applyAlignment="1">
      <alignment wrapText="1"/>
    </xf>
    <xf numFmtId="174" fontId="15" fillId="8" borderId="0" xfId="8" applyNumberFormat="1" applyFont="1" applyFill="1"/>
    <xf numFmtId="0" fontId="54" fillId="0" borderId="0" xfId="1" applyFont="1"/>
    <xf numFmtId="0" fontId="38" fillId="16" borderId="0" xfId="1" applyFont="1" applyFill="1" applyAlignment="1">
      <alignment wrapText="1"/>
    </xf>
    <xf numFmtId="10" fontId="54" fillId="0" borderId="0" xfId="1" applyNumberFormat="1" applyFont="1"/>
    <xf numFmtId="10" fontId="7" fillId="0" borderId="0" xfId="1" applyNumberFormat="1" applyFont="1"/>
    <xf numFmtId="170" fontId="0" fillId="0" borderId="0" xfId="8" applyNumberFormat="1" applyFont="1"/>
    <xf numFmtId="174" fontId="0" fillId="0" borderId="0" xfId="8" applyNumberFormat="1" applyFont="1"/>
    <xf numFmtId="0" fontId="0" fillId="17" borderId="0" xfId="0" applyFill="1"/>
    <xf numFmtId="0" fontId="12" fillId="17" borderId="0" xfId="9" applyFont="1" applyFill="1" applyAlignment="1">
      <alignment horizontal="centerContinuous"/>
    </xf>
    <xf numFmtId="0" fontId="42" fillId="18" borderId="0" xfId="1" applyFont="1" applyFill="1" applyAlignment="1">
      <alignment wrapText="1"/>
    </xf>
    <xf numFmtId="0" fontId="43" fillId="17" borderId="6" xfId="1" applyFont="1" applyFill="1" applyBorder="1" applyAlignment="1">
      <alignment wrapText="1"/>
    </xf>
    <xf numFmtId="0" fontId="55" fillId="17" borderId="0" xfId="0" applyFont="1" applyFill="1"/>
    <xf numFmtId="0" fontId="56" fillId="17" borderId="0" xfId="0" applyFont="1" applyFill="1"/>
    <xf numFmtId="0" fontId="55" fillId="17" borderId="0" xfId="0" applyFont="1" applyFill="1" applyAlignment="1">
      <alignment horizontal="center"/>
    </xf>
    <xf numFmtId="0" fontId="55" fillId="17" borderId="0" xfId="0" applyFont="1" applyFill="1" applyAlignment="1">
      <alignment horizontal="center" vertical="center"/>
    </xf>
    <xf numFmtId="0" fontId="55" fillId="17" borderId="9" xfId="0" applyFont="1" applyFill="1" applyBorder="1" applyAlignment="1">
      <alignment horizontal="center" vertical="center" wrapText="1"/>
    </xf>
    <xf numFmtId="0" fontId="55" fillId="17" borderId="1" xfId="0" applyFont="1" applyFill="1" applyBorder="1" applyAlignment="1">
      <alignment vertical="center" wrapText="1"/>
    </xf>
    <xf numFmtId="0" fontId="55" fillId="17" borderId="14" xfId="0" applyFont="1" applyFill="1" applyBorder="1" applyAlignment="1">
      <alignment vertical="center" wrapText="1"/>
    </xf>
    <xf numFmtId="0" fontId="55" fillId="17" borderId="8" xfId="0" applyFont="1" applyFill="1" applyBorder="1" applyAlignment="1">
      <alignment horizontal="center" vertical="center" wrapText="1"/>
    </xf>
    <xf numFmtId="0" fontId="55" fillId="17" borderId="0" xfId="0" applyFont="1" applyFill="1" applyAlignment="1">
      <alignment vertical="center" wrapText="1"/>
    </xf>
    <xf numFmtId="0" fontId="55" fillId="17" borderId="7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5" fillId="17" borderId="0" xfId="0" applyFont="1" applyFill="1" applyAlignment="1">
      <alignment horizontal="center" vertical="center" wrapText="1"/>
    </xf>
    <xf numFmtId="0" fontId="57" fillId="17" borderId="0" xfId="1" applyFont="1" applyFill="1"/>
    <xf numFmtId="0" fontId="57" fillId="17" borderId="0" xfId="1" applyFont="1" applyFill="1" applyAlignment="1">
      <alignment horizontal="center"/>
    </xf>
    <xf numFmtId="0" fontId="12" fillId="17" borderId="0" xfId="1" applyFont="1" applyFill="1"/>
    <xf numFmtId="0" fontId="2" fillId="19" borderId="1" xfId="0" applyFont="1" applyFill="1" applyBorder="1"/>
    <xf numFmtId="1" fontId="2" fillId="19" borderId="0" xfId="0" applyNumberFormat="1" applyFont="1" applyFill="1"/>
    <xf numFmtId="1" fontId="2" fillId="19" borderId="1" xfId="0" applyNumberFormat="1" applyFont="1" applyFill="1" applyBorder="1"/>
    <xf numFmtId="0" fontId="0" fillId="19" borderId="0" xfId="0" applyFill="1"/>
    <xf numFmtId="0" fontId="2" fillId="19" borderId="0" xfId="0" applyFont="1" applyFill="1"/>
    <xf numFmtId="0" fontId="2" fillId="19" borderId="8" xfId="0" applyFont="1" applyFill="1" applyBorder="1" applyAlignment="1">
      <alignment horizontal="center" vertical="center" wrapText="1"/>
    </xf>
    <xf numFmtId="3" fontId="2" fillId="19" borderId="0" xfId="0" applyNumberFormat="1" applyFont="1" applyFill="1" applyAlignment="1">
      <alignment vertical="center" wrapText="1"/>
    </xf>
    <xf numFmtId="3" fontId="2" fillId="19" borderId="7" xfId="0" applyNumberFormat="1" applyFont="1" applyFill="1" applyBorder="1" applyAlignment="1">
      <alignment vertical="center" wrapText="1"/>
    </xf>
    <xf numFmtId="3" fontId="2" fillId="19" borderId="12" xfId="0" applyNumberFormat="1" applyFont="1" applyFill="1" applyBorder="1" applyAlignment="1">
      <alignment vertical="center" wrapText="1"/>
    </xf>
    <xf numFmtId="3" fontId="2" fillId="19" borderId="10" xfId="0" applyNumberFormat="1" applyFont="1" applyFill="1" applyBorder="1" applyAlignment="1">
      <alignment vertical="center" wrapText="1"/>
    </xf>
    <xf numFmtId="0" fontId="0" fillId="19" borderId="11" xfId="0" applyFill="1" applyBorder="1" applyAlignment="1">
      <alignment horizontal="center" vertical="center" wrapText="1"/>
    </xf>
    <xf numFmtId="0" fontId="0" fillId="19" borderId="8" xfId="0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16" fillId="19" borderId="0" xfId="0" applyFont="1" applyFill="1"/>
    <xf numFmtId="174" fontId="16" fillId="19" borderId="0" xfId="8" applyNumberFormat="1" applyFont="1" applyFill="1"/>
    <xf numFmtId="0" fontId="59" fillId="0" borderId="0" xfId="0" applyFont="1"/>
    <xf numFmtId="0" fontId="60" fillId="17" borderId="0" xfId="0" applyFont="1" applyFill="1"/>
    <xf numFmtId="0" fontId="54" fillId="0" borderId="0" xfId="0" applyFont="1" applyAlignment="1">
      <alignment horizontal="left" wrapText="1"/>
    </xf>
    <xf numFmtId="0" fontId="61" fillId="0" borderId="0" xfId="0" applyFont="1" applyAlignment="1">
      <alignment horizontal="left" wrapText="1"/>
    </xf>
    <xf numFmtId="0" fontId="62" fillId="19" borderId="0" xfId="0" applyFont="1" applyFill="1" applyAlignment="1">
      <alignment horizontal="left" wrapText="1" indent="2"/>
    </xf>
    <xf numFmtId="0" fontId="54" fillId="0" borderId="0" xfId="0" applyFont="1" applyAlignment="1">
      <alignment horizontal="left" wrapText="1" indent="2"/>
    </xf>
    <xf numFmtId="0" fontId="63" fillId="0" borderId="0" xfId="0" applyFont="1" applyAlignment="1">
      <alignment horizontal="center"/>
    </xf>
    <xf numFmtId="0" fontId="60" fillId="17" borderId="17" xfId="0" applyFont="1" applyFill="1" applyBorder="1" applyAlignment="1">
      <alignment horizontal="center" wrapText="1"/>
    </xf>
    <xf numFmtId="0" fontId="60" fillId="17" borderId="0" xfId="0" applyFont="1" applyFill="1" applyAlignment="1">
      <alignment horizontal="center" wrapText="1"/>
    </xf>
    <xf numFmtId="0" fontId="61" fillId="0" borderId="18" xfId="0" applyFont="1" applyBorder="1" applyAlignment="1">
      <alignment horizontal="center" wrapText="1"/>
    </xf>
    <xf numFmtId="171" fontId="54" fillId="0" borderId="0" xfId="0" applyNumberFormat="1" applyFont="1" applyAlignment="1">
      <alignment wrapText="1"/>
    </xf>
    <xf numFmtId="172" fontId="54" fillId="0" borderId="0" xfId="0" applyNumberFormat="1" applyFont="1" applyAlignment="1">
      <alignment wrapText="1"/>
    </xf>
    <xf numFmtId="172" fontId="54" fillId="0" borderId="17" xfId="0" applyNumberFormat="1" applyFont="1" applyBorder="1" applyAlignment="1">
      <alignment wrapText="1"/>
    </xf>
    <xf numFmtId="171" fontId="62" fillId="19" borderId="19" xfId="0" applyNumberFormat="1" applyFont="1" applyFill="1" applyBorder="1" applyAlignment="1">
      <alignment wrapText="1"/>
    </xf>
    <xf numFmtId="171" fontId="64" fillId="19" borderId="0" xfId="0" applyNumberFormat="1" applyFont="1" applyFill="1"/>
    <xf numFmtId="0" fontId="54" fillId="0" borderId="20" xfId="0" applyFont="1" applyBorder="1" applyAlignment="1">
      <alignment horizontal="center" wrapText="1"/>
    </xf>
    <xf numFmtId="171" fontId="54" fillId="0" borderId="19" xfId="0" applyNumberFormat="1" applyFont="1" applyBorder="1" applyAlignment="1">
      <alignment wrapText="1"/>
    </xf>
    <xf numFmtId="0" fontId="55" fillId="17" borderId="1" xfId="0" applyFont="1" applyFill="1" applyBorder="1"/>
    <xf numFmtId="2" fontId="0" fillId="0" borderId="0" xfId="0" applyNumberFormat="1" applyAlignment="1">
      <alignment vertical="center" wrapText="1"/>
    </xf>
    <xf numFmtId="173" fontId="0" fillId="0" borderId="0" xfId="0" applyNumberFormat="1" applyAlignment="1">
      <alignment vertical="center" wrapText="1"/>
    </xf>
    <xf numFmtId="173" fontId="0" fillId="0" borderId="7" xfId="0" applyNumberFormat="1" applyBorder="1" applyAlignment="1">
      <alignment vertical="center" wrapText="1"/>
    </xf>
    <xf numFmtId="0" fontId="17" fillId="0" borderId="8" xfId="0" applyFont="1" applyBorder="1" applyAlignment="1">
      <alignment horizontal="right" vertical="center" wrapText="1"/>
    </xf>
    <xf numFmtId="2" fontId="0" fillId="0" borderId="7" xfId="0" applyNumberFormat="1" applyBorder="1" applyAlignment="1">
      <alignment vertical="center" wrapText="1"/>
    </xf>
    <xf numFmtId="9" fontId="0" fillId="0" borderId="0" xfId="7" applyFont="1" applyBorder="1"/>
    <xf numFmtId="9" fontId="0" fillId="0" borderId="0" xfId="0" applyNumberFormat="1" applyAlignment="1">
      <alignment vertical="center" wrapText="1"/>
    </xf>
    <xf numFmtId="9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horizontal="right" vertical="center" wrapText="1"/>
    </xf>
    <xf numFmtId="2" fontId="0" fillId="0" borderId="0" xfId="0" applyNumberFormat="1"/>
    <xf numFmtId="2" fontId="0" fillId="0" borderId="7" xfId="0" applyNumberFormat="1" applyBorder="1"/>
    <xf numFmtId="173" fontId="0" fillId="0" borderId="0" xfId="0" applyNumberFormat="1"/>
    <xf numFmtId="173" fontId="0" fillId="0" borderId="7" xfId="0" applyNumberFormat="1" applyBorder="1"/>
    <xf numFmtId="0" fontId="0" fillId="0" borderId="12" xfId="0" applyBorder="1"/>
    <xf numFmtId="2" fontId="0" fillId="0" borderId="12" xfId="0" applyNumberFormat="1" applyBorder="1"/>
    <xf numFmtId="2" fontId="0" fillId="0" borderId="10" xfId="0" applyNumberFormat="1" applyBorder="1"/>
    <xf numFmtId="0" fontId="12" fillId="17" borderId="22" xfId="9" applyFont="1" applyFill="1" applyBorder="1" applyAlignment="1">
      <alignment horizontal="centerContinuous"/>
    </xf>
    <xf numFmtId="0" fontId="12" fillId="17" borderId="30" xfId="9" applyFont="1" applyFill="1" applyBorder="1" applyAlignment="1">
      <alignment horizontal="centerContinuous"/>
    </xf>
    <xf numFmtId="0" fontId="12" fillId="17" borderId="23" xfId="9" applyFont="1" applyFill="1" applyBorder="1" applyAlignment="1">
      <alignment horizontal="centerContinuous"/>
    </xf>
    <xf numFmtId="165" fontId="12" fillId="19" borderId="0" xfId="9" applyNumberFormat="1" applyFont="1" applyFill="1" applyAlignment="1">
      <alignment horizontal="centerContinuous"/>
    </xf>
    <xf numFmtId="165" fontId="35" fillId="19" borderId="22" xfId="9" applyNumberFormat="1" applyFont="1" applyFill="1" applyBorder="1" applyAlignment="1">
      <alignment horizontal="center" vertical="center"/>
    </xf>
    <xf numFmtId="165" fontId="35" fillId="19" borderId="30" xfId="9" applyNumberFormat="1" applyFont="1" applyFill="1" applyBorder="1" applyAlignment="1">
      <alignment horizontal="center" vertical="center"/>
    </xf>
    <xf numFmtId="165" fontId="35" fillId="19" borderId="23" xfId="9" applyNumberFormat="1" applyFont="1" applyFill="1" applyBorder="1" applyAlignment="1">
      <alignment horizontal="center" vertical="center"/>
    </xf>
    <xf numFmtId="165" fontId="35" fillId="19" borderId="24" xfId="9" applyNumberFormat="1" applyFont="1" applyFill="1" applyBorder="1" applyAlignment="1">
      <alignment horizontal="center" vertical="center"/>
    </xf>
    <xf numFmtId="165" fontId="36" fillId="19" borderId="32" xfId="9" applyNumberFormat="1" applyFont="1" applyFill="1" applyBorder="1" applyAlignment="1">
      <alignment horizontal="center" vertical="center"/>
    </xf>
    <xf numFmtId="165" fontId="35" fillId="19" borderId="25" xfId="9" applyNumberFormat="1" applyFont="1" applyFill="1" applyBorder="1" applyAlignment="1">
      <alignment horizontal="center" vertical="center"/>
    </xf>
    <xf numFmtId="165" fontId="35" fillId="19" borderId="26" xfId="9" applyNumberFormat="1" applyFont="1" applyFill="1" applyBorder="1" applyAlignment="1">
      <alignment horizontal="center" vertical="center"/>
    </xf>
    <xf numFmtId="165" fontId="35" fillId="19" borderId="31" xfId="9" applyNumberFormat="1" applyFont="1" applyFill="1" applyBorder="1" applyAlignment="1">
      <alignment horizontal="center" vertical="center"/>
    </xf>
    <xf numFmtId="165" fontId="35" fillId="19" borderId="27" xfId="9" applyNumberFormat="1" applyFont="1" applyFill="1" applyBorder="1" applyAlignment="1">
      <alignment horizontal="center" vertical="center"/>
    </xf>
    <xf numFmtId="0" fontId="65" fillId="0" borderId="0" xfId="9" applyFont="1" applyAlignment="1">
      <alignment horizontal="center"/>
    </xf>
    <xf numFmtId="0" fontId="65" fillId="0" borderId="0" xfId="9" applyFont="1" applyAlignment="1">
      <alignment horizontal="centerContinuous" vertical="center"/>
    </xf>
    <xf numFmtId="0" fontId="66" fillId="0" borderId="0" xfId="1" applyFont="1"/>
    <xf numFmtId="0" fontId="66" fillId="0" borderId="0" xfId="1" applyFont="1" applyAlignment="1">
      <alignment wrapText="1"/>
    </xf>
    <xf numFmtId="0" fontId="67" fillId="0" borderId="0" xfId="1" applyFont="1"/>
    <xf numFmtId="1" fontId="18" fillId="0" borderId="0" xfId="0" applyNumberFormat="1" applyFont="1"/>
    <xf numFmtId="174" fontId="15" fillId="8" borderId="0" xfId="8" applyNumberFormat="1" applyFont="1" applyFill="1" applyBorder="1"/>
    <xf numFmtId="0" fontId="2" fillId="0" borderId="12" xfId="0" applyFont="1" applyBorder="1"/>
    <xf numFmtId="0" fontId="15" fillId="0" borderId="12" xfId="0" applyFont="1" applyBorder="1"/>
    <xf numFmtId="174" fontId="15" fillId="8" borderId="12" xfId="8" applyNumberFormat="1" applyFont="1" applyFill="1" applyBorder="1"/>
    <xf numFmtId="0" fontId="41" fillId="0" borderId="9" xfId="1" applyFont="1" applyBorder="1"/>
    <xf numFmtId="0" fontId="41" fillId="0" borderId="1" xfId="1" applyFont="1" applyBorder="1"/>
    <xf numFmtId="0" fontId="41" fillId="0" borderId="14" xfId="1" applyFont="1" applyBorder="1"/>
    <xf numFmtId="0" fontId="41" fillId="0" borderId="8" xfId="1" applyFont="1" applyBorder="1"/>
    <xf numFmtId="0" fontId="51" fillId="0" borderId="0" xfId="1" applyFont="1"/>
    <xf numFmtId="0" fontId="52" fillId="0" borderId="0" xfId="1" applyFont="1"/>
    <xf numFmtId="0" fontId="52" fillId="0" borderId="7" xfId="1" applyFont="1" applyBorder="1"/>
    <xf numFmtId="10" fontId="41" fillId="0" borderId="0" xfId="1" applyNumberFormat="1" applyFont="1"/>
    <xf numFmtId="0" fontId="41" fillId="0" borderId="7" xfId="1" applyFont="1" applyBorder="1"/>
    <xf numFmtId="9" fontId="41" fillId="0" borderId="0" xfId="1" applyNumberFormat="1" applyFont="1"/>
    <xf numFmtId="0" fontId="41" fillId="0" borderId="11" xfId="1" applyFont="1" applyBorder="1"/>
    <xf numFmtId="10" fontId="41" fillId="0" borderId="12" xfId="1" applyNumberFormat="1" applyFont="1" applyBorder="1"/>
    <xf numFmtId="0" fontId="41" fillId="0" borderId="12" xfId="1" applyFont="1" applyBorder="1"/>
    <xf numFmtId="0" fontId="41" fillId="0" borderId="10" xfId="1" applyFont="1" applyBorder="1"/>
    <xf numFmtId="0" fontId="41" fillId="0" borderId="8" xfId="1" applyFont="1" applyBorder="1" applyAlignment="1">
      <alignment wrapText="1"/>
    </xf>
    <xf numFmtId="0" fontId="5" fillId="0" borderId="8" xfId="1" quotePrefix="1" applyFont="1" applyBorder="1" applyAlignment="1">
      <alignment horizontal="center"/>
    </xf>
    <xf numFmtId="0" fontId="20" fillId="18" borderId="0" xfId="0" applyFont="1" applyFill="1" applyAlignment="1">
      <alignment wrapText="1"/>
    </xf>
    <xf numFmtId="0" fontId="20" fillId="18" borderId="0" xfId="0" applyFont="1" applyFill="1"/>
    <xf numFmtId="0" fontId="68" fillId="0" borderId="0" xfId="9" applyFont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/>
    <xf numFmtId="164" fontId="0" fillId="3" borderId="0" xfId="7" applyNumberFormat="1" applyFont="1" applyFill="1"/>
    <xf numFmtId="164" fontId="0" fillId="3" borderId="0" xfId="0" applyNumberFormat="1" applyFill="1"/>
    <xf numFmtId="10" fontId="6" fillId="0" borderId="32" xfId="9" applyNumberFormat="1" applyFont="1" applyBorder="1"/>
    <xf numFmtId="164" fontId="0" fillId="0" borderId="0" xfId="6" applyNumberFormat="1" applyFont="1"/>
    <xf numFmtId="164" fontId="0" fillId="7" borderId="0" xfId="7" applyNumberFormat="1" applyFont="1" applyFill="1"/>
    <xf numFmtId="0" fontId="0" fillId="0" borderId="8" xfId="0" applyBorder="1" applyAlignment="1">
      <alignment horizontal="left" vertical="center" indent="1"/>
    </xf>
    <xf numFmtId="0" fontId="69" fillId="0" borderId="0" xfId="0" applyFont="1"/>
    <xf numFmtId="0" fontId="70" fillId="0" borderId="0" xfId="0" applyFont="1"/>
    <xf numFmtId="0" fontId="64" fillId="0" borderId="0" xfId="0" applyFont="1"/>
    <xf numFmtId="0" fontId="0" fillId="0" borderId="0" xfId="0" applyAlignment="1">
      <alignment horizontal="center"/>
    </xf>
    <xf numFmtId="1" fontId="0" fillId="19" borderId="0" xfId="0" applyNumberFormat="1" applyFill="1"/>
    <xf numFmtId="9" fontId="0" fillId="0" borderId="0" xfId="7" applyFont="1" applyAlignment="1">
      <alignment horizontal="right" vertical="center" wrapText="1"/>
    </xf>
    <xf numFmtId="10" fontId="0" fillId="0" borderId="0" xfId="7" applyNumberFormat="1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" fontId="2" fillId="0" borderId="0" xfId="0" applyNumberFormat="1" applyFont="1" applyAlignment="1">
      <alignment horizontal="right" vertical="center" wrapText="1"/>
    </xf>
    <xf numFmtId="0" fontId="55" fillId="17" borderId="0" xfId="0" applyFont="1" applyFill="1" applyAlignment="1">
      <alignment horizontal="right" vertical="center" wrapText="1"/>
    </xf>
    <xf numFmtId="0" fontId="2" fillId="19" borderId="0" xfId="0" applyFont="1" applyFill="1" applyAlignment="1">
      <alignment vertical="center" wrapText="1"/>
    </xf>
    <xf numFmtId="3" fontId="2" fillId="19" borderId="0" xfId="0" applyNumberFormat="1" applyFont="1" applyFill="1" applyAlignment="1">
      <alignment horizontal="right" vertical="center" wrapText="1"/>
    </xf>
    <xf numFmtId="164" fontId="0" fillId="0" borderId="0" xfId="7" applyNumberFormat="1" applyFont="1" applyAlignment="1">
      <alignment horizontal="right" vertical="center" wrapText="1"/>
    </xf>
    <xf numFmtId="178" fontId="0" fillId="0" borderId="0" xfId="0" applyNumberFormat="1"/>
    <xf numFmtId="179" fontId="0" fillId="0" borderId="0" xfId="7" applyNumberFormat="1" applyFont="1" applyAlignment="1">
      <alignment horizontal="right" vertical="center" wrapText="1"/>
    </xf>
    <xf numFmtId="0" fontId="41" fillId="0" borderId="12" xfId="7" applyNumberFormat="1" applyFont="1" applyBorder="1"/>
    <xf numFmtId="0" fontId="6" fillId="0" borderId="28" xfId="9" applyFont="1" applyBorder="1" applyAlignment="1">
      <alignment horizontal="center"/>
    </xf>
    <xf numFmtId="0" fontId="6" fillId="0" borderId="29" xfId="9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58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1" fillId="15" borderId="42" xfId="0" applyFont="1" applyFill="1" applyBorder="1"/>
    <xf numFmtId="10" fontId="21" fillId="15" borderId="43" xfId="0" applyNumberFormat="1" applyFont="1" applyFill="1" applyBorder="1"/>
  </cellXfs>
  <cellStyles count="12">
    <cellStyle name="Comma" xfId="8" builtinId="3"/>
    <cellStyle name="Comma 2" xfId="5" xr:uid="{52A5F8EF-BA51-47D7-8422-21B1B1A341A1}"/>
    <cellStyle name="Currency" xfId="6" builtinId="4"/>
    <cellStyle name="Currency 2" xfId="4" xr:uid="{A83B4AA2-ECD0-42B4-BBBB-FFEA63680058}"/>
    <cellStyle name="Hyperlink 2" xfId="11" xr:uid="{430E05EC-A50E-4F26-A5C8-5A7ADEF7B610}"/>
    <cellStyle name="Normal" xfId="0" builtinId="0"/>
    <cellStyle name="Normal 2" xfId="1" xr:uid="{9E68EE20-3387-4E04-8272-929C796DA10A}"/>
    <cellStyle name="Normal 3" xfId="9" xr:uid="{101A7800-C3EA-4E60-A3B8-D3957B5460DD}"/>
    <cellStyle name="Normal_PiranhaWeb Comps Model 3" xfId="3" xr:uid="{050BA016-46AB-46E3-AEF1-101D7BD15D44}"/>
    <cellStyle name="Percent" xfId="7" builtinId="5"/>
    <cellStyle name="Percent 2" xfId="10" xr:uid="{0F5781FE-0013-4900-B923-6BB42FF1088C}"/>
    <cellStyle name="Percent 3" xfId="2" xr:uid="{300F21E3-3B58-43EF-8B56-C2642F228018}"/>
  </cellStyles>
  <dxfs count="4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D148C"/>
      <color rgb="FFFF6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>
        <v>1.2317889516</v>
        <stp/>
        <stp>31</stp>
        <stp>339263609</stp>
        <tr r="H41" s="6"/>
      </tp>
      <tp>
        <v>103373082821.09</v>
        <stp/>
        <stp>21</stp>
        <stp>339263609</stp>
        <tr r="F17" s="6"/>
      </tp>
      <tp>
        <v>1.1003062724155599</v>
        <stp/>
        <stp>11</stp>
        <stp>339263609</stp>
        <tr r="K8" s="6"/>
      </tp>
      <tp>
        <v>14.4</v>
        <stp/>
        <stp>30</stp>
        <stp>339263609</stp>
        <tr r="G41" s="6"/>
      </tp>
      <tp>
        <v>6940472605.5994997</v>
        <stp/>
        <stp>20</stp>
        <stp>339263609</stp>
        <tr r="L17" s="6"/>
      </tp>
      <tp>
        <v>50.583110861317998</v>
        <stp/>
        <stp>10</stp>
        <stp>339263609</stp>
        <tr r="L8" s="6"/>
      </tp>
      <tp>
        <v>51.418289999999999</v>
        <stp/>
        <stp>33</stp>
        <stp>339263609</stp>
        <tr r="C41" s="6"/>
      </tp>
      <tp>
        <v>13111967026.9769</v>
        <stp/>
        <stp>23</stp>
        <stp>339263609</stp>
        <tr r="P17" s="6"/>
      </tp>
      <tp>
        <v>12534163102.224501</v>
        <stp/>
        <stp>13</stp>
        <stp>339263609</stp>
        <tr r="O17" s="6"/>
      </tp>
      <tp>
        <v>38.799859390800002</v>
        <stp/>
        <stp>32</stp>
        <stp>339263609</stp>
        <tr r="L41" s="6"/>
      </tp>
      <tp>
        <v>4.2056087773422099</v>
        <stp/>
        <stp>22</stp>
        <stp>339263609</stp>
        <tr r="J17" s="6"/>
      </tp>
      <tp>
        <v>7387939876.1337004</v>
        <stp/>
        <stp>12</stp>
        <stp>339263609</stp>
        <tr r="M17" s="6"/>
      </tp>
      <tp>
        <v>84186000000</v>
        <stp/>
        <stp>35</stp>
        <stp>339263609</stp>
        <tr r="J41" s="6"/>
      </tp>
      <tp>
        <v>4.8789999999999996</v>
        <stp/>
        <stp>25</stp>
        <stp>339263609</stp>
        <tr r="F41" s="6"/>
      </tp>
      <tp>
        <v>6334257953.4007101</v>
        <stp/>
        <stp>15</stp>
        <stp>339263609</stp>
        <tr r="K17" s="6"/>
      </tp>
      <tp>
        <v>37.062981422699998</v>
        <stp/>
        <stp>34</stp>
        <stp>339263609</stp>
        <tr r="I41" s="6"/>
      </tp>
      <tp>
        <v>11462678007.777399</v>
        <stp/>
        <stp>24</stp>
        <stp>339263609</stp>
        <tr r="N17" s="6"/>
      </tp>
      <tp>
        <v>3.0532176475048498</v>
        <stp/>
        <stp>14</stp>
        <stp>339263609</stp>
        <tr r="G17" s="6"/>
      </tp>
      <tp>
        <v>0.95162999999999998</v>
        <stp/>
        <stp>37</stp>
        <stp>339263609</stp>
        <tr r="N41" s="6"/>
      </tp>
      <tp>
        <v>0.89749999999999996</v>
        <stp/>
        <stp>27</stp>
        <stp>339263609</stp>
        <tr r="M41" s="6"/>
      </tp>
      <tp>
        <v>99609137435.921204</v>
        <stp/>
        <stp>17</stp>
        <stp>339263609</stp>
        <tr r="E17" s="6"/>
      </tp>
      <tp>
        <v>12908000000</v>
        <stp/>
        <stp>36</stp>
        <stp>339263609</stp>
        <tr r="J41" s="6"/>
      </tp>
      <tp>
        <v>6.9916600000000004</v>
        <stp/>
        <stp>26</stp>
        <stp>339263609</stp>
        <tr r="D41" s="6"/>
      </tp>
      <tp>
        <v>97142373176.219498</v>
        <stp/>
        <stp>16</stp>
        <stp>339263609</stp>
        <tr r="D17" s="6"/>
      </tp>
      <tp>
        <v>3.9579</v>
        <stp/>
        <stp>39</stp>
        <stp>339263609</stp>
        <tr r="E41" s="6"/>
      </tp>
      <tp>
        <v>928000000</v>
        <stp/>
        <stp>29</stp>
        <stp>339263609</stp>
        <tr r="O41" s="6"/>
      </tp>
      <tp>
        <v>3.8056296536846701</v>
        <stp/>
        <stp>19</stp>
        <stp>339263609</stp>
        <tr r="I17" s="6"/>
      </tp>
      <tp>
        <v>101.5046442231</v>
        <stp/>
        <stp>38</stp>
        <stp>339263609</stp>
        <tr r="K41" s="6"/>
      </tp>
      <tp>
        <v>10502000000</v>
        <stp/>
        <stp>28</stp>
        <stp>339263609</stp>
        <tr r="O41" s="6"/>
      </tp>
      <tp>
        <v>3.4536545197281399</v>
        <stp/>
        <stp>18</stp>
        <stp>339263609</stp>
        <tr r="H17" s="6"/>
      </tp>
      <tp>
        <v>46.9028507520067</v>
        <stp/>
        <stp>4</stp>
        <stp>339263609</stp>
        <tr r="C8" s="6"/>
      </tp>
      <tp t="s">
        <v>Deutsche Post AG</v>
        <stp/>
        <stp>5</stp>
        <stp>339263609</stp>
        <tr r="A8" s="6"/>
      </tp>
      <tp>
        <v>7.3</v>
        <stp/>
        <stp>6</stp>
        <stp>339263609</stp>
        <tr r="Q17" s="6"/>
      </tp>
      <tp>
        <v>1200000000</v>
        <stp/>
        <stp>7</stp>
        <stp>339263609</stp>
        <tr r="E8" s="6"/>
      </tp>
      <tp>
        <v>24632984781.033199</v>
        <stp/>
        <stp>1</stp>
        <stp>339263609</stp>
        <tr r="J8" s="6"/>
      </tp>
      <tp>
        <v>1472202091.3138001</v>
        <stp/>
        <stp>2</stp>
        <stp>339263609</stp>
        <tr r="H8" s="6"/>
      </tp>
      <tp>
        <v>25003623563.5159</v>
        <stp/>
        <stp>3</stp>
        <stp>339263609</stp>
        <tr r="G8" s="6"/>
      </tp>
      <tp>
        <v>49.431525756795999</v>
        <stp/>
        <stp>8</stp>
        <stp>339263609</stp>
        <tr r="D8" s="6"/>
      </tp>
      <tp>
        <v>87158090899.679001</v>
        <stp/>
        <stp>9</stp>
        <stp>339263609</stp>
        <tr r="C17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volatileDependencies" Target="volatileDependenci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767926</xdr:colOff>
      <xdr:row>0</xdr:row>
      <xdr:rowOff>0</xdr:rowOff>
    </xdr:from>
    <xdr:to>
      <xdr:col>4</xdr:col>
      <xdr:colOff>19049</xdr:colOff>
      <xdr:row>9</xdr:row>
      <xdr:rowOff>59055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49FC8C-853C-69C0-D26D-C7D69669A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926" y="0"/>
          <a:ext cx="3613573" cy="2032635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281940</xdr:colOff>
      <xdr:row>12</xdr:row>
      <xdr:rowOff>83820</xdr:rowOff>
    </xdr:from>
    <xdr:to>
      <xdr:col>2</xdr:col>
      <xdr:colOff>550333</xdr:colOff>
      <xdr:row>14</xdr:row>
      <xdr:rowOff>97155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1EE77F-BC12-409C-A451-613AF37B7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2926080"/>
          <a:ext cx="1045633" cy="47815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5FF9FD-1B8B-4102-A2ED-F1C38EF8F443}">
  <we:reference id="WA200000565" version="1.0.0.79" store="en-US" storeType="omex"/>
  <we:alternateReferences/>
  <we:properties>
    <we:property name="userSettings_GEDTC-1039003" value="&quot;{\&quot;dex2RequestClickThrough\&quot;:true,\&quot;isKeepRICUpperCase\&quot;:false,\&quot;functionSeparator\&quot;:\&quot;;\&quot;,\&quot;instrumentsHeaderSetting\&quot;:{\&quot;isInclude\&quot;:true,\&quot;headerPosition\&quot;:\&quot;Row\&quot;},\&quot;fieldsHeaderSetting\&quot;:{\&quot;isInclude\&quot;:true,\&quot;headerPosition\&quot;:\&quot;Column\&quot;},\&quot;dateHeaderSetting\&quot;:{\&quot;isInclude\&quot;:false,\&quot;headerPosition\&quot;:\&quot;Column\&quot;},\&quot;commonUserFundamentalsType\&quot;:\&quot;PLATFORM_DEFAULT\&quot;,\&quot;pauseMode\&quot;:false}&quot;"/>
    <we:property name="userSettings_GEDTC-1080297" value="&quot;{\&quot;dex2RequestClickThrough\&quot;:true,\&quot;isKeepRICUpperCase\&quot;:false,\&quot;functionSeparator\&quot;:\&quot;;\&quot;,\&quot;instrumentsHeaderSetting\&quot;:{\&quot;isInclude\&quot;:true,\&quot;headerPosition\&quot;:\&quot;Row\&quot;},\&quot;fieldsHeaderSetting\&quot;:{\&quot;isInclude\&quot;:true,\&quot;headerPosition\&quot;:\&quot;Column\&quot;},\&quot;dateHeaderSetting\&quot;:{\&quot;isInclude\&quot;:false,\&quot;headerPosition\&quot;:\&quot;Column\&quot;},\&quot;commonUserFundamentalsType\&quot;:\&quot;PLATFORM_DEFAULT\&quot;,\&quot;pauseMode\&quot;:false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  <a:ext xmlns:a="http://schemas.openxmlformats.org/drawingml/2006/main" uri="{0858819E-0033-43BF-8937-05EC82904868}">
      <we:backgroundApp state="0" runtimeId="Ribbon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sj.com/mdc/public/page/2_3021-peyield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30A4-E038-4094-99C2-8693AA5F650B}">
  <dimension ref="C3:I23"/>
  <sheetViews>
    <sheetView tabSelected="1" zoomScale="78" workbookViewId="0">
      <selection activeCell="F29" sqref="F29"/>
    </sheetView>
  </sheetViews>
  <sheetFormatPr defaultColWidth="11.44140625" defaultRowHeight="14.4"/>
  <cols>
    <col min="4" max="4" width="29.33203125" bestFit="1" customWidth="1"/>
    <col min="5" max="5" width="24.109375" bestFit="1" customWidth="1"/>
    <col min="8" max="8" width="46.6640625" customWidth="1"/>
    <col min="9" max="9" width="7.109375" customWidth="1"/>
  </cols>
  <sheetData>
    <row r="3" spans="3:9" ht="18">
      <c r="C3" s="199"/>
      <c r="D3" s="199"/>
      <c r="E3" s="199"/>
      <c r="F3" s="199"/>
      <c r="G3" s="199"/>
      <c r="H3" s="199"/>
      <c r="I3" s="199"/>
    </row>
    <row r="4" spans="3:9" ht="18">
      <c r="C4" s="199"/>
      <c r="D4" s="199"/>
      <c r="E4" s="199"/>
      <c r="F4" s="199"/>
      <c r="G4" s="199"/>
      <c r="H4" s="199"/>
      <c r="I4" s="199"/>
    </row>
    <row r="5" spans="3:9" ht="18">
      <c r="C5" s="199"/>
      <c r="D5" s="199"/>
      <c r="E5" s="199"/>
      <c r="F5" s="199"/>
      <c r="G5" s="199"/>
      <c r="H5" s="199"/>
      <c r="I5" s="199"/>
    </row>
    <row r="6" spans="3:9" ht="18">
      <c r="C6" s="199"/>
      <c r="D6" s="199"/>
      <c r="E6" s="199"/>
      <c r="F6" s="199"/>
      <c r="G6" s="199"/>
      <c r="H6" s="199"/>
      <c r="I6" s="199"/>
    </row>
    <row r="7" spans="3:9" ht="18">
      <c r="C7" s="199"/>
      <c r="D7" s="199"/>
      <c r="E7" s="199"/>
      <c r="F7" s="199"/>
      <c r="G7" s="199"/>
      <c r="H7" s="432" t="s">
        <v>0</v>
      </c>
      <c r="I7" s="433" t="s">
        <v>1</v>
      </c>
    </row>
    <row r="8" spans="3:9" ht="18">
      <c r="C8" s="199"/>
      <c r="D8" s="199"/>
      <c r="E8" s="199"/>
      <c r="F8" s="199"/>
      <c r="G8" s="199"/>
      <c r="H8" s="200"/>
      <c r="I8" s="201"/>
    </row>
    <row r="9" spans="3:9" ht="18">
      <c r="C9" s="199"/>
      <c r="D9" s="199"/>
      <c r="E9" s="199"/>
      <c r="F9" s="199"/>
      <c r="G9" s="199"/>
      <c r="H9" s="432" t="s">
        <v>2</v>
      </c>
      <c r="I9" s="433" t="s">
        <v>1</v>
      </c>
    </row>
    <row r="10" spans="3:9" ht="15.45" customHeight="1">
      <c r="C10" s="199"/>
      <c r="D10" s="199"/>
      <c r="E10" s="199"/>
      <c r="F10" s="199"/>
      <c r="G10" s="199"/>
      <c r="H10" s="202" t="s">
        <v>3</v>
      </c>
      <c r="I10" s="203"/>
    </row>
    <row r="11" spans="3:9" ht="18">
      <c r="C11" s="199"/>
      <c r="D11" s="204" t="s">
        <v>4</v>
      </c>
      <c r="E11" s="205">
        <f ca="1">TODAY()</f>
        <v>45959</v>
      </c>
      <c r="F11" s="199"/>
      <c r="G11" s="199"/>
      <c r="H11" s="213" t="s">
        <v>543</v>
      </c>
      <c r="I11" s="203">
        <v>2</v>
      </c>
    </row>
    <row r="12" spans="3:9" ht="18">
      <c r="C12" s="199"/>
      <c r="D12" s="204" t="s">
        <v>5</v>
      </c>
      <c r="E12" s="206" t="s">
        <v>6</v>
      </c>
      <c r="F12" s="199"/>
      <c r="G12" s="199"/>
      <c r="H12" s="213" t="s">
        <v>7</v>
      </c>
      <c r="I12" s="203">
        <v>2</v>
      </c>
    </row>
    <row r="13" spans="3:9" ht="18">
      <c r="C13" s="199"/>
      <c r="D13" s="204" t="s">
        <v>8</v>
      </c>
      <c r="E13" s="206" t="s">
        <v>9</v>
      </c>
      <c r="F13" s="199"/>
      <c r="G13" s="199"/>
      <c r="H13" s="213" t="s">
        <v>544</v>
      </c>
      <c r="I13" s="203">
        <v>2</v>
      </c>
    </row>
    <row r="14" spans="3:9" ht="18">
      <c r="C14" s="199"/>
      <c r="D14" s="204" t="s">
        <v>10</v>
      </c>
      <c r="E14" s="206" t="s">
        <v>11</v>
      </c>
      <c r="F14" s="199"/>
      <c r="G14" s="199"/>
      <c r="H14" s="213" t="s">
        <v>12</v>
      </c>
      <c r="I14" s="203">
        <v>2</v>
      </c>
    </row>
    <row r="15" spans="3:9" ht="18">
      <c r="C15" s="199"/>
      <c r="D15" s="204" t="s">
        <v>13</v>
      </c>
      <c r="E15" s="207" t="str">
        <f ca="1">IF(E23&gt;=Ke!D38,"BUY","SELL")</f>
        <v>BUY</v>
      </c>
      <c r="F15" s="199"/>
      <c r="G15" s="199"/>
      <c r="H15" s="213" t="s">
        <v>545</v>
      </c>
      <c r="I15" s="203">
        <v>2</v>
      </c>
    </row>
    <row r="16" spans="3:9" ht="18.600000000000001" thickBot="1">
      <c r="C16" s="199"/>
      <c r="D16" s="201"/>
      <c r="E16" s="201"/>
      <c r="F16" s="199"/>
      <c r="G16" s="199"/>
      <c r="H16" s="213" t="s">
        <v>546</v>
      </c>
      <c r="I16" s="203">
        <v>2</v>
      </c>
    </row>
    <row r="17" spans="3:9" ht="18">
      <c r="C17" s="199"/>
      <c r="D17" s="208" t="s">
        <v>15</v>
      </c>
      <c r="E17" s="209">
        <f>Ke!D15</f>
        <v>249.31</v>
      </c>
      <c r="F17" s="199"/>
      <c r="G17" s="199"/>
      <c r="H17" s="432" t="s">
        <v>16</v>
      </c>
      <c r="I17" s="433" t="s">
        <v>1</v>
      </c>
    </row>
    <row r="18" spans="3:9" ht="18">
      <c r="C18" s="199"/>
      <c r="D18" s="210" t="s">
        <v>17</v>
      </c>
      <c r="E18" s="211">
        <f ca="1">DCF!B8</f>
        <v>272.05149552257603</v>
      </c>
      <c r="F18" s="199"/>
      <c r="G18" s="199"/>
      <c r="H18" s="212" t="s">
        <v>18</v>
      </c>
      <c r="I18" s="213">
        <v>1</v>
      </c>
    </row>
    <row r="19" spans="3:9" ht="18">
      <c r="C19" s="199"/>
      <c r="D19" s="210" t="s">
        <v>19</v>
      </c>
      <c r="E19" s="211">
        <f ca="1">DCF!B9</f>
        <v>289.87884277369778</v>
      </c>
      <c r="F19" s="199"/>
      <c r="G19" s="199"/>
      <c r="H19" s="212" t="s">
        <v>20</v>
      </c>
      <c r="I19" s="213">
        <v>2</v>
      </c>
    </row>
    <row r="20" spans="3:9" ht="18">
      <c r="C20" s="199"/>
      <c r="D20" s="214" t="s">
        <v>21</v>
      </c>
      <c r="E20" s="215">
        <f ca="1">E18/E17-1</f>
        <v>9.1217743061152934E-2</v>
      </c>
      <c r="F20" s="199"/>
      <c r="G20" s="199"/>
      <c r="H20" s="212" t="s">
        <v>22</v>
      </c>
      <c r="I20" s="213">
        <v>3</v>
      </c>
    </row>
    <row r="21" spans="3:9" ht="18">
      <c r="C21" s="199"/>
      <c r="D21" s="214" t="s">
        <v>23</v>
      </c>
      <c r="E21" s="215">
        <f ca="1">E19/E17-1</f>
        <v>0.162724490689093</v>
      </c>
      <c r="F21" s="199"/>
      <c r="G21" s="199"/>
      <c r="H21" s="199"/>
      <c r="I21" s="199"/>
    </row>
    <row r="22" spans="3:9" ht="18">
      <c r="C22" s="199"/>
      <c r="D22" s="468" t="s">
        <v>24</v>
      </c>
      <c r="E22" s="469">
        <v>2.3900000000000001E-2</v>
      </c>
      <c r="F22" s="199"/>
      <c r="G22" s="199"/>
      <c r="H22" s="199"/>
      <c r="I22" s="199"/>
    </row>
    <row r="23" spans="3:9" ht="18.600000000000001" thickBot="1">
      <c r="D23" s="216" t="s">
        <v>542</v>
      </c>
      <c r="E23" s="217">
        <f ca="1">E21+E22</f>
        <v>0.18662449068909301</v>
      </c>
    </row>
  </sheetData>
  <dataValidations count="1">
    <dataValidation type="list" allowBlank="1" showInputMessage="1" showErrorMessage="1" sqref="I11:I16" xr:uid="{CD1391F0-9624-4FEC-A692-C7FF09C04BC5}">
      <formula1>$I$18:$I$20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0BF6-925B-48E3-A1C2-FCD5A765EEB7}">
  <dimension ref="A1:L57"/>
  <sheetViews>
    <sheetView zoomScale="57" workbookViewId="0">
      <selection activeCell="F19" sqref="F19"/>
    </sheetView>
  </sheetViews>
  <sheetFormatPr defaultColWidth="11.44140625" defaultRowHeight="14.4"/>
  <cols>
    <col min="1" max="1" width="44.109375" bestFit="1" customWidth="1"/>
  </cols>
  <sheetData>
    <row r="1" spans="1:12" ht="16.2" thickBot="1">
      <c r="A1" s="434" t="e" vm="1">
        <v>#VALUE!</v>
      </c>
      <c r="B1" s="219"/>
      <c r="C1" s="219"/>
      <c r="D1" s="219"/>
      <c r="E1" s="219"/>
      <c r="F1" s="219"/>
      <c r="G1" s="219"/>
      <c r="H1" s="219"/>
      <c r="I1" s="219"/>
    </row>
    <row r="2" spans="1:12" ht="15" thickBot="1">
      <c r="A2" s="218"/>
      <c r="B2" s="219"/>
      <c r="C2" s="219"/>
      <c r="D2" s="219"/>
      <c r="E2" s="219"/>
      <c r="F2" s="219"/>
      <c r="G2" s="219"/>
      <c r="H2" s="460" t="s">
        <v>25</v>
      </c>
      <c r="I2" s="461"/>
    </row>
    <row r="3" spans="1:12">
      <c r="A3" s="220" t="s">
        <v>26</v>
      </c>
      <c r="B3" s="221">
        <f>Ke!D38</f>
        <v>0.1199027537435888</v>
      </c>
      <c r="C3" s="222"/>
      <c r="D3" s="219"/>
      <c r="E3" s="219"/>
      <c r="F3" s="219"/>
      <c r="G3" s="223">
        <f ca="1">TODAY()</f>
        <v>45959</v>
      </c>
      <c r="H3" s="219" t="s">
        <v>27</v>
      </c>
      <c r="I3" s="224">
        <f>'Balance sheet'!F169</f>
        <v>235.95546100000001</v>
      </c>
    </row>
    <row r="4" spans="1:12">
      <c r="A4" s="225" t="s">
        <v>28</v>
      </c>
      <c r="B4" s="224">
        <f>I3</f>
        <v>235.95546100000001</v>
      </c>
      <c r="C4" s="226"/>
      <c r="D4" s="227"/>
      <c r="E4" s="219"/>
      <c r="F4" s="219"/>
      <c r="G4" s="223">
        <f ca="1">G3+365</f>
        <v>46324</v>
      </c>
      <c r="H4" s="219" t="s">
        <v>29</v>
      </c>
      <c r="I4" s="224">
        <f>'Balance sheet'!G169</f>
        <v>229.19788524242426</v>
      </c>
    </row>
    <row r="5" spans="1:12">
      <c r="A5" s="225"/>
      <c r="B5" s="219"/>
      <c r="C5" s="228"/>
      <c r="D5" s="219"/>
      <c r="E5" s="219"/>
      <c r="F5" s="219"/>
      <c r="G5" s="223">
        <f ca="1">G4+366</f>
        <v>46690</v>
      </c>
      <c r="H5" s="219" t="s">
        <v>30</v>
      </c>
      <c r="I5" s="224">
        <f>'Balance sheet'!H169</f>
        <v>223.24099819008268</v>
      </c>
    </row>
    <row r="6" spans="1:12" ht="15" thickBot="1">
      <c r="A6" s="225" t="s">
        <v>31</v>
      </c>
      <c r="B6" s="229">
        <v>242.84</v>
      </c>
      <c r="C6" s="230" t="s">
        <v>523</v>
      </c>
      <c r="D6" s="219"/>
      <c r="E6" s="219"/>
      <c r="F6" s="219"/>
      <c r="G6" s="219"/>
      <c r="H6" s="219"/>
      <c r="I6" s="219"/>
    </row>
    <row r="7" spans="1:12" ht="15" thickBot="1">
      <c r="A7" s="225"/>
      <c r="B7" s="231"/>
      <c r="C7" s="228"/>
      <c r="D7" s="219"/>
      <c r="E7" s="219"/>
      <c r="F7" s="219"/>
      <c r="G7" s="393" t="s">
        <v>32</v>
      </c>
      <c r="H7" s="394"/>
      <c r="I7" s="395"/>
    </row>
    <row r="8" spans="1:12">
      <c r="A8" s="225" t="s">
        <v>33</v>
      </c>
      <c r="B8" s="396">
        <f ca="1">B24</f>
        <v>272.05149552257603</v>
      </c>
      <c r="C8" s="228"/>
      <c r="D8" s="219"/>
      <c r="E8" s="219"/>
      <c r="F8" s="219"/>
      <c r="G8" s="232" t="s">
        <v>32</v>
      </c>
      <c r="H8" s="233"/>
      <c r="I8" s="234">
        <f ca="1">B8/$B$6-1</f>
        <v>0.12029111976023721</v>
      </c>
    </row>
    <row r="9" spans="1:12" ht="15" thickBot="1">
      <c r="A9" s="235" t="s">
        <v>34</v>
      </c>
      <c r="B9" s="396">
        <f ca="1">B46</f>
        <v>289.87884277369778</v>
      </c>
      <c r="C9" s="236"/>
      <c r="D9" s="219"/>
      <c r="E9" s="219"/>
      <c r="F9" s="219"/>
      <c r="G9" s="235" t="s">
        <v>35</v>
      </c>
      <c r="H9" s="237"/>
      <c r="I9" s="238">
        <f ca="1">B9/B6-1</f>
        <v>0.193703025752338</v>
      </c>
    </row>
    <row r="10" spans="1:12">
      <c r="A10" s="219"/>
      <c r="B10" s="239"/>
      <c r="C10" s="219"/>
      <c r="D10" s="219"/>
      <c r="E10" s="219"/>
      <c r="F10" s="219"/>
      <c r="G10" s="219"/>
      <c r="H10" s="219"/>
      <c r="I10" s="219"/>
    </row>
    <row r="11" spans="1:12">
      <c r="A11" s="219"/>
      <c r="B11" s="219"/>
      <c r="C11" s="219"/>
      <c r="D11" s="219"/>
      <c r="E11" s="219"/>
      <c r="F11" s="219"/>
      <c r="G11" s="219"/>
      <c r="H11" s="219"/>
      <c r="I11" s="219"/>
    </row>
    <row r="12" spans="1:12">
      <c r="A12" s="325" t="s">
        <v>36</v>
      </c>
      <c r="B12" s="325"/>
      <c r="C12" s="325"/>
      <c r="D12" s="325"/>
      <c r="E12" s="325"/>
      <c r="F12" s="325"/>
      <c r="G12" s="325"/>
      <c r="H12" s="325"/>
      <c r="I12" s="325"/>
      <c r="J12" s="46"/>
      <c r="K12" s="46"/>
      <c r="L12" s="46"/>
    </row>
    <row r="13" spans="1:12">
      <c r="A13" s="240"/>
      <c r="B13" s="240"/>
      <c r="C13" s="240"/>
      <c r="D13" s="240"/>
      <c r="E13" s="240"/>
      <c r="F13" s="240"/>
      <c r="G13" s="240"/>
      <c r="H13" s="240"/>
      <c r="I13" s="240"/>
      <c r="J13" s="46"/>
      <c r="K13" s="46"/>
      <c r="L13" s="46"/>
    </row>
    <row r="14" spans="1:12">
      <c r="A14" s="219"/>
      <c r="B14" s="219"/>
      <c r="C14" s="241">
        <v>46173</v>
      </c>
      <c r="D14" s="241">
        <v>46538</v>
      </c>
      <c r="E14" s="241">
        <v>46904</v>
      </c>
      <c r="F14" s="241">
        <v>47269</v>
      </c>
      <c r="G14" s="241">
        <v>47634</v>
      </c>
      <c r="H14" s="241"/>
      <c r="I14" s="241"/>
      <c r="J14" s="46"/>
      <c r="K14" s="46"/>
      <c r="L14" s="46"/>
    </row>
    <row r="15" spans="1:12">
      <c r="A15" s="218" t="s">
        <v>37</v>
      </c>
      <c r="B15" s="219"/>
      <c r="C15" s="242">
        <f ca="1">MAX((C14-$G$3)/365,0)</f>
        <v>0.58630136986301373</v>
      </c>
      <c r="D15" s="242">
        <f ca="1">MAX((D14-$G$3)/365,0)</f>
        <v>1.5863013698630137</v>
      </c>
      <c r="E15" s="242">
        <f t="shared" ref="E15:G15" ca="1" si="0">MAX((E14-$G$3)/365,0)</f>
        <v>2.5890410958904111</v>
      </c>
      <c r="F15" s="242">
        <f t="shared" ca="1" si="0"/>
        <v>3.5890410958904111</v>
      </c>
      <c r="G15" s="242">
        <f t="shared" ca="1" si="0"/>
        <v>4.5890410958904111</v>
      </c>
      <c r="H15" s="242"/>
      <c r="I15" s="242"/>
      <c r="J15" s="46"/>
      <c r="K15" s="46"/>
      <c r="L15" s="46"/>
    </row>
    <row r="16" spans="1:12">
      <c r="A16" s="243" t="s">
        <v>38</v>
      </c>
      <c r="B16" s="244"/>
      <c r="C16" s="245">
        <f>('Derived cash flow'!C59)</f>
        <v>4634.6456263393384</v>
      </c>
      <c r="D16" s="245">
        <f>'Derived cash flow'!D59</f>
        <v>6720.3146224073289</v>
      </c>
      <c r="E16" s="245">
        <f>'Derived cash flow'!E59</f>
        <v>6901.7994785816281</v>
      </c>
      <c r="F16" s="245">
        <f>'Derived cash flow'!F59</f>
        <v>6955.683681815789</v>
      </c>
      <c r="G16" s="245">
        <f>'Derived cash flow'!G59</f>
        <v>6382.3735703889888</v>
      </c>
      <c r="H16" s="245"/>
      <c r="I16" s="245"/>
      <c r="J16" s="46"/>
      <c r="K16" s="46"/>
      <c r="L16" s="46"/>
    </row>
    <row r="17" spans="1:12">
      <c r="A17" s="218" t="s">
        <v>39</v>
      </c>
      <c r="B17" s="219"/>
      <c r="C17" s="246">
        <f ca="1">(C16*C15)/((1+$B$3)^C15)</f>
        <v>2542.7458669069347</v>
      </c>
      <c r="D17" s="246">
        <f ca="1">D16/((1+$B$3)^D15)</f>
        <v>5615.323855048985</v>
      </c>
      <c r="E17" s="246">
        <f t="shared" ref="E17:G17" ca="1" si="1">E16/((1+$B$3)^E15)</f>
        <v>5147.9282720350084</v>
      </c>
      <c r="F17" s="246">
        <f t="shared" ca="1" si="1"/>
        <v>4632.6518209756123</v>
      </c>
      <c r="G17" s="246">
        <f t="shared" ca="1" si="1"/>
        <v>3795.6988229552799</v>
      </c>
      <c r="H17" s="246"/>
      <c r="I17" s="246"/>
      <c r="J17" s="46"/>
      <c r="K17" s="46"/>
      <c r="L17" s="46"/>
    </row>
    <row r="18" spans="1:12" ht="15" thickBot="1">
      <c r="A18" s="247"/>
      <c r="B18" s="219"/>
      <c r="C18" s="219"/>
      <c r="D18" s="248"/>
      <c r="E18" s="248"/>
      <c r="F18" s="248"/>
      <c r="G18" s="248"/>
      <c r="H18" s="248"/>
      <c r="I18" s="219"/>
      <c r="J18" s="46"/>
      <c r="K18" s="46"/>
      <c r="L18" s="46"/>
    </row>
    <row r="19" spans="1:12" ht="15" thickBot="1">
      <c r="A19" s="218" t="s">
        <v>40</v>
      </c>
      <c r="B19" s="439">
        <v>2.8000000000000001E-2</v>
      </c>
      <c r="C19" s="249"/>
      <c r="D19" s="249"/>
      <c r="E19" s="249"/>
      <c r="F19" s="249"/>
      <c r="G19" s="249"/>
      <c r="H19" s="219"/>
      <c r="I19" s="219"/>
      <c r="J19" s="46"/>
      <c r="K19" s="46"/>
      <c r="L19" s="46"/>
    </row>
    <row r="20" spans="1:12">
      <c r="A20" s="218"/>
      <c r="B20" s="249"/>
      <c r="C20" s="249"/>
      <c r="D20" s="249"/>
      <c r="E20" s="249"/>
      <c r="F20" s="249"/>
      <c r="G20" s="249"/>
      <c r="H20" s="219"/>
      <c r="I20" s="219"/>
      <c r="J20" s="46"/>
      <c r="K20" s="46"/>
      <c r="L20" s="46"/>
    </row>
    <row r="21" spans="1:12">
      <c r="A21" s="219" t="s">
        <v>41</v>
      </c>
      <c r="B21" s="227">
        <f>G16*(1+B19)/(B3-B19)</f>
        <v>71391.54990573485</v>
      </c>
      <c r="C21" s="250"/>
      <c r="D21" s="251" t="s">
        <v>42</v>
      </c>
      <c r="E21" s="227"/>
      <c r="F21" s="251"/>
      <c r="G21" s="251"/>
      <c r="H21" s="219"/>
      <c r="I21" s="219"/>
      <c r="J21" s="46"/>
      <c r="K21" s="46"/>
      <c r="L21" s="46"/>
    </row>
    <row r="22" spans="1:12">
      <c r="A22" s="244" t="s">
        <v>43</v>
      </c>
      <c r="B22" s="252">
        <f ca="1">B21/(1+B3)^(G15)</f>
        <v>42457.687403847049</v>
      </c>
      <c r="C22" s="227"/>
      <c r="D22" s="251"/>
      <c r="E22" s="227"/>
      <c r="F22" s="251"/>
      <c r="G22" s="251"/>
      <c r="H22" s="219"/>
      <c r="I22" s="219"/>
      <c r="J22" s="46"/>
      <c r="K22" s="46"/>
      <c r="L22" s="46"/>
    </row>
    <row r="23" spans="1:12">
      <c r="A23" s="219" t="s">
        <v>44</v>
      </c>
      <c r="B23" s="227">
        <f ca="1">SUM(C17:G17)+B22</f>
        <v>64192.036041768872</v>
      </c>
      <c r="C23" s="227"/>
      <c r="D23" s="251"/>
      <c r="E23" s="227"/>
      <c r="F23" s="251"/>
      <c r="G23" s="251"/>
      <c r="H23" s="219"/>
      <c r="I23" s="219"/>
      <c r="J23" s="46"/>
      <c r="K23" s="46"/>
      <c r="L23" s="46"/>
    </row>
    <row r="24" spans="1:12" ht="15" thickBot="1">
      <c r="A24" s="253" t="s">
        <v>45</v>
      </c>
      <c r="B24" s="254">
        <f ca="1">B23/B4</f>
        <v>272.05149552257603</v>
      </c>
      <c r="C24" s="239"/>
      <c r="D24" s="239"/>
      <c r="E24" s="242"/>
      <c r="F24" s="239"/>
      <c r="G24" s="239"/>
      <c r="H24" s="219"/>
      <c r="I24" s="219"/>
      <c r="J24" s="46"/>
      <c r="K24" s="46"/>
      <c r="L24" s="46"/>
    </row>
    <row r="25" spans="1:12">
      <c r="A25" s="219"/>
      <c r="B25" s="219"/>
      <c r="C25" s="255" t="s">
        <v>40</v>
      </c>
      <c r="D25" s="255"/>
      <c r="E25" s="255"/>
      <c r="F25" s="255"/>
      <c r="G25" s="255"/>
      <c r="H25" s="255"/>
      <c r="I25" s="255"/>
      <c r="J25" s="46"/>
      <c r="K25" s="46"/>
      <c r="L25" s="46"/>
    </row>
    <row r="26" spans="1:12" ht="16.2" thickBot="1">
      <c r="A26" s="219"/>
      <c r="B26" s="256">
        <f ca="1">B24</f>
        <v>272.05149552257603</v>
      </c>
      <c r="C26" s="257">
        <f>D26-L27</f>
        <v>1.2999999999999998E-2</v>
      </c>
      <c r="D26" s="257">
        <f>E26-L27</f>
        <v>1.7999999999999999E-2</v>
      </c>
      <c r="E26" s="257">
        <f>F26-L27</f>
        <v>2.3E-2</v>
      </c>
      <c r="F26" s="258">
        <v>2.8000000000000001E-2</v>
      </c>
      <c r="G26" s="257">
        <f>F26+L27</f>
        <v>3.3000000000000002E-2</v>
      </c>
      <c r="H26" s="257">
        <f>G26+L27</f>
        <v>3.7999999999999999E-2</v>
      </c>
      <c r="I26" s="257">
        <f>H26+L27</f>
        <v>4.2999999999999997E-2</v>
      </c>
      <c r="J26" s="46"/>
      <c r="K26" s="46"/>
      <c r="L26" s="321">
        <v>5.0000000000000001E-3</v>
      </c>
    </row>
    <row r="27" spans="1:12" ht="16.2" thickTop="1">
      <c r="A27" s="219"/>
      <c r="B27" s="259">
        <f>B28+L27</f>
        <v>0.13490275374358882</v>
      </c>
      <c r="C27" s="260">
        <f t="dataTable" ref="C27:I33" dt2D="1" dtr="1" r1="B19" r2="B3" ca="1"/>
        <v>214.68367075631596</v>
      </c>
      <c r="D27" s="261">
        <v>220.70975336967263</v>
      </c>
      <c r="E27" s="261">
        <v>227.27434664623996</v>
      </c>
      <c r="F27" s="262">
        <v>234.45301140802965</v>
      </c>
      <c r="G27" s="261">
        <v>242.33613846333614</v>
      </c>
      <c r="H27" s="261">
        <v>251.03277460386082</v>
      </c>
      <c r="I27" s="263">
        <v>260.67569752973998</v>
      </c>
      <c r="J27" s="46"/>
      <c r="K27" s="46"/>
      <c r="L27" s="321">
        <v>5.0000000000000001E-3</v>
      </c>
    </row>
    <row r="28" spans="1:12" ht="16.2" thickBot="1">
      <c r="A28" s="219"/>
      <c r="B28" s="259">
        <f>B29+L27</f>
        <v>0.12990275374358881</v>
      </c>
      <c r="C28" s="264">
        <v>223.78936323299362</v>
      </c>
      <c r="D28" s="265">
        <v>230.45881454911731</v>
      </c>
      <c r="E28" s="265">
        <v>237.75214608184615</v>
      </c>
      <c r="F28" s="266">
        <v>245.76119247651889</v>
      </c>
      <c r="G28" s="265">
        <v>254.59674235899388</v>
      </c>
      <c r="H28" s="265">
        <v>264.39369432384029</v>
      </c>
      <c r="I28" s="267">
        <v>275.31799283903337</v>
      </c>
      <c r="J28" s="46"/>
      <c r="K28" s="46"/>
      <c r="L28" s="46"/>
    </row>
    <row r="29" spans="1:12" ht="16.2" thickBot="1">
      <c r="A29" s="219"/>
      <c r="B29" s="259">
        <f>B30+L27</f>
        <v>0.12490275374358881</v>
      </c>
      <c r="C29" s="264">
        <v>233.70567188329358</v>
      </c>
      <c r="D29" s="265">
        <v>241.11602258228569</v>
      </c>
      <c r="E29" s="397">
        <v>249.25357155872942</v>
      </c>
      <c r="F29" s="398">
        <v>258.23088500646742</v>
      </c>
      <c r="G29" s="399">
        <v>268.18502592477125</v>
      </c>
      <c r="H29" s="265">
        <v>279.28460130740439</v>
      </c>
      <c r="I29" s="267">
        <v>291.73939063282904</v>
      </c>
      <c r="J29" s="46"/>
      <c r="K29" s="46"/>
      <c r="L29" s="46"/>
    </row>
    <row r="30" spans="1:12" ht="16.2" thickBot="1">
      <c r="A30" s="406" t="s">
        <v>46</v>
      </c>
      <c r="B30" s="268">
        <f>Ke!D38</f>
        <v>0.1199027537435888</v>
      </c>
      <c r="C30" s="269">
        <v>244.54622843629048</v>
      </c>
      <c r="D30" s="270">
        <v>252.81492807007112</v>
      </c>
      <c r="E30" s="400">
        <v>261.93692643008393</v>
      </c>
      <c r="F30" s="401">
        <v>272.05149552257603</v>
      </c>
      <c r="G30" s="402">
        <v>283.32995973424187</v>
      </c>
      <c r="H30" s="270">
        <v>295.98547950218057</v>
      </c>
      <c r="I30" s="271">
        <v>310.28665162349722</v>
      </c>
      <c r="J30" s="46"/>
      <c r="K30" s="46"/>
      <c r="L30" s="46"/>
    </row>
    <row r="31" spans="1:12" ht="16.2" thickBot="1">
      <c r="A31" s="219"/>
      <c r="B31" s="259">
        <f>B30-L27</f>
        <v>0.1149027537435888</v>
      </c>
      <c r="C31" s="264">
        <v>256.44696281023215</v>
      </c>
      <c r="D31" s="265">
        <v>265.71664107901745</v>
      </c>
      <c r="E31" s="403">
        <v>275.99495922976399</v>
      </c>
      <c r="F31" s="404">
        <v>287.45601529248438</v>
      </c>
      <c r="G31" s="405">
        <v>300.31642064919816</v>
      </c>
      <c r="H31" s="265">
        <v>314.84912052472635</v>
      </c>
      <c r="I31" s="267">
        <v>331.40298080356155</v>
      </c>
      <c r="J31" s="46"/>
      <c r="K31" s="46"/>
      <c r="L31" s="46"/>
    </row>
    <row r="32" spans="1:12" ht="15.6">
      <c r="A32" s="219"/>
      <c r="B32" s="259">
        <f>B31-L27</f>
        <v>0.10990275374358879</v>
      </c>
      <c r="C32" s="264">
        <v>269.57185569116587</v>
      </c>
      <c r="D32" s="265">
        <v>280.01732788571667</v>
      </c>
      <c r="E32" s="265">
        <v>291.66477260065159</v>
      </c>
      <c r="F32" s="266">
        <v>304.73432392159879</v>
      </c>
      <c r="G32" s="265">
        <v>319.50336592197255</v>
      </c>
      <c r="H32" s="265">
        <v>336.32643801596998</v>
      </c>
      <c r="I32" s="267">
        <v>355.66406611142486</v>
      </c>
      <c r="J32" s="46"/>
      <c r="K32" s="46"/>
      <c r="L32" s="46"/>
    </row>
    <row r="33" spans="1:12" ht="16.2" thickBot="1">
      <c r="A33" s="219"/>
      <c r="B33" s="259">
        <f>B32-L27</f>
        <v>0.10490275374358879</v>
      </c>
      <c r="C33" s="272">
        <v>284.12056893120854</v>
      </c>
      <c r="D33" s="273">
        <v>295.95829569127898</v>
      </c>
      <c r="E33" s="273">
        <v>309.241361737148</v>
      </c>
      <c r="F33" s="274">
        <v>324.25168271203546</v>
      </c>
      <c r="G33" s="273">
        <v>341.34959007178026</v>
      </c>
      <c r="H33" s="273">
        <v>361.00313324664779</v>
      </c>
      <c r="I33" s="275">
        <v>383.83158254221473</v>
      </c>
      <c r="J33" s="46"/>
      <c r="K33" s="46"/>
      <c r="L33" s="46"/>
    </row>
    <row r="34" spans="1:12" ht="15" thickTop="1">
      <c r="A34" s="219"/>
      <c r="B34" s="276"/>
      <c r="C34" s="242"/>
      <c r="D34" s="242"/>
      <c r="E34" s="242"/>
      <c r="F34" s="242"/>
      <c r="G34" s="242"/>
      <c r="H34" s="242"/>
      <c r="I34" s="242"/>
      <c r="J34" s="46"/>
      <c r="K34" s="46"/>
      <c r="L34" s="46"/>
    </row>
    <row r="35" spans="1:12">
      <c r="A35" s="276"/>
      <c r="B35" s="242"/>
      <c r="C35" s="242"/>
      <c r="D35" s="242"/>
      <c r="E35" s="242"/>
      <c r="F35" s="242"/>
      <c r="G35" s="242"/>
      <c r="H35" s="242"/>
      <c r="I35" s="219"/>
      <c r="J35" s="46"/>
      <c r="K35" s="46"/>
      <c r="L35" s="46"/>
    </row>
    <row r="36" spans="1:12">
      <c r="A36" s="325" t="s">
        <v>47</v>
      </c>
      <c r="B36" s="325"/>
      <c r="C36" s="325"/>
      <c r="D36" s="325"/>
      <c r="E36" s="325"/>
      <c r="F36" s="325"/>
      <c r="G36" s="325"/>
      <c r="H36" s="325"/>
      <c r="I36" s="325"/>
      <c r="J36" s="46"/>
      <c r="K36" s="46"/>
      <c r="L36" s="46"/>
    </row>
    <row r="37" spans="1:12">
      <c r="A37" s="240"/>
      <c r="B37" s="240"/>
      <c r="C37" s="240"/>
      <c r="D37" s="240"/>
      <c r="E37" s="240"/>
      <c r="F37" s="240"/>
      <c r="G37" s="240"/>
      <c r="H37" s="240"/>
      <c r="I37" s="240"/>
      <c r="J37" s="46"/>
      <c r="K37" s="46"/>
      <c r="L37" s="46"/>
    </row>
    <row r="38" spans="1:12">
      <c r="A38" s="219"/>
      <c r="B38" s="219"/>
      <c r="C38" s="241">
        <f>C14</f>
        <v>46173</v>
      </c>
      <c r="D38" s="241">
        <f t="shared" ref="D38:G38" si="2">D14</f>
        <v>46538</v>
      </c>
      <c r="E38" s="241">
        <f t="shared" si="2"/>
        <v>46904</v>
      </c>
      <c r="F38" s="241">
        <f t="shared" si="2"/>
        <v>47269</v>
      </c>
      <c r="G38" s="241">
        <f t="shared" si="2"/>
        <v>47634</v>
      </c>
      <c r="H38" s="241"/>
      <c r="I38" s="241"/>
      <c r="J38" s="46"/>
      <c r="K38" s="46"/>
      <c r="L38" s="46"/>
    </row>
    <row r="39" spans="1:12">
      <c r="A39" s="218" t="s">
        <v>48</v>
      </c>
      <c r="B39" s="219"/>
      <c r="C39" s="242">
        <f t="shared" ref="C39" ca="1" si="3">MAX((C38-$G$4)/365,0)</f>
        <v>0</v>
      </c>
      <c r="D39" s="242">
        <f ca="1">MAX((D38-$G$4)/365,0)</f>
        <v>0.58630136986301373</v>
      </c>
      <c r="E39" s="242">
        <f t="shared" ref="E39:G39" ca="1" si="4">MAX((E38-$G$4)/365,0)</f>
        <v>1.5890410958904109</v>
      </c>
      <c r="F39" s="242">
        <f t="shared" ca="1" si="4"/>
        <v>2.5890410958904111</v>
      </c>
      <c r="G39" s="242">
        <f t="shared" ca="1" si="4"/>
        <v>3.5890410958904111</v>
      </c>
      <c r="H39" s="242"/>
      <c r="I39" s="242"/>
      <c r="J39" s="46"/>
      <c r="K39" s="46"/>
      <c r="L39" s="46"/>
    </row>
    <row r="40" spans="1:12">
      <c r="A40" s="243" t="s">
        <v>38</v>
      </c>
      <c r="B40" s="244"/>
      <c r="C40" s="252">
        <v>0</v>
      </c>
      <c r="D40" s="252">
        <f ca="1">D16*D39</f>
        <v>3940.1296690278587</v>
      </c>
      <c r="E40" s="252">
        <f t="shared" ref="E40:G40" si="5">E16</f>
        <v>6901.7994785816281</v>
      </c>
      <c r="F40" s="252">
        <f t="shared" si="5"/>
        <v>6955.683681815789</v>
      </c>
      <c r="G40" s="252">
        <f t="shared" si="5"/>
        <v>6382.3735703889888</v>
      </c>
      <c r="H40" s="252"/>
      <c r="I40" s="252"/>
      <c r="J40" s="46"/>
      <c r="K40" s="46"/>
      <c r="L40" s="46"/>
    </row>
    <row r="41" spans="1:12">
      <c r="A41" s="218" t="s">
        <v>39</v>
      </c>
      <c r="B41" s="219"/>
      <c r="C41" s="246">
        <f ca="1">(C40*C39)/((1+$B$3)^C39)</f>
        <v>0</v>
      </c>
      <c r="D41" s="246">
        <f ca="1">D40/((1+$B$3)^D39)</f>
        <v>3687.0245555186975</v>
      </c>
      <c r="E41" s="246">
        <f ca="1">E40/((1+$B$3)^E39)</f>
        <v>5765.179047926481</v>
      </c>
      <c r="F41" s="246">
        <f ca="1">F40/((1+$B$3)^F39)</f>
        <v>5188.11953144584</v>
      </c>
      <c r="G41" s="246">
        <f ca="1">G40/((1+$B$3)^G39)</f>
        <v>4250.8135642089164</v>
      </c>
      <c r="H41" s="246"/>
      <c r="I41" s="246"/>
      <c r="J41" s="46"/>
      <c r="K41" s="46"/>
      <c r="L41" s="46"/>
    </row>
    <row r="42" spans="1:12">
      <c r="A42" s="218"/>
      <c r="B42" s="277"/>
      <c r="C42" s="227"/>
      <c r="D42" s="227"/>
      <c r="E42" s="227"/>
      <c r="F42" s="227"/>
      <c r="G42" s="227"/>
      <c r="H42" s="227"/>
      <c r="I42" s="227"/>
      <c r="J42" s="46"/>
      <c r="K42" s="46"/>
      <c r="L42" s="46"/>
    </row>
    <row r="43" spans="1:12">
      <c r="A43" s="219" t="s">
        <v>49</v>
      </c>
      <c r="B43" s="227">
        <f>G40*(1+B19)/(B3-B19)</f>
        <v>71391.54990573485</v>
      </c>
      <c r="C43" s="251"/>
      <c r="D43" s="227"/>
      <c r="E43" s="227"/>
      <c r="F43" s="251"/>
      <c r="G43" s="219"/>
      <c r="H43" s="219"/>
      <c r="I43" s="219"/>
      <c r="J43" s="46"/>
      <c r="K43" s="46"/>
      <c r="L43" s="46"/>
    </row>
    <row r="44" spans="1:12">
      <c r="A44" s="244" t="s">
        <v>43</v>
      </c>
      <c r="B44" s="252">
        <f ca="1">B43/(1+B3)^G39</f>
        <v>47548.481041152794</v>
      </c>
      <c r="C44" s="251"/>
      <c r="D44" s="227"/>
      <c r="E44" s="227"/>
      <c r="F44" s="251"/>
      <c r="G44" s="219"/>
      <c r="H44" s="219"/>
      <c r="I44" s="219"/>
      <c r="J44" s="46"/>
      <c r="K44" s="46"/>
      <c r="L44" s="46"/>
    </row>
    <row r="45" spans="1:12">
      <c r="A45" s="219" t="s">
        <v>44</v>
      </c>
      <c r="B45" s="227">
        <f ca="1">SUM(D41:H41)+B44</f>
        <v>66439.617740252725</v>
      </c>
      <c r="C45" s="251"/>
      <c r="D45" s="227"/>
      <c r="E45" s="227"/>
      <c r="F45" s="251"/>
      <c r="G45" s="219"/>
      <c r="H45" s="219"/>
      <c r="I45" s="219"/>
      <c r="J45" s="46"/>
      <c r="K45" s="46"/>
      <c r="L45" s="46"/>
    </row>
    <row r="46" spans="1:12" ht="15" thickBot="1">
      <c r="A46" s="253" t="s">
        <v>45</v>
      </c>
      <c r="B46" s="278">
        <f ca="1">B45/I4</f>
        <v>289.87884277369778</v>
      </c>
      <c r="C46" s="279"/>
      <c r="D46" s="279"/>
      <c r="E46" s="279"/>
      <c r="F46" s="279"/>
      <c r="G46" s="219"/>
      <c r="H46" s="219"/>
      <c r="I46" s="219"/>
      <c r="J46" s="46"/>
      <c r="K46" s="46"/>
      <c r="L46" s="46"/>
    </row>
    <row r="47" spans="1:12">
      <c r="A47" s="219"/>
      <c r="B47" s="219"/>
      <c r="C47" s="255" t="s">
        <v>40</v>
      </c>
      <c r="D47" s="255"/>
      <c r="E47" s="255"/>
      <c r="F47" s="255"/>
      <c r="G47" s="255"/>
      <c r="H47" s="255"/>
      <c r="I47" s="255"/>
      <c r="J47" s="46"/>
      <c r="K47" s="46"/>
      <c r="L47" s="46"/>
    </row>
    <row r="48" spans="1:12" ht="16.2" thickBot="1">
      <c r="A48" s="219"/>
      <c r="B48" s="256">
        <f ca="1">B46</f>
        <v>289.87884277369778</v>
      </c>
      <c r="C48" s="257">
        <f>D48-$L$26</f>
        <v>1.2999999999999998E-2</v>
      </c>
      <c r="D48" s="257">
        <f>E48-$L$26</f>
        <v>1.7999999999999999E-2</v>
      </c>
      <c r="E48" s="257">
        <f>F48-$L$26</f>
        <v>2.3E-2</v>
      </c>
      <c r="F48" s="258">
        <v>2.8000000000000001E-2</v>
      </c>
      <c r="G48" s="257">
        <f>F48+$L$26</f>
        <v>3.3000000000000002E-2</v>
      </c>
      <c r="H48" s="257">
        <f>G48+$L$26</f>
        <v>3.7999999999999999E-2</v>
      </c>
      <c r="I48" s="257">
        <f>H48+$L$26</f>
        <v>4.2999999999999997E-2</v>
      </c>
      <c r="J48" s="46"/>
      <c r="K48" s="46"/>
      <c r="L48" s="46"/>
    </row>
    <row r="49" spans="1:12" ht="16.2" thickTop="1">
      <c r="A49" s="280"/>
      <c r="B49" s="259">
        <f>B50+$L$27</f>
        <v>0.13490275374358882</v>
      </c>
      <c r="C49" s="260">
        <f t="dataTable" ref="C49:I55" dt2D="1" dtr="1" r1="B19" r2="B3" ca="1"/>
        <v>227.07306922110448</v>
      </c>
      <c r="D49" s="261">
        <v>234.11372574722003</v>
      </c>
      <c r="E49" s="261">
        <v>241.78355861534476</v>
      </c>
      <c r="F49" s="262">
        <v>250.17085035141622</v>
      </c>
      <c r="G49" s="261">
        <v>259.38121029987133</v>
      </c>
      <c r="H49" s="261">
        <v>269.5420447800231</v>
      </c>
      <c r="I49" s="263">
        <v>280.8084864445363</v>
      </c>
      <c r="J49" s="46"/>
      <c r="K49" s="46"/>
      <c r="L49" s="46"/>
    </row>
    <row r="50" spans="1:12" ht="16.2" thickBot="1">
      <c r="A50" s="280"/>
      <c r="B50" s="259">
        <f>B51+$L$27</f>
        <v>0.12990275374358881</v>
      </c>
      <c r="C50" s="264">
        <v>236.5534981536095</v>
      </c>
      <c r="D50" s="265">
        <v>244.31151290153474</v>
      </c>
      <c r="E50" s="265">
        <v>252.79523531144713</v>
      </c>
      <c r="F50" s="266">
        <v>262.1114889433577</v>
      </c>
      <c r="G50" s="265">
        <v>272.38914493712082</v>
      </c>
      <c r="H50" s="265">
        <v>283.78511954214542</v>
      </c>
      <c r="I50" s="267">
        <v>296.49244207506752</v>
      </c>
      <c r="J50" s="46"/>
      <c r="K50" s="46"/>
      <c r="L50" s="46"/>
    </row>
    <row r="51" spans="1:12" ht="16.2" thickBot="1">
      <c r="A51" s="280"/>
      <c r="B51" s="259">
        <f>B52+$L$27</f>
        <v>0.12490275374358881</v>
      </c>
      <c r="C51" s="264">
        <v>246.87878845044642</v>
      </c>
      <c r="D51" s="265">
        <v>255.46048529453003</v>
      </c>
      <c r="E51" s="397">
        <v>264.88432786371118</v>
      </c>
      <c r="F51" s="398">
        <v>275.28067556872344</v>
      </c>
      <c r="G51" s="399">
        <v>286.80825680935072</v>
      </c>
      <c r="H51" s="265">
        <v>299.6623301050675</v>
      </c>
      <c r="I51" s="267">
        <v>314.08583455031061</v>
      </c>
      <c r="J51" s="46"/>
      <c r="K51" s="46"/>
      <c r="L51" s="46"/>
    </row>
    <row r="52" spans="1:12" ht="16.2" thickBot="1">
      <c r="A52" s="407" t="s">
        <v>46</v>
      </c>
      <c r="B52" s="281">
        <f>Ke!D38</f>
        <v>0.1199027537435888</v>
      </c>
      <c r="C52" s="269">
        <v>258.16742888056518</v>
      </c>
      <c r="D52" s="270">
        <v>267.70059049729252</v>
      </c>
      <c r="E52" s="400">
        <v>278.21753856470747</v>
      </c>
      <c r="F52" s="401">
        <v>289.87884277369778</v>
      </c>
      <c r="G52" s="402">
        <v>302.8820266938186</v>
      </c>
      <c r="H52" s="270">
        <v>317.47284757677346</v>
      </c>
      <c r="I52" s="271">
        <v>333.96097644581204</v>
      </c>
      <c r="J52" s="46"/>
      <c r="K52" s="46"/>
      <c r="L52" s="46"/>
    </row>
    <row r="53" spans="1:12" ht="16.2" thickBot="1">
      <c r="A53" s="280"/>
      <c r="B53" s="259">
        <f>B52-$L$27</f>
        <v>0.1149027537435888</v>
      </c>
      <c r="C53" s="264">
        <v>270.561161823323</v>
      </c>
      <c r="D53" s="265">
        <v>281.20065832508362</v>
      </c>
      <c r="E53" s="403">
        <v>292.99784554538837</v>
      </c>
      <c r="F53" s="404">
        <v>306.15254869149601</v>
      </c>
      <c r="G53" s="405">
        <v>320.91338869440466</v>
      </c>
      <c r="H53" s="265">
        <v>337.59364501004052</v>
      </c>
      <c r="I53" s="267">
        <v>356.59373686008706</v>
      </c>
      <c r="J53" s="46"/>
      <c r="K53" s="46"/>
      <c r="L53" s="46"/>
    </row>
    <row r="54" spans="1:12" ht="15.6">
      <c r="A54" s="280"/>
      <c r="B54" s="259">
        <f>B53-$L$27</f>
        <v>0.10990275374358879</v>
      </c>
      <c r="C54" s="264">
        <v>284.23098242702986</v>
      </c>
      <c r="D54" s="265">
        <v>296.16625751626395</v>
      </c>
      <c r="E54" s="265">
        <v>309.47493846147927</v>
      </c>
      <c r="F54" s="266">
        <v>324.40855633944784</v>
      </c>
      <c r="G54" s="265">
        <v>341.28405758972855</v>
      </c>
      <c r="H54" s="265">
        <v>360.50654840183608</v>
      </c>
      <c r="I54" s="267">
        <v>382.60223795936128</v>
      </c>
      <c r="J54" s="46"/>
      <c r="K54" s="46"/>
      <c r="L54" s="46"/>
    </row>
    <row r="55" spans="1:12" ht="16.2" thickBot="1">
      <c r="A55" s="280"/>
      <c r="B55" s="259">
        <f>B54-$L$27</f>
        <v>0.10490275374358879</v>
      </c>
      <c r="C55" s="272">
        <v>299.385096082796</v>
      </c>
      <c r="D55" s="273">
        <v>312.85026464019666</v>
      </c>
      <c r="E55" s="273">
        <v>327.95947664448244</v>
      </c>
      <c r="F55" s="274">
        <v>345.0334052900817</v>
      </c>
      <c r="G55" s="273">
        <v>364.48192013115363</v>
      </c>
      <c r="H55" s="273">
        <v>386.83741768262496</v>
      </c>
      <c r="I55" s="275">
        <v>412.80430506726435</v>
      </c>
      <c r="J55" s="46"/>
      <c r="K55" s="46"/>
      <c r="L55" s="46"/>
    </row>
    <row r="56" spans="1:12" ht="15" thickTop="1">
      <c r="A56" s="219"/>
      <c r="B56" s="219"/>
      <c r="C56" s="219"/>
      <c r="D56" s="219"/>
      <c r="E56" s="219"/>
      <c r="F56" s="219"/>
      <c r="G56" s="219"/>
      <c r="H56" s="219"/>
      <c r="I56" s="219"/>
      <c r="J56" s="46"/>
      <c r="K56" s="46"/>
      <c r="L56" s="46"/>
    </row>
    <row r="57" spans="1:1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</row>
  </sheetData>
  <mergeCells count="1"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BBB3-1B24-4F76-B5FC-419BAB02D6E1}">
  <dimension ref="A1:M40"/>
  <sheetViews>
    <sheetView zoomScale="99" zoomScaleNormal="70" workbookViewId="0">
      <selection activeCell="F44" sqref="F44"/>
    </sheetView>
  </sheetViews>
  <sheetFormatPr defaultColWidth="39.6640625" defaultRowHeight="14.4"/>
  <cols>
    <col min="1" max="1" width="16.44140625" customWidth="1"/>
    <col min="2" max="2" width="21.33203125" customWidth="1"/>
    <col min="3" max="3" width="11.6640625" bestFit="1" customWidth="1"/>
    <col min="4" max="4" width="12.109375" bestFit="1" customWidth="1"/>
    <col min="5" max="5" width="11.109375" bestFit="1" customWidth="1"/>
    <col min="6" max="6" width="17.6640625" customWidth="1"/>
    <col min="7" max="7" width="20.44140625" customWidth="1"/>
    <col min="8" max="8" width="6" bestFit="1" customWidth="1"/>
    <col min="9" max="9" width="9.6640625" bestFit="1" customWidth="1"/>
    <col min="10" max="10" width="8.33203125" bestFit="1" customWidth="1"/>
    <col min="11" max="11" width="10" customWidth="1"/>
    <col min="12" max="12" width="17.109375" bestFit="1" customWidth="1"/>
    <col min="13" max="13" width="12.6640625" customWidth="1"/>
  </cols>
  <sheetData>
    <row r="1" spans="1:13">
      <c r="A1" s="408" t="e" vm="1">
        <v>#VALUE!</v>
      </c>
      <c r="B1" s="409"/>
      <c r="C1" s="410"/>
      <c r="D1" s="408" t="s">
        <v>50</v>
      </c>
      <c r="E1" s="283"/>
      <c r="F1" s="283"/>
      <c r="G1" s="284" t="s">
        <v>51</v>
      </c>
    </row>
    <row r="2" spans="1:13">
      <c r="A2" s="285" t="s">
        <v>26</v>
      </c>
      <c r="B2" s="286"/>
      <c r="C2" s="283"/>
      <c r="D2" s="285"/>
      <c r="E2" s="283"/>
      <c r="F2" s="283"/>
      <c r="G2" s="284" t="s">
        <v>52</v>
      </c>
    </row>
    <row r="3" spans="1:13">
      <c r="A3" s="283" t="s">
        <v>53</v>
      </c>
      <c r="B3" s="284"/>
      <c r="C3" s="283"/>
      <c r="D3" s="285"/>
      <c r="E3" s="283"/>
      <c r="F3" s="283"/>
      <c r="G3" s="284" t="s">
        <v>54</v>
      </c>
    </row>
    <row r="4" spans="1:13">
      <c r="A4" s="283"/>
      <c r="B4" s="287"/>
      <c r="C4" s="288" t="s">
        <v>55</v>
      </c>
      <c r="D4" s="285">
        <v>1.31</v>
      </c>
      <c r="E4" s="283"/>
      <c r="F4" s="283"/>
      <c r="G4" s="289"/>
    </row>
    <row r="5" spans="1:13">
      <c r="A5" s="326" t="s">
        <v>56</v>
      </c>
      <c r="B5" s="326"/>
      <c r="C5" s="326" t="s">
        <v>1</v>
      </c>
      <c r="D5" s="326" t="s">
        <v>1</v>
      </c>
      <c r="E5" s="326" t="s">
        <v>1</v>
      </c>
      <c r="F5" s="326" t="s">
        <v>57</v>
      </c>
      <c r="G5" s="327" t="s">
        <v>58</v>
      </c>
    </row>
    <row r="6" spans="1:13" ht="28.8">
      <c r="A6" s="290" t="s">
        <v>1</v>
      </c>
      <c r="B6" s="284" t="s">
        <v>59</v>
      </c>
      <c r="C6" s="283"/>
      <c r="D6" s="291">
        <v>22.17</v>
      </c>
      <c r="E6" s="292"/>
      <c r="F6" s="293" t="s">
        <v>60</v>
      </c>
      <c r="G6" s="294" t="s">
        <v>61</v>
      </c>
    </row>
    <row r="7" spans="1:13" ht="43.8">
      <c r="A7" s="290" t="s">
        <v>1</v>
      </c>
      <c r="B7" s="284" t="s">
        <v>62</v>
      </c>
      <c r="C7" s="283"/>
      <c r="D7" s="295">
        <v>0.1111</v>
      </c>
      <c r="E7" s="292"/>
      <c r="F7" s="296" t="s">
        <v>63</v>
      </c>
      <c r="G7" s="294" t="s">
        <v>64</v>
      </c>
    </row>
    <row r="8" spans="1:13" ht="16.2">
      <c r="A8" s="290" t="s">
        <v>1</v>
      </c>
      <c r="B8" s="284" t="s">
        <v>65</v>
      </c>
      <c r="C8" s="283"/>
      <c r="D8" s="297">
        <v>4.07E-2</v>
      </c>
      <c r="E8" s="292"/>
      <c r="F8" s="296" t="s">
        <v>66</v>
      </c>
      <c r="G8" s="294" t="s">
        <v>67</v>
      </c>
    </row>
    <row r="9" spans="1:13" ht="32.4">
      <c r="A9" s="290" t="s">
        <v>1</v>
      </c>
      <c r="B9" s="284" t="s">
        <v>68</v>
      </c>
      <c r="C9" s="298"/>
      <c r="D9" s="299">
        <f>((1+D7)/D6)+D7</f>
        <v>0.16121727559765447</v>
      </c>
      <c r="E9" s="283"/>
      <c r="F9" s="300" t="s">
        <v>1</v>
      </c>
      <c r="G9" s="294" t="s">
        <v>69</v>
      </c>
    </row>
    <row r="10" spans="1:13" ht="30.6">
      <c r="A10" s="290" t="s">
        <v>1</v>
      </c>
      <c r="B10" s="284" t="s">
        <v>70</v>
      </c>
      <c r="C10" s="298"/>
      <c r="D10" s="299">
        <f>(D8-D9)*-1</f>
        <v>0.12051727559765447</v>
      </c>
      <c r="E10" s="283"/>
      <c r="F10" s="300" t="s">
        <v>1</v>
      </c>
      <c r="G10" s="294" t="s">
        <v>71</v>
      </c>
    </row>
    <row r="11" spans="1:13">
      <c r="A11" s="290" t="s">
        <v>1</v>
      </c>
      <c r="B11" s="284"/>
      <c r="C11" s="283"/>
      <c r="D11" s="285"/>
      <c r="E11" s="283"/>
      <c r="F11" s="300" t="s">
        <v>1</v>
      </c>
      <c r="G11" s="294" t="s">
        <v>1</v>
      </c>
    </row>
    <row r="12" spans="1:13">
      <c r="A12" s="290" t="s">
        <v>1</v>
      </c>
      <c r="B12" s="284"/>
      <c r="C12" s="283"/>
      <c r="D12" s="285"/>
      <c r="E12" s="283"/>
      <c r="F12" s="300" t="s">
        <v>1</v>
      </c>
      <c r="G12" s="294" t="s">
        <v>1</v>
      </c>
    </row>
    <row r="13" spans="1:13">
      <c r="A13" s="326" t="s">
        <v>72</v>
      </c>
      <c r="B13" s="326" t="s">
        <v>1</v>
      </c>
      <c r="C13" s="326" t="s">
        <v>1</v>
      </c>
      <c r="D13" s="326" t="s">
        <v>1</v>
      </c>
      <c r="E13" s="326" t="s">
        <v>1</v>
      </c>
      <c r="F13" s="326" t="s">
        <v>1</v>
      </c>
      <c r="G13" s="327" t="s">
        <v>1</v>
      </c>
      <c r="H13" s="318"/>
      <c r="I13" s="318"/>
      <c r="J13" s="318"/>
      <c r="K13" s="318"/>
      <c r="L13" s="318"/>
      <c r="M13" s="318"/>
    </row>
    <row r="14" spans="1:13">
      <c r="A14" s="301" t="s">
        <v>73</v>
      </c>
      <c r="B14" s="286"/>
      <c r="C14" s="318"/>
      <c r="D14" s="285"/>
      <c r="E14" s="283"/>
      <c r="F14" s="300" t="s">
        <v>1</v>
      </c>
      <c r="G14" s="294" t="s">
        <v>1</v>
      </c>
      <c r="H14" s="318"/>
      <c r="I14" s="318"/>
      <c r="J14" s="318"/>
      <c r="K14" s="318"/>
      <c r="L14" s="318"/>
      <c r="M14" s="318"/>
    </row>
    <row r="15" spans="1:13">
      <c r="A15" s="290" t="s">
        <v>1</v>
      </c>
      <c r="B15" s="284" t="s">
        <v>74</v>
      </c>
      <c r="C15" s="318"/>
      <c r="D15" s="302">
        <v>249.31</v>
      </c>
      <c r="E15" s="292"/>
      <c r="F15" s="296" t="s">
        <v>75</v>
      </c>
      <c r="G15" s="303"/>
      <c r="H15" s="318"/>
      <c r="I15" s="318"/>
      <c r="J15" s="318"/>
      <c r="K15" s="318"/>
      <c r="L15" s="318"/>
      <c r="M15" s="318"/>
    </row>
    <row r="16" spans="1:13">
      <c r="A16" s="290" t="s">
        <v>1</v>
      </c>
      <c r="B16" s="284" t="s">
        <v>76</v>
      </c>
      <c r="C16" s="318"/>
      <c r="D16" s="302">
        <v>18.03</v>
      </c>
      <c r="E16" s="292"/>
      <c r="F16" s="296" t="s">
        <v>75</v>
      </c>
      <c r="G16" s="294" t="s">
        <v>1</v>
      </c>
      <c r="H16" s="298">
        <v>33.06</v>
      </c>
      <c r="I16" s="318"/>
      <c r="J16" s="318"/>
      <c r="K16" s="318"/>
      <c r="L16" s="318"/>
      <c r="M16" s="318"/>
    </row>
    <row r="17" spans="1:13">
      <c r="A17" s="290" t="s">
        <v>1</v>
      </c>
      <c r="B17" s="284" t="s">
        <v>77</v>
      </c>
      <c r="C17" s="318"/>
      <c r="D17" s="285">
        <f>D15/D16</f>
        <v>13.827509706045479</v>
      </c>
      <c r="E17" s="283"/>
      <c r="F17" s="296" t="s">
        <v>75</v>
      </c>
      <c r="G17" s="294" t="s">
        <v>78</v>
      </c>
      <c r="H17" s="318"/>
      <c r="I17" s="416" t="s">
        <v>1</v>
      </c>
      <c r="J17" s="417" t="s">
        <v>79</v>
      </c>
      <c r="K17" s="417" t="s">
        <v>1</v>
      </c>
      <c r="L17" s="417" t="s">
        <v>1</v>
      </c>
      <c r="M17" s="418" t="s">
        <v>1</v>
      </c>
    </row>
    <row r="18" spans="1:13" ht="29.4">
      <c r="A18" s="290" t="s">
        <v>1</v>
      </c>
      <c r="B18" s="319" t="s">
        <v>80</v>
      </c>
      <c r="C18" s="318"/>
      <c r="D18" s="297">
        <f>'Comps NF'!Q19</f>
        <v>0.104125</v>
      </c>
      <c r="E18" s="292"/>
      <c r="F18" s="296" t="s">
        <v>81</v>
      </c>
      <c r="G18" s="294" t="s">
        <v>82</v>
      </c>
      <c r="H18" s="318"/>
      <c r="I18" s="430" t="s">
        <v>83</v>
      </c>
      <c r="J18" s="420" t="s">
        <v>84</v>
      </c>
      <c r="K18" s="420" t="s">
        <v>85</v>
      </c>
      <c r="L18" s="421" t="s">
        <v>86</v>
      </c>
      <c r="M18" s="422" t="s">
        <v>87</v>
      </c>
    </row>
    <row r="19" spans="1:13" ht="28.8">
      <c r="A19" s="290" t="s">
        <v>1</v>
      </c>
      <c r="B19" s="284" t="s">
        <v>88</v>
      </c>
      <c r="C19" s="318"/>
      <c r="D19" s="299">
        <f>((1+D18)/(D17))+D18</f>
        <v>0.18397488067065099</v>
      </c>
      <c r="E19" s="283"/>
      <c r="F19" s="300" t="s">
        <v>1</v>
      </c>
      <c r="G19" s="294" t="s">
        <v>89</v>
      </c>
      <c r="H19" s="318"/>
      <c r="I19" s="90" t="s">
        <v>90</v>
      </c>
      <c r="J19" s="289">
        <v>1.5708</v>
      </c>
      <c r="K19" s="423">
        <v>0.23</v>
      </c>
      <c r="L19" s="289">
        <f>E23/(1+((1-K19)*J19))</f>
        <v>0.4842689530195754</v>
      </c>
      <c r="M19" s="424">
        <f>L19*(1+((1-$K$26)*$J$26))</f>
        <v>0.76010249529761276</v>
      </c>
    </row>
    <row r="20" spans="1:13">
      <c r="A20" s="290" t="s">
        <v>1</v>
      </c>
      <c r="B20" s="284" t="s">
        <v>91</v>
      </c>
      <c r="C20" s="318"/>
      <c r="D20" s="304">
        <f>(D19-D8)/D10</f>
        <v>1.1888327209534051</v>
      </c>
      <c r="E20" s="283"/>
      <c r="F20" s="300" t="s">
        <v>1</v>
      </c>
      <c r="G20" s="294" t="s">
        <v>92</v>
      </c>
      <c r="H20" s="318"/>
      <c r="I20" s="90" t="s">
        <v>93</v>
      </c>
      <c r="J20" s="289">
        <v>0.44850000000000001</v>
      </c>
      <c r="K20" s="423">
        <v>0.246</v>
      </c>
      <c r="L20" s="289">
        <f t="shared" ref="L20:L22" si="0">E24/(1+((1-K20)*J20))</f>
        <v>0.91916641321088743</v>
      </c>
      <c r="M20" s="424">
        <f t="shared" ref="M20:M22" si="1">L20*(1+((1-$K$26)*$J$26))</f>
        <v>1.4427121125956437</v>
      </c>
    </row>
    <row r="21" spans="1:13">
      <c r="A21" s="290" t="s">
        <v>1</v>
      </c>
      <c r="B21" s="284"/>
      <c r="C21" s="318"/>
      <c r="D21" s="285"/>
      <c r="E21" s="283"/>
      <c r="F21" s="300" t="s">
        <v>1</v>
      </c>
      <c r="G21" s="294" t="s">
        <v>1</v>
      </c>
      <c r="H21" s="318"/>
      <c r="I21" s="90" t="s">
        <v>94</v>
      </c>
      <c r="J21" s="289">
        <v>0.91359999999999997</v>
      </c>
      <c r="K21" s="423">
        <v>0.36799999999999999</v>
      </c>
      <c r="L21" s="289">
        <f t="shared" si="0"/>
        <v>1.0840656799259945</v>
      </c>
      <c r="M21" s="424">
        <f t="shared" si="1"/>
        <v>1.7015359403908417</v>
      </c>
    </row>
    <row r="22" spans="1:13">
      <c r="A22" s="301" t="s">
        <v>95</v>
      </c>
      <c r="B22" s="286"/>
      <c r="C22" s="318"/>
      <c r="D22" s="305" t="s">
        <v>96</v>
      </c>
      <c r="E22" s="305" t="s">
        <v>97</v>
      </c>
      <c r="F22" s="300" t="s">
        <v>1</v>
      </c>
      <c r="G22" s="294" t="s">
        <v>1</v>
      </c>
      <c r="H22" s="318"/>
      <c r="I22" s="431" t="s">
        <v>98</v>
      </c>
      <c r="J22" s="289">
        <v>0.77180000000000004</v>
      </c>
      <c r="K22" s="423">
        <v>0.192</v>
      </c>
      <c r="L22" s="289">
        <f t="shared" si="0"/>
        <v>0.53584151507894973</v>
      </c>
      <c r="M22" s="424">
        <f t="shared" si="1"/>
        <v>0.84105014404898093</v>
      </c>
    </row>
    <row r="23" spans="1:13">
      <c r="A23" s="290" t="s">
        <v>1</v>
      </c>
      <c r="B23" s="284" t="s">
        <v>90</v>
      </c>
      <c r="C23" s="318"/>
      <c r="D23" s="283">
        <f>M19</f>
        <v>0.76010249529761276</v>
      </c>
      <c r="E23" s="289">
        <v>1.07</v>
      </c>
      <c r="F23" s="300" t="s">
        <v>99</v>
      </c>
      <c r="G23" s="294" t="s">
        <v>1</v>
      </c>
      <c r="H23" s="318"/>
      <c r="I23" s="419" t="s">
        <v>1</v>
      </c>
      <c r="J23" s="423"/>
      <c r="K23" s="425"/>
      <c r="L23" s="289"/>
      <c r="M23" s="424"/>
    </row>
    <row r="24" spans="1:13">
      <c r="A24" s="290" t="s">
        <v>1</v>
      </c>
      <c r="B24" s="284" t="s">
        <v>100</v>
      </c>
      <c r="C24" s="318"/>
      <c r="D24" s="283">
        <f t="shared" ref="D24:D26" si="2">M20</f>
        <v>1.4427121125956437</v>
      </c>
      <c r="E24" s="283">
        <v>1.23</v>
      </c>
      <c r="F24" s="300" t="s">
        <v>99</v>
      </c>
      <c r="G24" s="294" t="s">
        <v>1</v>
      </c>
      <c r="H24" s="318"/>
      <c r="I24" s="419" t="s">
        <v>1</v>
      </c>
      <c r="J24" s="289"/>
      <c r="K24" s="289"/>
      <c r="L24" s="289"/>
      <c r="M24" s="424" t="s">
        <v>1</v>
      </c>
    </row>
    <row r="25" spans="1:13">
      <c r="A25" s="290" t="s">
        <v>1</v>
      </c>
      <c r="B25" s="284" t="s">
        <v>101</v>
      </c>
      <c r="C25" s="318"/>
      <c r="D25" s="283">
        <f t="shared" si="2"/>
        <v>1.7015359403908417</v>
      </c>
      <c r="E25" s="283">
        <v>1.71</v>
      </c>
      <c r="F25" s="300" t="s">
        <v>99</v>
      </c>
      <c r="G25" s="294" t="s">
        <v>1</v>
      </c>
      <c r="H25" s="318"/>
      <c r="I25" s="419" t="s">
        <v>1</v>
      </c>
      <c r="J25" s="420" t="s">
        <v>84</v>
      </c>
      <c r="K25" s="420" t="s">
        <v>85</v>
      </c>
      <c r="L25" s="289" t="s">
        <v>102</v>
      </c>
      <c r="M25" s="424" t="s">
        <v>103</v>
      </c>
    </row>
    <row r="26" spans="1:13">
      <c r="A26" s="290" t="s">
        <v>1</v>
      </c>
      <c r="B26" s="284" t="s">
        <v>98</v>
      </c>
      <c r="C26" s="318"/>
      <c r="D26" s="305">
        <f t="shared" si="2"/>
        <v>0.84105014404898093</v>
      </c>
      <c r="E26" s="305">
        <v>0.87</v>
      </c>
      <c r="F26" s="300" t="s">
        <v>99</v>
      </c>
      <c r="G26" s="294" t="s">
        <v>1</v>
      </c>
      <c r="H26" s="318"/>
      <c r="I26" s="426" t="s">
        <v>104</v>
      </c>
      <c r="J26" s="459">
        <v>0.76249999999999996</v>
      </c>
      <c r="K26" s="427">
        <v>0.253</v>
      </c>
      <c r="L26" s="428">
        <f>D30/(1+((1-K26)*J26))</f>
        <v>0.83461419003400583</v>
      </c>
      <c r="M26" s="429">
        <f>L26*(1+((1-K26)*J26))</f>
        <v>1.31</v>
      </c>
    </row>
    <row r="27" spans="1:13">
      <c r="A27" s="290" t="s">
        <v>1</v>
      </c>
      <c r="B27" s="284" t="s">
        <v>105</v>
      </c>
      <c r="C27" s="318"/>
      <c r="D27" s="285">
        <f>AVERAGE(D23:D26)</f>
        <v>1.1863501730832697</v>
      </c>
      <c r="E27" s="285">
        <f>AVERAGE(E23:E26)</f>
        <v>1.22</v>
      </c>
      <c r="F27" s="300" t="s">
        <v>1</v>
      </c>
      <c r="G27" s="294" t="s">
        <v>1</v>
      </c>
      <c r="H27" s="318"/>
      <c r="I27" s="318"/>
      <c r="J27" s="318"/>
      <c r="K27" s="318"/>
      <c r="L27" s="318"/>
      <c r="M27" s="318"/>
    </row>
    <row r="28" spans="1:13">
      <c r="A28" s="290" t="s">
        <v>1</v>
      </c>
      <c r="B28" s="284"/>
      <c r="C28" s="318"/>
      <c r="D28" s="285"/>
      <c r="E28" s="283"/>
      <c r="F28" s="300" t="s">
        <v>1</v>
      </c>
      <c r="G28" s="294" t="s">
        <v>1</v>
      </c>
      <c r="H28" s="318"/>
      <c r="I28" s="318"/>
      <c r="J28" s="318"/>
      <c r="K28" s="320"/>
      <c r="L28" s="320"/>
      <c r="M28" s="318"/>
    </row>
    <row r="29" spans="1:13">
      <c r="A29" s="301" t="s">
        <v>106</v>
      </c>
      <c r="B29" s="286"/>
      <c r="C29" s="318"/>
      <c r="D29" s="285"/>
      <c r="E29" s="283"/>
      <c r="F29" s="300" t="s">
        <v>1</v>
      </c>
      <c r="G29" s="294" t="s">
        <v>1</v>
      </c>
      <c r="H29" s="318"/>
      <c r="I29" s="318"/>
      <c r="J29" s="318"/>
      <c r="K29" s="318"/>
      <c r="L29" s="318"/>
      <c r="M29" s="318"/>
    </row>
    <row r="30" spans="1:13" ht="28.8">
      <c r="A30" s="290" t="s">
        <v>1</v>
      </c>
      <c r="B30" s="284" t="s">
        <v>107</v>
      </c>
      <c r="C30" s="318"/>
      <c r="D30" s="306">
        <f>D4</f>
        <v>1.31</v>
      </c>
      <c r="E30" s="292"/>
      <c r="F30" s="296" t="s">
        <v>75</v>
      </c>
      <c r="G30" s="294" t="s">
        <v>108</v>
      </c>
      <c r="H30" s="318"/>
      <c r="I30" s="318"/>
      <c r="J30" s="318"/>
      <c r="K30" s="318"/>
      <c r="L30" s="318"/>
      <c r="M30" s="318"/>
    </row>
    <row r="31" spans="1:13">
      <c r="A31" s="290" t="s">
        <v>1</v>
      </c>
      <c r="B31" s="284"/>
      <c r="C31" s="283"/>
      <c r="D31" s="285"/>
      <c r="E31" s="283"/>
      <c r="F31" s="300" t="s">
        <v>1</v>
      </c>
      <c r="G31" s="294" t="s">
        <v>1</v>
      </c>
    </row>
    <row r="32" spans="1:13">
      <c r="A32" s="326" t="s">
        <v>109</v>
      </c>
      <c r="B32" s="326" t="s">
        <v>1</v>
      </c>
      <c r="C32" s="326" t="s">
        <v>1</v>
      </c>
      <c r="D32" s="326" t="s">
        <v>1</v>
      </c>
      <c r="E32" s="326" t="s">
        <v>1</v>
      </c>
      <c r="F32" s="326" t="s">
        <v>1</v>
      </c>
      <c r="G32" s="327" t="s">
        <v>1</v>
      </c>
    </row>
    <row r="33" spans="1:7" ht="72">
      <c r="A33" s="290" t="s">
        <v>1</v>
      </c>
      <c r="B33" s="284" t="s">
        <v>110</v>
      </c>
      <c r="C33" s="298"/>
      <c r="D33" s="297">
        <v>6.5000000000000002E-2</v>
      </c>
      <c r="E33" s="307" t="s">
        <v>111</v>
      </c>
      <c r="F33" s="308" t="s">
        <v>1</v>
      </c>
      <c r="G33" s="294" t="s">
        <v>112</v>
      </c>
    </row>
    <row r="34" spans="1:7">
      <c r="A34" s="290" t="s">
        <v>1</v>
      </c>
      <c r="B34" s="284" t="s">
        <v>113</v>
      </c>
      <c r="C34" s="298"/>
      <c r="D34" s="309">
        <f>$D$8+D20*$D$33</f>
        <v>0.11797412686197134</v>
      </c>
      <c r="E34" s="310">
        <v>0.5</v>
      </c>
      <c r="F34" s="300" t="s">
        <v>1</v>
      </c>
      <c r="G34" s="294" t="s">
        <v>114</v>
      </c>
    </row>
    <row r="35" spans="1:7">
      <c r="A35" s="290" t="s">
        <v>1</v>
      </c>
      <c r="B35" s="284" t="s">
        <v>115</v>
      </c>
      <c r="C35" s="298"/>
      <c r="D35" s="309">
        <f>$D$8+D27*$D$33</f>
        <v>0.11781276125041254</v>
      </c>
      <c r="E35" s="310">
        <v>0.25</v>
      </c>
      <c r="F35" s="300" t="s">
        <v>1</v>
      </c>
      <c r="G35" s="294" t="s">
        <v>1</v>
      </c>
    </row>
    <row r="36" spans="1:7">
      <c r="A36" s="290" t="s">
        <v>1</v>
      </c>
      <c r="B36" s="284" t="s">
        <v>116</v>
      </c>
      <c r="C36" s="298"/>
      <c r="D36" s="309">
        <f>$D$8+D30*$D$33</f>
        <v>0.12585000000000002</v>
      </c>
      <c r="E36" s="310">
        <v>0.25</v>
      </c>
      <c r="F36" s="300" t="s">
        <v>1</v>
      </c>
      <c r="G36" s="294" t="s">
        <v>117</v>
      </c>
    </row>
    <row r="37" spans="1:7">
      <c r="A37" s="290" t="s">
        <v>1</v>
      </c>
      <c r="B37" s="284"/>
      <c r="C37" s="298"/>
      <c r="D37" s="283"/>
      <c r="E37" s="283"/>
      <c r="F37" s="300" t="s">
        <v>1</v>
      </c>
      <c r="G37" s="294" t="s">
        <v>1</v>
      </c>
    </row>
    <row r="38" spans="1:7">
      <c r="A38" s="290" t="s">
        <v>1</v>
      </c>
      <c r="B38" s="286" t="s">
        <v>118</v>
      </c>
      <c r="C38" s="298"/>
      <c r="D38" s="299">
        <f>SUMPRODUCT(D34:D36,E34:E36)</f>
        <v>0.1199027537435888</v>
      </c>
      <c r="E38" s="283"/>
      <c r="F38" s="300" t="s">
        <v>1</v>
      </c>
      <c r="G38" s="294" t="s">
        <v>1</v>
      </c>
    </row>
    <row r="39" spans="1:7">
      <c r="A39" s="290" t="s">
        <v>1</v>
      </c>
      <c r="B39" s="284"/>
      <c r="C39" s="298"/>
      <c r="D39" s="285"/>
      <c r="E39" s="283"/>
      <c r="F39" s="300" t="s">
        <v>1</v>
      </c>
      <c r="G39" s="294" t="s">
        <v>1</v>
      </c>
    </row>
    <row r="40" spans="1:7" ht="15" thickBot="1">
      <c r="A40" s="311" t="s">
        <v>1</v>
      </c>
      <c r="B40" s="312" t="s">
        <v>119</v>
      </c>
      <c r="C40" s="312" t="s">
        <v>1</v>
      </c>
      <c r="D40" s="313">
        <f>D33+D8</f>
        <v>0.1057</v>
      </c>
      <c r="E40" s="314" t="s">
        <v>1</v>
      </c>
      <c r="F40" s="315" t="s">
        <v>1</v>
      </c>
      <c r="G40" s="316" t="s">
        <v>120</v>
      </c>
    </row>
  </sheetData>
  <hyperlinks>
    <hyperlink ref="F6" r:id="rId1" xr:uid="{97731A7A-93ED-419D-81C7-DF3376CD5D3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803B-B0BF-4D87-9D01-1D29727AEA69}">
  <dimension ref="A1:U155"/>
  <sheetViews>
    <sheetView zoomScale="52" zoomScaleNormal="70" workbookViewId="0">
      <pane xSplit="1" topLeftCell="B1" activePane="topRight" state="frozen"/>
      <selection pane="topRight" activeCell="J106" sqref="J106"/>
    </sheetView>
  </sheetViews>
  <sheetFormatPr defaultColWidth="8.6640625" defaultRowHeight="14.4"/>
  <cols>
    <col min="1" max="1" width="36.44140625" bestFit="1" customWidth="1"/>
    <col min="2" max="2" width="7.44140625" customWidth="1"/>
    <col min="3" max="3" width="8.6640625" customWidth="1"/>
    <col min="4" max="8" width="8.6640625" bestFit="1" customWidth="1"/>
    <col min="10" max="14" width="8.6640625" bestFit="1" customWidth="1"/>
  </cols>
  <sheetData>
    <row r="1" spans="1:16">
      <c r="A1" s="328" t="s">
        <v>121</v>
      </c>
      <c r="B1" s="329"/>
      <c r="C1" s="328">
        <v>2021</v>
      </c>
      <c r="D1" s="328">
        <v>2022</v>
      </c>
      <c r="E1" s="328">
        <v>2023</v>
      </c>
      <c r="F1" s="328">
        <v>2024</v>
      </c>
      <c r="G1" s="328">
        <v>2025</v>
      </c>
      <c r="H1" s="328"/>
      <c r="I1" s="328"/>
      <c r="J1" s="328" t="s">
        <v>122</v>
      </c>
      <c r="K1" s="328" t="s">
        <v>123</v>
      </c>
      <c r="L1" s="328" t="s">
        <v>124</v>
      </c>
      <c r="M1" s="328" t="s">
        <v>125</v>
      </c>
      <c r="N1" s="328" t="s">
        <v>126</v>
      </c>
    </row>
    <row r="2" spans="1:16">
      <c r="A2" s="2" t="s">
        <v>127</v>
      </c>
    </row>
    <row r="4" spans="1:16">
      <c r="A4" t="s">
        <v>128</v>
      </c>
      <c r="C4">
        <f>42078+30496</f>
        <v>72574</v>
      </c>
      <c r="D4">
        <f>45814+33232</f>
        <v>79046</v>
      </c>
      <c r="E4">
        <v>75884</v>
      </c>
      <c r="F4">
        <v>74663</v>
      </c>
      <c r="G4">
        <v>75304</v>
      </c>
      <c r="J4" s="158">
        <f>J30</f>
        <v>77338.698447978022</v>
      </c>
      <c r="K4" s="158">
        <f t="shared" ref="K4:N4" si="0">K30</f>
        <v>78695.626632931686</v>
      </c>
      <c r="L4" s="158">
        <f t="shared" si="0"/>
        <v>80336.672785730363</v>
      </c>
      <c r="M4" s="158">
        <f t="shared" si="0"/>
        <v>81896.23404559218</v>
      </c>
      <c r="N4" s="158">
        <f t="shared" si="0"/>
        <v>83495.330030771467</v>
      </c>
    </row>
    <row r="5" spans="1:16">
      <c r="A5" t="s">
        <v>129</v>
      </c>
      <c r="C5">
        <v>7833</v>
      </c>
      <c r="D5">
        <v>9532</v>
      </c>
      <c r="E5">
        <v>10084</v>
      </c>
      <c r="F5">
        <v>9429</v>
      </c>
      <c r="G5">
        <v>8892</v>
      </c>
      <c r="J5" s="158">
        <f>J32</f>
        <v>8962.7004655103974</v>
      </c>
      <c r="K5" s="158">
        <f t="shared" ref="K5:N5" si="1">K32</f>
        <v>9156.043024969611</v>
      </c>
      <c r="L5" s="158">
        <f t="shared" si="1"/>
        <v>9432.6224751452119</v>
      </c>
      <c r="M5" s="158">
        <f t="shared" si="1"/>
        <v>9717.5566483046969</v>
      </c>
      <c r="N5" s="158">
        <f t="shared" si="1"/>
        <v>10011.097918245145</v>
      </c>
    </row>
    <row r="6" spans="1:16">
      <c r="A6" t="s">
        <v>130</v>
      </c>
      <c r="C6">
        <f>3520+32</f>
        <v>3552</v>
      </c>
      <c r="D6">
        <f>4681+253</f>
        <v>4934</v>
      </c>
      <c r="E6">
        <v>4187</v>
      </c>
      <c r="F6">
        <v>3601</v>
      </c>
      <c r="G6">
        <v>3730</v>
      </c>
      <c r="J6" s="158">
        <f>J34</f>
        <v>3484</v>
      </c>
      <c r="K6" s="158">
        <f t="shared" ref="K6:N6" si="2">K34</f>
        <v>3588.6618966029459</v>
      </c>
      <c r="L6" s="158">
        <f t="shared" si="2"/>
        <v>3696.4679127812437</v>
      </c>
      <c r="M6" s="158">
        <f t="shared" si="2"/>
        <v>3807.5125001760821</v>
      </c>
      <c r="N6" s="158">
        <f t="shared" si="2"/>
        <v>3921.8929478247196</v>
      </c>
    </row>
    <row r="7" spans="1:16">
      <c r="A7" s="3" t="s">
        <v>131</v>
      </c>
      <c r="B7" s="3"/>
      <c r="C7" s="3">
        <f t="shared" ref="C7:F7" si="3">SUM(C4:C6)</f>
        <v>83959</v>
      </c>
      <c r="D7" s="3">
        <f t="shared" si="3"/>
        <v>93512</v>
      </c>
      <c r="E7" s="3">
        <f t="shared" si="3"/>
        <v>90155</v>
      </c>
      <c r="F7" s="3">
        <f t="shared" si="3"/>
        <v>87693</v>
      </c>
      <c r="G7" s="3">
        <f>SUM(G4:G6)</f>
        <v>87926</v>
      </c>
      <c r="H7" s="3"/>
      <c r="I7" s="3"/>
      <c r="J7" s="159">
        <f>SUM(J4:J6)</f>
        <v>89785.398913488418</v>
      </c>
      <c r="K7" s="159">
        <f t="shared" ref="K7:N7" si="4">SUM(K4:K6)</f>
        <v>91440.331554504242</v>
      </c>
      <c r="L7" s="159">
        <f t="shared" si="4"/>
        <v>93465.763173656815</v>
      </c>
      <c r="M7" s="159">
        <f t="shared" si="4"/>
        <v>95421.303194072956</v>
      </c>
      <c r="N7" s="159">
        <f t="shared" si="4"/>
        <v>97428.320896841324</v>
      </c>
    </row>
    <row r="9" spans="1:16">
      <c r="J9" s="154"/>
      <c r="K9" s="154"/>
      <c r="L9" s="154"/>
      <c r="M9" s="154"/>
    </row>
    <row r="10" spans="1:16">
      <c r="A10" t="s">
        <v>132</v>
      </c>
      <c r="K10" s="151"/>
      <c r="L10" s="151"/>
      <c r="M10" s="151"/>
      <c r="N10" s="151"/>
    </row>
    <row r="11" spans="1:16">
      <c r="A11" t="s">
        <v>133</v>
      </c>
      <c r="K11" s="151"/>
      <c r="L11" s="152"/>
      <c r="M11" s="152"/>
      <c r="N11" s="152"/>
    </row>
    <row r="12" spans="1:16">
      <c r="A12" t="s">
        <v>134</v>
      </c>
      <c r="C12">
        <f>8116+1791</f>
        <v>9907</v>
      </c>
      <c r="D12">
        <f>9084+1971</f>
        <v>11055</v>
      </c>
      <c r="E12">
        <v>10896</v>
      </c>
      <c r="F12">
        <v>10543</v>
      </c>
      <c r="G12">
        <v>10520</v>
      </c>
      <c r="J12" s="158">
        <f>J48*J43/1000</f>
        <v>10653.830643455998</v>
      </c>
      <c r="K12" s="158">
        <f t="shared" ref="K12:N12" si="5">K48*K43/1000</f>
        <v>10705.501722076759</v>
      </c>
      <c r="L12" s="158">
        <f t="shared" si="5"/>
        <v>10866.084247907909</v>
      </c>
      <c r="M12" s="158">
        <f t="shared" si="5"/>
        <v>11139.366266742793</v>
      </c>
      <c r="N12" s="158">
        <f t="shared" si="5"/>
        <v>11419.521328351373</v>
      </c>
      <c r="P12" s="154"/>
    </row>
    <row r="13" spans="1:16">
      <c r="A13" t="s">
        <v>135</v>
      </c>
      <c r="C13">
        <v>4984</v>
      </c>
      <c r="D13">
        <v>5330</v>
      </c>
      <c r="E13">
        <v>5126</v>
      </c>
      <c r="F13">
        <v>4926</v>
      </c>
      <c r="G13">
        <v>5007</v>
      </c>
      <c r="J13" s="158">
        <f>J52*J43/1000</f>
        <v>5176.5974399999996</v>
      </c>
      <c r="K13" s="158">
        <f t="shared" ref="K13:N13" si="6">K52*K43/1000</f>
        <v>5332.9306826880002</v>
      </c>
      <c r="L13" s="158">
        <f t="shared" si="6"/>
        <v>5493.9851893051782</v>
      </c>
      <c r="M13" s="158">
        <f t="shared" si="6"/>
        <v>5659.9035420221944</v>
      </c>
      <c r="N13" s="158">
        <f t="shared" si="6"/>
        <v>5830.8326289912648</v>
      </c>
      <c r="P13" s="154"/>
    </row>
    <row r="14" spans="1:16">
      <c r="A14" t="s">
        <v>136</v>
      </c>
      <c r="C14">
        <v>30496</v>
      </c>
      <c r="D14">
        <v>33232</v>
      </c>
      <c r="E14">
        <v>32352</v>
      </c>
      <c r="F14">
        <v>32981</v>
      </c>
      <c r="G14">
        <v>33887</v>
      </c>
      <c r="J14" s="158">
        <f>J56*260/1000</f>
        <v>35373.279144580003</v>
      </c>
      <c r="K14" s="158">
        <f t="shared" ref="K14:N14" si="7">K56*260/1000</f>
        <v>36084.282055386058</v>
      </c>
      <c r="L14" s="158">
        <f t="shared" si="7"/>
        <v>36809.576124699335</v>
      </c>
      <c r="M14" s="158">
        <f t="shared" si="7"/>
        <v>37177.671885946322</v>
      </c>
      <c r="N14" s="158">
        <f t="shared" si="7"/>
        <v>37549.448604805788</v>
      </c>
      <c r="P14" s="154"/>
    </row>
    <row r="15" spans="1:16">
      <c r="A15" s="3" t="s">
        <v>137</v>
      </c>
      <c r="B15" s="3"/>
      <c r="C15" s="3">
        <f t="shared" ref="C15:E15" si="8">SUM(C12:C14)</f>
        <v>45387</v>
      </c>
      <c r="D15" s="3">
        <f t="shared" si="8"/>
        <v>49617</v>
      </c>
      <c r="E15" s="3">
        <f t="shared" si="8"/>
        <v>48374</v>
      </c>
      <c r="F15" s="3">
        <f>SUM(F12:F14)</f>
        <v>48450</v>
      </c>
      <c r="G15" s="3">
        <f>SUM(G12:G14)</f>
        <v>49414</v>
      </c>
      <c r="H15" s="3"/>
      <c r="I15" s="3"/>
      <c r="J15" s="159">
        <f t="shared" ref="J15:N15" si="9">SUM(J12:J14)</f>
        <v>51203.707228036001</v>
      </c>
      <c r="K15" s="159">
        <f t="shared" si="9"/>
        <v>52122.714460150819</v>
      </c>
      <c r="L15" s="159">
        <f t="shared" si="9"/>
        <v>53169.645561912424</v>
      </c>
      <c r="M15" s="159">
        <f t="shared" si="9"/>
        <v>53976.941694711306</v>
      </c>
      <c r="N15" s="159">
        <f t="shared" si="9"/>
        <v>54799.802562148427</v>
      </c>
      <c r="P15" s="154"/>
    </row>
    <row r="16" spans="1:16">
      <c r="A16" t="s">
        <v>138</v>
      </c>
      <c r="C16">
        <v>10317</v>
      </c>
      <c r="D16">
        <v>12130</v>
      </c>
      <c r="E16">
        <v>10938</v>
      </c>
      <c r="F16">
        <v>9454</v>
      </c>
      <c r="G16">
        <v>8737</v>
      </c>
      <c r="K16" s="151"/>
      <c r="L16" s="153"/>
      <c r="M16" s="153"/>
      <c r="N16" s="153"/>
      <c r="P16" s="154"/>
    </row>
    <row r="17" spans="1:17">
      <c r="A17" t="s">
        <v>139</v>
      </c>
      <c r="C17">
        <v>2632</v>
      </c>
      <c r="D17">
        <v>2838</v>
      </c>
      <c r="E17">
        <v>3307</v>
      </c>
      <c r="F17">
        <v>4653</v>
      </c>
      <c r="G17">
        <v>5861</v>
      </c>
      <c r="K17" s="151"/>
      <c r="L17" s="153"/>
      <c r="M17" s="153"/>
      <c r="N17" s="153"/>
      <c r="P17" s="154"/>
    </row>
    <row r="18" spans="1:17">
      <c r="A18" s="3" t="s">
        <v>140</v>
      </c>
      <c r="B18" s="3"/>
      <c r="C18" s="3">
        <f t="shared" ref="C18:E18" si="10">SUM(C16:C17)</f>
        <v>12949</v>
      </c>
      <c r="D18" s="3">
        <f t="shared" si="10"/>
        <v>14968</v>
      </c>
      <c r="E18" s="3">
        <f t="shared" si="10"/>
        <v>14245</v>
      </c>
      <c r="F18" s="3">
        <f>SUM(F16:F17)</f>
        <v>14107</v>
      </c>
      <c r="G18" s="3">
        <f>SUM(G16:G17)</f>
        <v>14598</v>
      </c>
      <c r="J18" s="158">
        <f>J60*J43/1000</f>
        <v>14857.883758079999</v>
      </c>
      <c r="K18" s="158">
        <f t="shared" ref="K18:N18" si="11">K60*K43/1000</f>
        <v>15003.491018909182</v>
      </c>
      <c r="L18" s="158">
        <f t="shared" si="11"/>
        <v>15303.560839287366</v>
      </c>
      <c r="M18" s="158">
        <f t="shared" si="11"/>
        <v>15765.728376633846</v>
      </c>
      <c r="N18" s="158">
        <f t="shared" si="11"/>
        <v>16241.853373608186</v>
      </c>
      <c r="P18" s="154"/>
      <c r="Q18" t="s">
        <v>141</v>
      </c>
    </row>
    <row r="19" spans="1:17">
      <c r="A19" t="s">
        <v>142</v>
      </c>
      <c r="C19">
        <v>4640</v>
      </c>
      <c r="D19">
        <v>4340</v>
      </c>
      <c r="E19">
        <v>4552</v>
      </c>
      <c r="F19">
        <v>4659</v>
      </c>
      <c r="G19">
        <v>4495</v>
      </c>
      <c r="J19" s="158">
        <f>J64*J43/1000</f>
        <v>4576.3047974940464</v>
      </c>
      <c r="K19" s="158">
        <f t="shared" ref="K19:N19" si="12">K64*K43/1000</f>
        <v>4625.3602655857367</v>
      </c>
      <c r="L19" s="158">
        <f t="shared" si="12"/>
        <v>4674.9415812894576</v>
      </c>
      <c r="M19" s="158">
        <f t="shared" si="12"/>
        <v>4725.0543814021257</v>
      </c>
      <c r="N19" s="158">
        <f t="shared" si="12"/>
        <v>4775.7043631440092</v>
      </c>
      <c r="P19" s="154"/>
    </row>
    <row r="20" spans="1:17">
      <c r="A20" s="3" t="s">
        <v>143</v>
      </c>
      <c r="B20" s="3"/>
      <c r="C20" s="3">
        <f t="shared" ref="C20:E20" si="13">C19+C18+C15</f>
        <v>62976</v>
      </c>
      <c r="D20" s="3">
        <f t="shared" si="13"/>
        <v>68925</v>
      </c>
      <c r="E20" s="3">
        <f t="shared" si="13"/>
        <v>67171</v>
      </c>
      <c r="F20" s="3">
        <f>F19+F18+F15</f>
        <v>67216</v>
      </c>
      <c r="G20" s="3">
        <f>G19+G18+G15</f>
        <v>68507</v>
      </c>
      <c r="H20" s="3"/>
      <c r="I20" s="3"/>
      <c r="J20" s="159">
        <f t="shared" ref="J20:N20" si="14">J19+J18+J15</f>
        <v>70637.895783610045</v>
      </c>
      <c r="K20" s="159">
        <f t="shared" si="14"/>
        <v>71751.565744645734</v>
      </c>
      <c r="L20" s="159">
        <f t="shared" si="14"/>
        <v>73148.147982489245</v>
      </c>
      <c r="M20" s="159">
        <f t="shared" si="14"/>
        <v>74467.724452747279</v>
      </c>
      <c r="N20" s="159">
        <f t="shared" si="14"/>
        <v>75817.360298900618</v>
      </c>
      <c r="P20" s="154"/>
    </row>
    <row r="21" spans="1:17">
      <c r="J21" s="158"/>
      <c r="K21" s="160"/>
      <c r="L21" s="160"/>
      <c r="M21" s="160"/>
      <c r="N21" s="160"/>
      <c r="P21" s="154"/>
    </row>
    <row r="22" spans="1:17">
      <c r="A22" t="s">
        <v>144</v>
      </c>
      <c r="J22" s="158"/>
      <c r="K22" s="160"/>
      <c r="L22" s="160"/>
      <c r="M22" s="160"/>
      <c r="N22" s="160"/>
      <c r="P22" s="154"/>
    </row>
    <row r="23" spans="1:17">
      <c r="A23" t="s">
        <v>145</v>
      </c>
      <c r="C23">
        <v>3325</v>
      </c>
      <c r="D23">
        <v>3041</v>
      </c>
      <c r="E23">
        <v>2883</v>
      </c>
      <c r="F23">
        <v>2391</v>
      </c>
      <c r="G23">
        <v>1536</v>
      </c>
      <c r="J23" s="158">
        <f>J68*J43/1000</f>
        <v>1185.6573756639823</v>
      </c>
      <c r="K23" s="158">
        <f t="shared" ref="K23:N23" si="15">K68*K43/1000</f>
        <v>1244.9402444471812</v>
      </c>
      <c r="L23" s="158">
        <f t="shared" si="15"/>
        <v>1307.9342208162088</v>
      </c>
      <c r="M23" s="158">
        <f t="shared" si="15"/>
        <v>1374.1156923895089</v>
      </c>
      <c r="N23" s="158">
        <f t="shared" si="15"/>
        <v>1443.6459464244181</v>
      </c>
      <c r="P23" s="154"/>
    </row>
    <row r="24" spans="1:17">
      <c r="A24" t="s">
        <v>146</v>
      </c>
      <c r="C24">
        <v>3030</v>
      </c>
      <c r="D24">
        <v>3840</v>
      </c>
      <c r="E24">
        <v>3059</v>
      </c>
      <c r="F24">
        <v>2205</v>
      </c>
      <c r="G24">
        <v>2320</v>
      </c>
      <c r="J24" s="158"/>
      <c r="K24" s="160"/>
      <c r="L24" s="160"/>
      <c r="M24" s="160"/>
      <c r="N24" s="160"/>
      <c r="P24" s="154"/>
    </row>
    <row r="25" spans="1:17">
      <c r="A25" t="s">
        <v>139</v>
      </c>
      <c r="C25">
        <f>1582+245</f>
        <v>1827</v>
      </c>
      <c r="D25">
        <f>1653+177</f>
        <v>1830</v>
      </c>
      <c r="E25">
        <v>1719</v>
      </c>
      <c r="F25">
        <v>1874</v>
      </c>
      <c r="G25">
        <v>1975</v>
      </c>
      <c r="J25" s="158">
        <f>J72*J43/1000</f>
        <v>4565.1452887040004</v>
      </c>
      <c r="K25" s="158">
        <f t="shared" ref="K25:N25" si="16">K72*K43/1000</f>
        <v>4749.1206438387717</v>
      </c>
      <c r="L25" s="158">
        <f t="shared" si="16"/>
        <v>4930.5905824249085</v>
      </c>
      <c r="M25" s="158">
        <f t="shared" si="16"/>
        <v>5104.3939004553858</v>
      </c>
      <c r="N25" s="158">
        <f t="shared" si="16"/>
        <v>5284.3237854464378</v>
      </c>
      <c r="P25" s="154"/>
      <c r="Q25" t="s">
        <v>141</v>
      </c>
    </row>
    <row r="26" spans="1:17">
      <c r="A26" s="3" t="s">
        <v>147</v>
      </c>
      <c r="B26" s="3"/>
      <c r="C26" s="3">
        <f t="shared" ref="C26:E26" si="17">SUM(C23:C25)</f>
        <v>8182</v>
      </c>
      <c r="D26" s="3">
        <f t="shared" si="17"/>
        <v>8711</v>
      </c>
      <c r="E26" s="3">
        <f t="shared" si="17"/>
        <v>7661</v>
      </c>
      <c r="F26" s="3">
        <f>SUM(F23:F25)</f>
        <v>6470</v>
      </c>
      <c r="G26" s="3">
        <f>SUM(G23:G25)</f>
        <v>5831</v>
      </c>
      <c r="H26" s="3"/>
      <c r="I26" s="3"/>
      <c r="J26" s="159">
        <f t="shared" ref="J26:N26" si="18">SUM(J23:J25)</f>
        <v>5750.8026643679823</v>
      </c>
      <c r="K26" s="159">
        <f t="shared" si="18"/>
        <v>5994.0608882859524</v>
      </c>
      <c r="L26" s="159">
        <f t="shared" si="18"/>
        <v>6238.5248032411173</v>
      </c>
      <c r="M26" s="159">
        <f t="shared" si="18"/>
        <v>6478.5095928448945</v>
      </c>
      <c r="N26" s="159">
        <f t="shared" si="18"/>
        <v>6727.9697318708559</v>
      </c>
      <c r="P26" s="154"/>
    </row>
    <row r="27" spans="1:17">
      <c r="J27" s="158"/>
      <c r="K27" s="160"/>
      <c r="L27" s="160"/>
      <c r="M27" s="160"/>
      <c r="N27" s="160"/>
      <c r="P27" s="154"/>
    </row>
    <row r="28" spans="1:17">
      <c r="A28" t="s">
        <v>148</v>
      </c>
      <c r="C28">
        <v>1416</v>
      </c>
      <c r="D28">
        <v>1410</v>
      </c>
      <c r="E28">
        <v>1052</v>
      </c>
      <c r="F28">
        <v>977</v>
      </c>
      <c r="G28">
        <v>966</v>
      </c>
      <c r="J28" s="158">
        <v>950</v>
      </c>
      <c r="K28" s="158">
        <v>950</v>
      </c>
      <c r="L28" s="158">
        <v>950</v>
      </c>
      <c r="M28" s="158">
        <v>950</v>
      </c>
      <c r="N28" s="158">
        <v>950</v>
      </c>
      <c r="P28" s="154"/>
    </row>
    <row r="29" spans="1:17">
      <c r="J29" s="158"/>
      <c r="K29" s="160"/>
      <c r="L29" s="160"/>
      <c r="M29" s="160"/>
      <c r="N29" s="160"/>
      <c r="P29" s="154"/>
    </row>
    <row r="30" spans="1:17">
      <c r="A30" t="s">
        <v>128</v>
      </c>
      <c r="C30">
        <f t="shared" ref="C30:E30" si="19">C28+C26+C20</f>
        <v>72574</v>
      </c>
      <c r="D30">
        <f t="shared" si="19"/>
        <v>79046</v>
      </c>
      <c r="E30">
        <f t="shared" si="19"/>
        <v>75884</v>
      </c>
      <c r="F30">
        <f>F28+F26+F20</f>
        <v>74663</v>
      </c>
      <c r="G30">
        <f>G28+G26+G20</f>
        <v>75304</v>
      </c>
      <c r="J30" s="158">
        <f>J28+J26+J20</f>
        <v>77338.698447978022</v>
      </c>
      <c r="K30" s="158">
        <f t="shared" ref="K30:M30" si="20">K28+K26+K20</f>
        <v>78695.626632931686</v>
      </c>
      <c r="L30" s="158">
        <f t="shared" si="20"/>
        <v>80336.672785730363</v>
      </c>
      <c r="M30" s="158">
        <f t="shared" si="20"/>
        <v>81896.23404559218</v>
      </c>
      <c r="N30" s="158">
        <f>N28+N26+N20</f>
        <v>83495.330030771467</v>
      </c>
      <c r="P30" s="154"/>
    </row>
    <row r="31" spans="1:17">
      <c r="J31" s="162">
        <f>(J30-G30)/G30</f>
        <v>2.7019792414453708E-2</v>
      </c>
      <c r="K31" s="176">
        <f>(K30-J30)/J30</f>
        <v>1.7545267921290443E-2</v>
      </c>
      <c r="L31" s="176">
        <f t="shared" ref="L31:M31" si="21">(L30-K30)/K30</f>
        <v>2.0853079427821091E-2</v>
      </c>
      <c r="M31" s="176">
        <f t="shared" si="21"/>
        <v>1.9412818651593836E-2</v>
      </c>
      <c r="N31" s="176">
        <f>(N30-M30)/M30</f>
        <v>1.9525879349825286E-2</v>
      </c>
      <c r="P31" s="154"/>
    </row>
    <row r="32" spans="1:17">
      <c r="A32" t="s">
        <v>149</v>
      </c>
      <c r="C32">
        <v>7833</v>
      </c>
      <c r="D32">
        <v>9532</v>
      </c>
      <c r="E32">
        <v>10084</v>
      </c>
      <c r="F32">
        <v>9429</v>
      </c>
      <c r="G32">
        <v>8892</v>
      </c>
      <c r="J32" s="158">
        <f>(J79+J83)*J43/1000</f>
        <v>8962.7004655103974</v>
      </c>
      <c r="K32" s="158">
        <f t="shared" ref="K32:N32" si="22">(K79+K83)*K43/1000</f>
        <v>9156.043024969611</v>
      </c>
      <c r="L32" s="158">
        <f t="shared" si="22"/>
        <v>9432.6224751452119</v>
      </c>
      <c r="M32" s="158">
        <f t="shared" si="22"/>
        <v>9717.5566483046969</v>
      </c>
      <c r="N32" s="158">
        <f t="shared" si="22"/>
        <v>10011.097918245145</v>
      </c>
      <c r="P32" s="154"/>
    </row>
    <row r="33" spans="1:16">
      <c r="J33" s="162">
        <f>(J32-G32)/G32</f>
        <v>7.9510195130901261E-3</v>
      </c>
      <c r="K33" s="176">
        <f>(K32-J32)/J32</f>
        <v>2.157190906950647E-2</v>
      </c>
      <c r="L33" s="176">
        <f t="shared" ref="L33:N33" si="23">(L32-K32)/K32</f>
        <v>3.0207312200405352E-2</v>
      </c>
      <c r="M33" s="176">
        <f t="shared" si="23"/>
        <v>3.0207312325949792E-2</v>
      </c>
      <c r="N33" s="176">
        <f t="shared" si="23"/>
        <v>3.0207312451495549E-2</v>
      </c>
      <c r="P33" s="154"/>
    </row>
    <row r="34" spans="1:16">
      <c r="A34" t="s">
        <v>150</v>
      </c>
      <c r="C34">
        <f>3520+32</f>
        <v>3552</v>
      </c>
      <c r="D34">
        <f>4681+253</f>
        <v>4934</v>
      </c>
      <c r="E34">
        <v>4187</v>
      </c>
      <c r="F34">
        <v>3601</v>
      </c>
      <c r="G34">
        <v>3730</v>
      </c>
      <c r="J34" s="158">
        <f>J88</f>
        <v>3484</v>
      </c>
      <c r="K34" s="158">
        <f t="shared" ref="K34:N34" si="24">K88</f>
        <v>3588.6618966029459</v>
      </c>
      <c r="L34" s="158">
        <f t="shared" si="24"/>
        <v>3696.4679127812437</v>
      </c>
      <c r="M34" s="158">
        <f t="shared" si="24"/>
        <v>3807.5125001760821</v>
      </c>
      <c r="N34" s="158">
        <f t="shared" si="24"/>
        <v>3921.8929478247196</v>
      </c>
      <c r="P34" s="154"/>
    </row>
    <row r="35" spans="1:16">
      <c r="J35" s="162">
        <f>(J34-G34)/G34</f>
        <v>-6.595174262734585E-2</v>
      </c>
      <c r="K35" s="176">
        <f>(K34-J34)/J34</f>
        <v>3.0040728072028112E-2</v>
      </c>
      <c r="L35" s="176">
        <f t="shared" ref="L35:N35" si="25">(L34-K34)/K34</f>
        <v>3.0040728072028122E-2</v>
      </c>
      <c r="M35" s="176">
        <f t="shared" si="25"/>
        <v>3.0040728072028025E-2</v>
      </c>
      <c r="N35" s="176">
        <f t="shared" si="25"/>
        <v>3.0040728072028101E-2</v>
      </c>
      <c r="P35" s="154"/>
    </row>
    <row r="36" spans="1:16">
      <c r="A36" s="344" t="s">
        <v>151</v>
      </c>
      <c r="B36" s="344"/>
      <c r="C36" s="344">
        <f t="shared" ref="C36:F36" si="26">SUM(C30:C34)</f>
        <v>83959</v>
      </c>
      <c r="D36" s="344">
        <f t="shared" si="26"/>
        <v>93512</v>
      </c>
      <c r="E36" s="344">
        <f t="shared" si="26"/>
        <v>90155</v>
      </c>
      <c r="F36" s="344">
        <f t="shared" si="26"/>
        <v>87693</v>
      </c>
      <c r="G36" s="344">
        <f>SUM(G30:G34)</f>
        <v>87926</v>
      </c>
      <c r="H36" s="345"/>
      <c r="I36" s="345"/>
      <c r="J36" s="346">
        <f t="shared" ref="J36:N36" si="27">J89</f>
        <v>89241.194618956433</v>
      </c>
      <c r="K36" s="346">
        <f t="shared" si="27"/>
        <v>90885.188753652168</v>
      </c>
      <c r="L36" s="346">
        <f t="shared" si="27"/>
        <v>92899.462002507586</v>
      </c>
      <c r="M36" s="346">
        <f t="shared" si="27"/>
        <v>94849.339011212229</v>
      </c>
      <c r="N36" s="346">
        <f t="shared" si="27"/>
        <v>96850.637072152022</v>
      </c>
      <c r="P36" s="154"/>
    </row>
    <row r="37" spans="1:16">
      <c r="C37" s="158"/>
      <c r="D37" s="158"/>
      <c r="E37" s="158"/>
      <c r="F37" s="158"/>
      <c r="G37" s="158"/>
    </row>
    <row r="39" spans="1:16">
      <c r="E39" s="462" t="s">
        <v>152</v>
      </c>
      <c r="F39" s="462"/>
      <c r="G39" s="462"/>
      <c r="H39" s="462"/>
      <c r="I39" s="462"/>
    </row>
    <row r="41" spans="1:16">
      <c r="A41" t="s">
        <v>153</v>
      </c>
      <c r="B41" t="s">
        <v>154</v>
      </c>
    </row>
    <row r="42" spans="1:16">
      <c r="A42" t="s">
        <v>155</v>
      </c>
      <c r="B42" t="s">
        <v>156</v>
      </c>
    </row>
    <row r="43" spans="1:16">
      <c r="A43" t="s">
        <v>157</v>
      </c>
      <c r="C43">
        <v>256</v>
      </c>
      <c r="D43">
        <v>257</v>
      </c>
      <c r="E43">
        <v>255</v>
      </c>
      <c r="F43">
        <v>256</v>
      </c>
      <c r="G43">
        <v>254</v>
      </c>
      <c r="H43">
        <v>254</v>
      </c>
      <c r="J43">
        <v>256</v>
      </c>
      <c r="K43">
        <v>256</v>
      </c>
      <c r="L43">
        <v>256</v>
      </c>
      <c r="M43">
        <v>256</v>
      </c>
      <c r="N43">
        <v>256</v>
      </c>
      <c r="P43" t="s">
        <v>158</v>
      </c>
    </row>
    <row r="45" spans="1:16">
      <c r="A45" s="2" t="s">
        <v>128</v>
      </c>
      <c r="C45" s="331">
        <v>2021</v>
      </c>
      <c r="D45" s="331">
        <v>2022</v>
      </c>
      <c r="E45" s="331">
        <v>2023</v>
      </c>
      <c r="F45" s="331">
        <v>2024</v>
      </c>
      <c r="G45" s="331">
        <v>2025</v>
      </c>
      <c r="H45" s="331" t="s">
        <v>159</v>
      </c>
      <c r="I45" s="331"/>
      <c r="J45" s="331" t="s">
        <v>122</v>
      </c>
      <c r="K45" s="331" t="s">
        <v>123</v>
      </c>
      <c r="L45" s="331" t="s">
        <v>124</v>
      </c>
      <c r="M45" s="331" t="s">
        <v>125</v>
      </c>
      <c r="N45" s="331" t="s">
        <v>126</v>
      </c>
    </row>
    <row r="46" spans="1:16">
      <c r="A46" s="157" t="s">
        <v>160</v>
      </c>
      <c r="C46" s="323">
        <v>1932</v>
      </c>
      <c r="D46" s="323">
        <v>1927</v>
      </c>
      <c r="E46" s="323">
        <v>1724</v>
      </c>
      <c r="F46" s="323">
        <v>1649</v>
      </c>
      <c r="G46" s="323">
        <v>1609</v>
      </c>
      <c r="H46" s="323">
        <v>1654</v>
      </c>
      <c r="I46" s="323"/>
      <c r="J46" s="323">
        <f>G46*(1+J97)</f>
        <v>1592.91</v>
      </c>
      <c r="K46" s="323">
        <f>J46*(1+K97)</f>
        <v>1576.9809</v>
      </c>
      <c r="L46" s="323">
        <f t="shared" ref="L46:N46" si="28">K46*(1+L97)</f>
        <v>1576.9809</v>
      </c>
      <c r="M46" s="323">
        <f t="shared" si="28"/>
        <v>1592.7507090000001</v>
      </c>
      <c r="N46" s="323">
        <f t="shared" si="28"/>
        <v>1608.6782160900002</v>
      </c>
    </row>
    <row r="47" spans="1:16">
      <c r="A47" s="157" t="s">
        <v>161</v>
      </c>
      <c r="C47" s="322">
        <v>20.111699999999999</v>
      </c>
      <c r="D47" s="322">
        <v>22.499300000000002</v>
      </c>
      <c r="E47" s="322">
        <v>24.78</v>
      </c>
      <c r="F47" s="322">
        <v>24.98</v>
      </c>
      <c r="G47" s="322">
        <v>25.74</v>
      </c>
      <c r="H47" s="322">
        <v>26.13</v>
      </c>
      <c r="I47" s="323"/>
      <c r="J47" s="322">
        <f>G47*(1+J98)</f>
        <v>26.126099999999997</v>
      </c>
      <c r="K47" s="322">
        <f>J47*(1+K98)</f>
        <v>26.517991499999994</v>
      </c>
      <c r="L47" s="322">
        <f t="shared" ref="L47:N47" si="29">K47*(1+L98)</f>
        <v>26.91576137249999</v>
      </c>
      <c r="M47" s="322">
        <f t="shared" si="29"/>
        <v>27.319497793087486</v>
      </c>
      <c r="N47" s="322">
        <f t="shared" si="29"/>
        <v>27.729290259983795</v>
      </c>
    </row>
    <row r="48" spans="1:16">
      <c r="A48" s="157" t="s">
        <v>162</v>
      </c>
      <c r="C48" s="323">
        <f t="shared" ref="C48:D48" si="30">C46*C47</f>
        <v>38855.804400000001</v>
      </c>
      <c r="D48" s="323">
        <f t="shared" si="30"/>
        <v>43356.151100000003</v>
      </c>
      <c r="E48" s="323">
        <f>E46*E47</f>
        <v>42720.72</v>
      </c>
      <c r="F48" s="323">
        <f>F46*F47</f>
        <v>41192.020000000004</v>
      </c>
      <c r="G48" s="323">
        <f>G46*G47</f>
        <v>41415.659999999996</v>
      </c>
      <c r="H48" s="323">
        <f>H46*H47</f>
        <v>43219.02</v>
      </c>
      <c r="I48" s="323"/>
      <c r="J48" s="323">
        <f>J46*J47</f>
        <v>41616.525950999996</v>
      </c>
      <c r="K48" s="323">
        <f t="shared" ref="K48:N48" si="31">K46*K47</f>
        <v>41818.366101862339</v>
      </c>
      <c r="L48" s="323">
        <f t="shared" si="31"/>
        <v>42445.641593390268</v>
      </c>
      <c r="M48" s="323">
        <f t="shared" si="31"/>
        <v>43513.149479464031</v>
      </c>
      <c r="N48" s="323">
        <f t="shared" si="31"/>
        <v>44607.50518887255</v>
      </c>
    </row>
    <row r="49" spans="1:14">
      <c r="A49" s="157"/>
      <c r="C49" s="323"/>
      <c r="D49" s="323"/>
      <c r="E49" s="323"/>
      <c r="F49" s="323"/>
      <c r="G49" s="323"/>
      <c r="H49" s="323"/>
      <c r="I49" s="323"/>
      <c r="J49" s="323"/>
      <c r="K49" s="323"/>
      <c r="L49" s="323"/>
      <c r="M49" s="323"/>
      <c r="N49" s="323"/>
    </row>
    <row r="50" spans="1:14">
      <c r="A50" s="157" t="s">
        <v>163</v>
      </c>
      <c r="C50" s="323">
        <v>1351</v>
      </c>
      <c r="D50" s="323">
        <v>1262</v>
      </c>
      <c r="E50" s="323">
        <v>1064</v>
      </c>
      <c r="F50" s="323">
        <v>1015</v>
      </c>
      <c r="G50" s="323">
        <v>1052</v>
      </c>
      <c r="H50" s="323">
        <v>1061</v>
      </c>
      <c r="I50" s="323"/>
      <c r="J50" s="323">
        <f t="shared" ref="J50:J51" si="32">G50*(1+J101)</f>
        <v>1067.78</v>
      </c>
      <c r="K50" s="323">
        <f t="shared" ref="K50:N51" si="33">J50*(1+K101)</f>
        <v>1089.1356000000001</v>
      </c>
      <c r="L50" s="323">
        <f t="shared" si="33"/>
        <v>1110.918312</v>
      </c>
      <c r="M50" s="323">
        <f t="shared" si="33"/>
        <v>1133.13667824</v>
      </c>
      <c r="N50" s="323">
        <f t="shared" si="33"/>
        <v>1155.7994118048</v>
      </c>
    </row>
    <row r="51" spans="1:14">
      <c r="A51" s="157" t="s">
        <v>164</v>
      </c>
      <c r="C51" s="322">
        <v>14.46</v>
      </c>
      <c r="D51" s="322">
        <v>16.559999999999999</v>
      </c>
      <c r="E51" s="322">
        <v>18.91</v>
      </c>
      <c r="F51" s="322">
        <v>18.97</v>
      </c>
      <c r="G51" s="322">
        <v>18.75</v>
      </c>
      <c r="H51" s="322">
        <v>18.760000000000002</v>
      </c>
      <c r="I51" s="323"/>
      <c r="J51" s="322">
        <f t="shared" si="32"/>
        <v>18.9375</v>
      </c>
      <c r="K51" s="322">
        <f t="shared" si="33"/>
        <v>19.126875000000002</v>
      </c>
      <c r="L51" s="322">
        <f t="shared" si="33"/>
        <v>19.318143750000001</v>
      </c>
      <c r="M51" s="322">
        <f t="shared" si="33"/>
        <v>19.511325187500002</v>
      </c>
      <c r="N51" s="322">
        <f t="shared" si="33"/>
        <v>19.706438439375003</v>
      </c>
    </row>
    <row r="52" spans="1:14">
      <c r="A52" s="157" t="s">
        <v>162</v>
      </c>
      <c r="C52" s="323">
        <f t="shared" ref="C52:N52" si="34">C51*C50</f>
        <v>19535.460000000003</v>
      </c>
      <c r="D52" s="323">
        <f t="shared" si="34"/>
        <v>20898.719999999998</v>
      </c>
      <c r="E52" s="323">
        <f t="shared" si="34"/>
        <v>20120.240000000002</v>
      </c>
      <c r="F52" s="323">
        <f t="shared" si="34"/>
        <v>19254.55</v>
      </c>
      <c r="G52" s="323">
        <f t="shared" si="34"/>
        <v>19725</v>
      </c>
      <c r="H52" s="323">
        <f t="shared" si="34"/>
        <v>19904.36</v>
      </c>
      <c r="I52" s="323"/>
      <c r="J52" s="323">
        <f t="shared" si="34"/>
        <v>20221.083749999998</v>
      </c>
      <c r="K52" s="323">
        <f t="shared" si="34"/>
        <v>20831.760479250002</v>
      </c>
      <c r="L52" s="323">
        <f t="shared" si="34"/>
        <v>21460.879645723351</v>
      </c>
      <c r="M52" s="323">
        <f t="shared" si="34"/>
        <v>22108.998211024198</v>
      </c>
      <c r="N52" s="323">
        <f t="shared" si="34"/>
        <v>22776.689956997128</v>
      </c>
    </row>
    <row r="53" spans="1:14">
      <c r="A53" s="157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</row>
    <row r="54" spans="1:14">
      <c r="A54" s="157" t="s">
        <v>165</v>
      </c>
      <c r="C54" s="323">
        <v>12210</v>
      </c>
      <c r="D54" s="323">
        <v>12043</v>
      </c>
      <c r="E54" s="323">
        <f>6756+4194</f>
        <v>10950</v>
      </c>
      <c r="F54" s="323">
        <f>6678+4276</f>
        <v>10954</v>
      </c>
      <c r="G54" s="323">
        <f>7041+4252</f>
        <v>11293</v>
      </c>
      <c r="H54" s="323">
        <f>6915+4290</f>
        <v>11205</v>
      </c>
      <c r="I54" s="323"/>
      <c r="J54" s="323">
        <f>G54*(1+J105)</f>
        <v>11405.93</v>
      </c>
      <c r="K54" s="323">
        <f t="shared" ref="K54:N54" si="35">J54*(1+K105)</f>
        <v>11519.989300000001</v>
      </c>
      <c r="L54" s="323">
        <f t="shared" si="35"/>
        <v>11635.189193000002</v>
      </c>
      <c r="M54" s="323">
        <f t="shared" si="35"/>
        <v>11751.541084930002</v>
      </c>
      <c r="N54" s="323">
        <f t="shared" si="35"/>
        <v>11869.056495779303</v>
      </c>
    </row>
    <row r="55" spans="1:14">
      <c r="A55" s="157" t="s">
        <v>164</v>
      </c>
      <c r="C55" s="322">
        <v>9.6999999999999993</v>
      </c>
      <c r="D55" s="322">
        <v>10.64</v>
      </c>
      <c r="E55" s="322">
        <v>11.59</v>
      </c>
      <c r="F55" s="322">
        <v>11.76</v>
      </c>
      <c r="G55" s="322">
        <v>11.81</v>
      </c>
      <c r="H55" s="322">
        <v>12.07</v>
      </c>
      <c r="I55" s="323"/>
      <c r="J55" s="322">
        <f t="shared" ref="J55" si="36">G55*(1+J110)</f>
        <v>11.928100000000001</v>
      </c>
      <c r="K55" s="322">
        <f t="shared" ref="K55:N55" si="37">J55*(1+K110)</f>
        <v>12.047381000000001</v>
      </c>
      <c r="L55" s="322">
        <f t="shared" si="37"/>
        <v>12.167854810000001</v>
      </c>
      <c r="M55" s="322">
        <f t="shared" si="37"/>
        <v>12.167854810000001</v>
      </c>
      <c r="N55" s="322">
        <f t="shared" si="37"/>
        <v>12.167854810000001</v>
      </c>
    </row>
    <row r="56" spans="1:14">
      <c r="A56" s="157" t="s">
        <v>162</v>
      </c>
      <c r="C56" s="323">
        <f t="shared" ref="C56:N56" si="38">C54*C55</f>
        <v>118436.99999999999</v>
      </c>
      <c r="D56" s="323">
        <f t="shared" si="38"/>
        <v>128137.52</v>
      </c>
      <c r="E56" s="323">
        <f t="shared" si="38"/>
        <v>126910.5</v>
      </c>
      <c r="F56" s="323">
        <f t="shared" si="38"/>
        <v>128819.04</v>
      </c>
      <c r="G56" s="323">
        <f t="shared" si="38"/>
        <v>133370.33000000002</v>
      </c>
      <c r="H56" s="323">
        <f t="shared" si="38"/>
        <v>135244.35</v>
      </c>
      <c r="I56" s="323"/>
      <c r="J56" s="323">
        <f t="shared" si="38"/>
        <v>136051.07363300002</v>
      </c>
      <c r="K56" s="323">
        <f t="shared" si="38"/>
        <v>138785.70021302332</v>
      </c>
      <c r="L56" s="323">
        <f t="shared" si="38"/>
        <v>141575.29278730511</v>
      </c>
      <c r="M56" s="323">
        <f t="shared" si="38"/>
        <v>142991.04571517816</v>
      </c>
      <c r="N56" s="323">
        <f t="shared" si="38"/>
        <v>144420.95617232996</v>
      </c>
    </row>
    <row r="57" spans="1:14">
      <c r="A57" s="157"/>
      <c r="C57" s="323"/>
      <c r="D57" s="323"/>
      <c r="E57" s="323"/>
      <c r="F57" s="323"/>
      <c r="G57" s="323"/>
      <c r="H57" s="323"/>
      <c r="I57" s="323"/>
      <c r="J57" s="323"/>
      <c r="K57" s="323"/>
      <c r="L57" s="323"/>
      <c r="M57" s="323"/>
      <c r="N57" s="323"/>
    </row>
    <row r="58" spans="1:14">
      <c r="A58" s="157" t="s">
        <v>166</v>
      </c>
      <c r="C58" s="323">
        <v>1036</v>
      </c>
      <c r="D58" s="323">
        <v>1063</v>
      </c>
      <c r="E58" s="323">
        <v>1019</v>
      </c>
      <c r="F58" s="323">
        <v>1061</v>
      </c>
      <c r="G58" s="323">
        <v>1137</v>
      </c>
      <c r="H58" s="323">
        <v>1080</v>
      </c>
      <c r="I58" s="323"/>
      <c r="J58" s="323">
        <f>G58*(1+J117)</f>
        <v>1125.6299999999999</v>
      </c>
      <c r="K58" s="323">
        <f t="shared" ref="K58:N58" si="39">J58*(1+K117)</f>
        <v>1114.3736999999999</v>
      </c>
      <c r="L58" s="323">
        <f t="shared" si="39"/>
        <v>1114.3736999999999</v>
      </c>
      <c r="M58" s="323">
        <f t="shared" si="39"/>
        <v>1125.517437</v>
      </c>
      <c r="N58" s="323">
        <f t="shared" si="39"/>
        <v>1136.77261137</v>
      </c>
    </row>
    <row r="59" spans="1:14">
      <c r="A59" s="157" t="s">
        <v>164</v>
      </c>
      <c r="C59" s="322">
        <v>49.03</v>
      </c>
      <c r="D59" s="322">
        <v>55.21</v>
      </c>
      <c r="E59" s="322">
        <v>54.85</v>
      </c>
      <c r="F59" s="322">
        <v>51.94</v>
      </c>
      <c r="G59" s="322">
        <v>50.55</v>
      </c>
      <c r="H59" s="322">
        <v>52.27</v>
      </c>
      <c r="I59" s="323"/>
      <c r="J59" s="322">
        <f>G59*(1+J121)</f>
        <v>51.561</v>
      </c>
      <c r="K59" s="322">
        <f t="shared" ref="K59:N59" si="40">J59*(1+K121)</f>
        <v>52.592219999999998</v>
      </c>
      <c r="L59" s="322">
        <f t="shared" si="40"/>
        <v>53.644064399999998</v>
      </c>
      <c r="M59" s="322">
        <f t="shared" si="40"/>
        <v>54.716945687999996</v>
      </c>
      <c r="N59" s="322">
        <f t="shared" si="40"/>
        <v>55.811284601759994</v>
      </c>
    </row>
    <row r="60" spans="1:14">
      <c r="A60" s="157" t="s">
        <v>162</v>
      </c>
      <c r="C60" s="323">
        <f t="shared" ref="C60:N60" si="41">C59*C58</f>
        <v>50795.08</v>
      </c>
      <c r="D60" s="323">
        <f t="shared" si="41"/>
        <v>58688.23</v>
      </c>
      <c r="E60" s="323">
        <f t="shared" si="41"/>
        <v>55892.15</v>
      </c>
      <c r="F60" s="323">
        <f t="shared" si="41"/>
        <v>55108.34</v>
      </c>
      <c r="G60" s="323">
        <f t="shared" si="41"/>
        <v>57475.35</v>
      </c>
      <c r="H60" s="323">
        <f t="shared" si="41"/>
        <v>56451.600000000006</v>
      </c>
      <c r="I60" s="323"/>
      <c r="J60" s="323">
        <f t="shared" si="41"/>
        <v>58038.608429999993</v>
      </c>
      <c r="K60" s="323">
        <f t="shared" si="41"/>
        <v>58607.386792613994</v>
      </c>
      <c r="L60" s="323">
        <f t="shared" si="41"/>
        <v>59779.534528466269</v>
      </c>
      <c r="M60" s="323">
        <f t="shared" si="41"/>
        <v>61584.876471225958</v>
      </c>
      <c r="N60" s="323">
        <f t="shared" si="41"/>
        <v>63444.73974065698</v>
      </c>
    </row>
    <row r="61" spans="1:14">
      <c r="A61" s="157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</row>
    <row r="62" spans="1:14">
      <c r="A62" s="157" t="s">
        <v>167</v>
      </c>
      <c r="C62" s="323">
        <v>2362</v>
      </c>
      <c r="D62" s="323">
        <v>1954</v>
      </c>
      <c r="E62" s="323">
        <v>1967</v>
      </c>
      <c r="F62" s="323">
        <v>1936</v>
      </c>
      <c r="G62" s="323">
        <v>1910</v>
      </c>
      <c r="H62" s="323">
        <v>1806</v>
      </c>
      <c r="I62" s="323"/>
      <c r="J62" s="323">
        <f>G62*(1+J128)</f>
        <v>1873.2386907540724</v>
      </c>
      <c r="K62" s="323">
        <f t="shared" ref="K62:N62" si="42">J62*(1+K128)</f>
        <v>1837.1849175591788</v>
      </c>
      <c r="L62" s="323">
        <f t="shared" si="42"/>
        <v>1801.8250626396255</v>
      </c>
      <c r="M62" s="323">
        <f t="shared" si="42"/>
        <v>1767.1457703177625</v>
      </c>
      <c r="N62" s="323">
        <f t="shared" si="42"/>
        <v>1733.1339419694461</v>
      </c>
    </row>
    <row r="63" spans="1:14">
      <c r="A63" s="157" t="s">
        <v>164</v>
      </c>
      <c r="C63" s="322">
        <v>7.7</v>
      </c>
      <c r="D63" s="322">
        <v>8.7100000000000009</v>
      </c>
      <c r="E63" s="322">
        <v>9.07</v>
      </c>
      <c r="F63" s="322">
        <v>9.4</v>
      </c>
      <c r="G63" s="322">
        <v>9.26</v>
      </c>
      <c r="H63" s="322">
        <v>9.81</v>
      </c>
      <c r="I63" s="323"/>
      <c r="J63" s="322">
        <f>G63*(1+J129)</f>
        <v>9.5429326243603558</v>
      </c>
      <c r="K63" s="322">
        <f t="shared" ref="K63:N63" si="43">J63*(1+K129)</f>
        <v>9.8345100510886851</v>
      </c>
      <c r="L63" s="322">
        <f t="shared" si="43"/>
        <v>10.134996415889205</v>
      </c>
      <c r="M63" s="322">
        <f t="shared" si="43"/>
        <v>10.444663924942157</v>
      </c>
      <c r="N63" s="322">
        <f t="shared" si="43"/>
        <v>10.76379310149138</v>
      </c>
    </row>
    <row r="64" spans="1:14">
      <c r="A64" s="157" t="s">
        <v>162</v>
      </c>
      <c r="C64" s="323">
        <f t="shared" ref="C64:N64" si="44">C62*C63</f>
        <v>18187.400000000001</v>
      </c>
      <c r="D64" s="323">
        <f t="shared" si="44"/>
        <v>17019.34</v>
      </c>
      <c r="E64" s="323">
        <f t="shared" si="44"/>
        <v>17840.690000000002</v>
      </c>
      <c r="F64" s="323">
        <f t="shared" si="44"/>
        <v>18198.400000000001</v>
      </c>
      <c r="G64" s="323">
        <f t="shared" si="44"/>
        <v>17686.599999999999</v>
      </c>
      <c r="H64" s="323">
        <f t="shared" si="44"/>
        <v>17716.86</v>
      </c>
      <c r="I64" s="323"/>
      <c r="J64" s="323">
        <f t="shared" si="44"/>
        <v>17876.190615211119</v>
      </c>
      <c r="K64" s="323">
        <f t="shared" si="44"/>
        <v>18067.813537444283</v>
      </c>
      <c r="L64" s="323">
        <f t="shared" si="44"/>
        <v>18261.490551911946</v>
      </c>
      <c r="M64" s="323">
        <f t="shared" si="44"/>
        <v>18457.243677352053</v>
      </c>
      <c r="N64" s="323">
        <f t="shared" si="44"/>
        <v>18655.095168531287</v>
      </c>
    </row>
    <row r="65" spans="1:16">
      <c r="A65" s="2" t="s">
        <v>168</v>
      </c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</row>
    <row r="66" spans="1:16">
      <c r="A66" s="157" t="s">
        <v>169</v>
      </c>
      <c r="C66" s="323">
        <v>9231</v>
      </c>
      <c r="D66" s="323">
        <v>7935</v>
      </c>
      <c r="E66" s="323">
        <v>6711</v>
      </c>
      <c r="F66" s="323">
        <v>5636</v>
      </c>
      <c r="G66" s="323">
        <v>3137</v>
      </c>
      <c r="H66" s="323">
        <v>2165</v>
      </c>
      <c r="I66" s="323"/>
      <c r="J66" s="323">
        <f>G66*(1+J132)</f>
        <v>2195.8999999999996</v>
      </c>
      <c r="K66" s="323">
        <f t="shared" ref="K66:N66" si="45">J66*(1+K132)</f>
        <v>2195.8999999999996</v>
      </c>
      <c r="L66" s="323">
        <f t="shared" si="45"/>
        <v>2239.8179999999998</v>
      </c>
      <c r="M66" s="323">
        <f t="shared" si="45"/>
        <v>2284.6143599999996</v>
      </c>
      <c r="N66" s="323">
        <f t="shared" si="45"/>
        <v>2330.3066471999996</v>
      </c>
    </row>
    <row r="67" spans="1:16">
      <c r="A67" s="157" t="s">
        <v>164</v>
      </c>
      <c r="C67" s="322">
        <v>1.41</v>
      </c>
      <c r="D67" s="322">
        <v>1.5</v>
      </c>
      <c r="E67" s="322">
        <v>1.68</v>
      </c>
      <c r="F67" s="322">
        <v>1.66</v>
      </c>
      <c r="G67" s="322">
        <v>1.93</v>
      </c>
      <c r="H67" s="322">
        <v>2.1800000000000002</v>
      </c>
      <c r="I67" s="323"/>
      <c r="J67" s="322">
        <f>G67*(1+J133)</f>
        <v>2.109146192307223</v>
      </c>
      <c r="K67" s="322">
        <f t="shared" ref="K67:N67" si="46">J67*(1+K133)</f>
        <v>2.2146035019225843</v>
      </c>
      <c r="L67" s="322">
        <f t="shared" si="46"/>
        <v>2.2810416069802617</v>
      </c>
      <c r="M67" s="322">
        <f t="shared" si="46"/>
        <v>2.3494728551896698</v>
      </c>
      <c r="N67" s="322">
        <f t="shared" si="46"/>
        <v>2.4199570408453601</v>
      </c>
    </row>
    <row r="68" spans="1:16">
      <c r="A68" s="157" t="s">
        <v>162</v>
      </c>
      <c r="C68" s="323">
        <f t="shared" ref="C68:N68" si="47">C66*C67</f>
        <v>13015.71</v>
      </c>
      <c r="D68" s="323">
        <f t="shared" si="47"/>
        <v>11902.5</v>
      </c>
      <c r="E68" s="323">
        <f t="shared" si="47"/>
        <v>11274.48</v>
      </c>
      <c r="F68" s="323">
        <f t="shared" si="47"/>
        <v>9355.76</v>
      </c>
      <c r="G68" s="323">
        <f t="shared" si="47"/>
        <v>6054.41</v>
      </c>
      <c r="H68" s="323">
        <f t="shared" si="47"/>
        <v>4719.7000000000007</v>
      </c>
      <c r="I68" s="323"/>
      <c r="J68" s="323">
        <f t="shared" si="47"/>
        <v>4631.4741236874306</v>
      </c>
      <c r="K68" s="323">
        <f t="shared" si="47"/>
        <v>4863.0478298718017</v>
      </c>
      <c r="L68" s="323">
        <f t="shared" si="47"/>
        <v>5109.1180500633154</v>
      </c>
      <c r="M68" s="323">
        <f t="shared" si="47"/>
        <v>5367.6394233965193</v>
      </c>
      <c r="N68" s="323">
        <f t="shared" si="47"/>
        <v>5639.2419782203833</v>
      </c>
    </row>
    <row r="69" spans="1:16">
      <c r="A69" s="157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</row>
    <row r="70" spans="1:16">
      <c r="A70" s="157" t="s">
        <v>170</v>
      </c>
      <c r="C70" s="323">
        <v>18400</v>
      </c>
      <c r="D70" s="323">
        <v>18649</v>
      </c>
      <c r="E70" s="323">
        <v>17534</v>
      </c>
      <c r="F70" s="323">
        <f>11364+4444</f>
        <v>15808</v>
      </c>
      <c r="G70" s="323">
        <f>11365+4651</f>
        <v>16016</v>
      </c>
      <c r="H70" s="323">
        <v>15869</v>
      </c>
      <c r="I70" s="323"/>
      <c r="J70" s="323">
        <f>G70*(1+J136)</f>
        <v>16176.16</v>
      </c>
      <c r="K70" s="323">
        <f t="shared" ref="K70:N70" si="48">J70*(1+K136)</f>
        <v>16337.9216</v>
      </c>
      <c r="L70" s="323">
        <f t="shared" si="48"/>
        <v>16501.300815999999</v>
      </c>
      <c r="M70" s="323">
        <f t="shared" si="48"/>
        <v>16666.313824159999</v>
      </c>
      <c r="N70" s="323">
        <f t="shared" si="48"/>
        <v>16832.976962401601</v>
      </c>
    </row>
    <row r="71" spans="1:16">
      <c r="A71" s="157" t="s">
        <v>164</v>
      </c>
      <c r="C71" s="322">
        <v>0.98499999999999999</v>
      </c>
      <c r="D71" s="322">
        <v>1.1553</v>
      </c>
      <c r="E71" s="322">
        <v>1.07</v>
      </c>
      <c r="F71" s="322">
        <v>1.01</v>
      </c>
      <c r="G71" s="322">
        <v>1.06</v>
      </c>
      <c r="H71" s="322">
        <v>1.1100000000000001</v>
      </c>
      <c r="I71" s="323"/>
      <c r="J71" s="322">
        <f>G71*(1+J137)</f>
        <v>1.1024</v>
      </c>
      <c r="K71" s="322">
        <f t="shared" ref="K71:N71" si="49">J71*(1+K137)</f>
        <v>1.135472</v>
      </c>
      <c r="L71" s="322">
        <f t="shared" si="49"/>
        <v>1.1671879494447064</v>
      </c>
      <c r="M71" s="322">
        <f t="shared" si="49"/>
        <v>1.1963676481808239</v>
      </c>
      <c r="N71" s="322">
        <f t="shared" si="49"/>
        <v>1.2262768393853443</v>
      </c>
    </row>
    <row r="72" spans="1:16">
      <c r="A72" s="157" t="s">
        <v>162</v>
      </c>
      <c r="C72" s="323">
        <f>C71*C70</f>
        <v>18124</v>
      </c>
      <c r="D72" s="323">
        <f t="shared" ref="D72:N72" si="50">D71*D70</f>
        <v>21545.189699999999</v>
      </c>
      <c r="E72" s="323">
        <f t="shared" si="50"/>
        <v>18761.38</v>
      </c>
      <c r="F72" s="323">
        <f t="shared" si="50"/>
        <v>15966.08</v>
      </c>
      <c r="G72" s="323">
        <f t="shared" si="50"/>
        <v>16976.96</v>
      </c>
      <c r="H72" s="323">
        <f t="shared" si="50"/>
        <v>17614.59</v>
      </c>
      <c r="I72" s="323"/>
      <c r="J72" s="323">
        <f t="shared" si="50"/>
        <v>17832.598784000002</v>
      </c>
      <c r="K72" s="323">
        <f t="shared" si="50"/>
        <v>18551.252514995202</v>
      </c>
      <c r="L72" s="323">
        <f t="shared" si="50"/>
        <v>19260.1194625973</v>
      </c>
      <c r="M72" s="323">
        <f t="shared" si="50"/>
        <v>19939.038673653849</v>
      </c>
      <c r="N72" s="323">
        <f t="shared" si="50"/>
        <v>20641.889786900148</v>
      </c>
    </row>
    <row r="73" spans="1:16"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</row>
    <row r="74" spans="1:16">
      <c r="A74" s="157" t="s">
        <v>171</v>
      </c>
      <c r="C74" s="323">
        <f>C28</f>
        <v>1416</v>
      </c>
      <c r="D74" s="323">
        <f>D28</f>
        <v>1410</v>
      </c>
      <c r="E74" s="323">
        <f>E28</f>
        <v>1052</v>
      </c>
      <c r="F74" s="323">
        <f>F28</f>
        <v>977</v>
      </c>
      <c r="G74" s="323">
        <f>G28</f>
        <v>966</v>
      </c>
      <c r="H74" s="323"/>
      <c r="I74" s="323"/>
      <c r="J74" s="323">
        <v>950</v>
      </c>
      <c r="K74" s="323">
        <v>950</v>
      </c>
      <c r="L74" s="323">
        <v>950</v>
      </c>
      <c r="M74" s="323">
        <v>950</v>
      </c>
      <c r="N74" s="323">
        <v>950</v>
      </c>
      <c r="P74" s="2" t="s">
        <v>172</v>
      </c>
    </row>
    <row r="75" spans="1:16"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</row>
    <row r="76" spans="1:16">
      <c r="A76" s="2" t="s">
        <v>173</v>
      </c>
      <c r="C76" s="323"/>
      <c r="D76" s="323"/>
      <c r="E76" s="323"/>
      <c r="F76" s="323"/>
      <c r="G76" s="323"/>
      <c r="H76" s="323"/>
      <c r="I76" s="323"/>
      <c r="J76" s="323"/>
      <c r="K76" s="323"/>
      <c r="L76" s="323"/>
      <c r="M76" s="323"/>
      <c r="N76" s="323"/>
    </row>
    <row r="77" spans="1:16">
      <c r="A77" s="157" t="s">
        <v>174</v>
      </c>
      <c r="C77" s="323">
        <v>76.2</v>
      </c>
      <c r="D77" s="323">
        <v>79.099999999999994</v>
      </c>
      <c r="E77" s="323">
        <v>70.099999999999994</v>
      </c>
      <c r="F77" s="323">
        <v>64.900000000000006</v>
      </c>
      <c r="G77" s="323">
        <v>61.8</v>
      </c>
      <c r="H77" s="323">
        <v>62</v>
      </c>
      <c r="I77" s="323"/>
      <c r="J77" s="323">
        <f>G77*(1+J143)</f>
        <v>60.563999999999993</v>
      </c>
      <c r="K77" s="323">
        <f t="shared" ref="K77:N77" si="51">J77*(1+K143)</f>
        <v>61.169639999999994</v>
      </c>
      <c r="L77" s="323">
        <f t="shared" si="51"/>
        <v>62.393032799999993</v>
      </c>
      <c r="M77" s="323">
        <f t="shared" si="51"/>
        <v>63.640893455999993</v>
      </c>
      <c r="N77" s="323">
        <f t="shared" si="51"/>
        <v>64.913711325119991</v>
      </c>
    </row>
    <row r="78" spans="1:16">
      <c r="A78" s="157" t="s">
        <v>175</v>
      </c>
      <c r="C78" s="322">
        <v>313.67</v>
      </c>
      <c r="D78" s="322">
        <v>368.08</v>
      </c>
      <c r="E78" s="322">
        <v>417.5</v>
      </c>
      <c r="F78" s="322">
        <v>411.25</v>
      </c>
      <c r="G78" s="322">
        <v>405.53</v>
      </c>
      <c r="H78" s="322">
        <v>408.05</v>
      </c>
      <c r="I78" s="323"/>
      <c r="J78" s="322">
        <f>G78*(1+J144)</f>
        <v>409.58529999999996</v>
      </c>
      <c r="K78" s="322">
        <f t="shared" ref="K78:N78" si="52">J78*(1+K144)</f>
        <v>413.68115299999994</v>
      </c>
      <c r="L78" s="322">
        <f t="shared" si="52"/>
        <v>417.81796452999993</v>
      </c>
      <c r="M78" s="322">
        <f t="shared" si="52"/>
        <v>421.99614417529995</v>
      </c>
      <c r="N78" s="322">
        <f t="shared" si="52"/>
        <v>426.21610561705296</v>
      </c>
    </row>
    <row r="79" spans="1:16">
      <c r="A79" s="157" t="s">
        <v>162</v>
      </c>
      <c r="C79" s="323">
        <f>C77*C78</f>
        <v>23901.654000000002</v>
      </c>
      <c r="D79" s="323">
        <f>D77*D78</f>
        <v>29115.127999999997</v>
      </c>
      <c r="E79" s="323">
        <f>E77*E78</f>
        <v>29266.749999999996</v>
      </c>
      <c r="F79" s="323">
        <f t="shared" ref="F79:N79" si="53">F77*F78</f>
        <v>26690.125000000004</v>
      </c>
      <c r="G79" s="323">
        <f>G77*G78</f>
        <v>25061.753999999997</v>
      </c>
      <c r="H79" s="323">
        <f>H77*H82</f>
        <v>22291.48</v>
      </c>
      <c r="I79" s="323"/>
      <c r="J79" s="323">
        <f t="shared" si="53"/>
        <v>24806.124109199995</v>
      </c>
      <c r="K79" s="323">
        <f t="shared" si="53"/>
        <v>25304.727203794915</v>
      </c>
      <c r="L79" s="323">
        <f t="shared" si="53"/>
        <v>26068.929965349518</v>
      </c>
      <c r="M79" s="323">
        <f t="shared" si="53"/>
        <v>26856.211650303077</v>
      </c>
      <c r="N79" s="323">
        <f t="shared" si="53"/>
        <v>27667.269242142229</v>
      </c>
    </row>
    <row r="80" spans="1:16">
      <c r="A80" s="157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323"/>
      <c r="N80" s="323"/>
    </row>
    <row r="81" spans="1:21">
      <c r="A81" s="157" t="s">
        <v>176</v>
      </c>
      <c r="C81" s="323">
        <v>32.200000000000003</v>
      </c>
      <c r="D81" s="323">
        <v>32.6</v>
      </c>
      <c r="E81" s="323">
        <v>29.6</v>
      </c>
      <c r="F81" s="323">
        <v>29.1</v>
      </c>
      <c r="G81" s="323">
        <v>28.3</v>
      </c>
      <c r="H81" s="323">
        <v>28</v>
      </c>
      <c r="I81" s="323"/>
      <c r="J81" s="323">
        <f t="shared" ref="J81" si="54">G81*(1+J147)</f>
        <v>28.016999999999999</v>
      </c>
      <c r="K81" s="323">
        <f t="shared" ref="K81:N81" si="55">J81*(1+K147)</f>
        <v>28.297170000000001</v>
      </c>
      <c r="L81" s="323">
        <f t="shared" si="55"/>
        <v>28.721627549999997</v>
      </c>
      <c r="M81" s="323">
        <f t="shared" si="55"/>
        <v>29.152451963249995</v>
      </c>
      <c r="N81" s="323">
        <f t="shared" si="55"/>
        <v>29.589738742698742</v>
      </c>
    </row>
    <row r="82" spans="1:21">
      <c r="A82" s="157" t="s">
        <v>175</v>
      </c>
      <c r="C82" s="322">
        <v>269.98</v>
      </c>
      <c r="D82" s="322">
        <v>320.76</v>
      </c>
      <c r="E82" s="322">
        <v>363.85</v>
      </c>
      <c r="F82" s="322">
        <v>361.38</v>
      </c>
      <c r="G82" s="322">
        <v>358.84</v>
      </c>
      <c r="H82" s="322">
        <v>359.54</v>
      </c>
      <c r="I82" s="323"/>
      <c r="J82" s="322">
        <f>G82*(1+J148)</f>
        <v>364.22259999999994</v>
      </c>
      <c r="K82" s="322">
        <f t="shared" ref="K82:N82" si="56">J82*(1+K148)</f>
        <v>369.68593899999991</v>
      </c>
      <c r="L82" s="322">
        <f t="shared" si="56"/>
        <v>375.23122808499988</v>
      </c>
      <c r="M82" s="322">
        <f t="shared" si="56"/>
        <v>380.85969650627487</v>
      </c>
      <c r="N82" s="322">
        <f t="shared" si="56"/>
        <v>386.57259195386894</v>
      </c>
    </row>
    <row r="83" spans="1:21">
      <c r="A83" s="157" t="s">
        <v>162</v>
      </c>
      <c r="C83" s="323">
        <f>C81*C82</f>
        <v>8693.3560000000016</v>
      </c>
      <c r="D83" s="323">
        <f>D81*D82</f>
        <v>10456.776</v>
      </c>
      <c r="E83" s="323">
        <f t="shared" ref="E83:N83" si="57">E81*E82</f>
        <v>10769.960000000001</v>
      </c>
      <c r="F83" s="323">
        <f t="shared" si="57"/>
        <v>10516.158000000001</v>
      </c>
      <c r="G83" s="323">
        <f>G81*G82</f>
        <v>10155.171999999999</v>
      </c>
      <c r="H83" s="323">
        <f>H82*H81</f>
        <v>10067.120000000001</v>
      </c>
      <c r="I83" s="323"/>
      <c r="J83" s="323">
        <f t="shared" si="57"/>
        <v>10204.424584199998</v>
      </c>
      <c r="K83" s="323">
        <f t="shared" si="57"/>
        <v>10461.065862492627</v>
      </c>
      <c r="L83" s="323">
        <f t="shared" si="57"/>
        <v>10777.251578186466</v>
      </c>
      <c r="M83" s="323">
        <f t="shared" si="57"/>
        <v>11102.994007137149</v>
      </c>
      <c r="N83" s="323">
        <f t="shared" si="57"/>
        <v>11438.582001002867</v>
      </c>
    </row>
    <row r="84" spans="1:21">
      <c r="C84" s="323"/>
      <c r="D84" s="323"/>
      <c r="E84" s="323"/>
      <c r="F84" s="323"/>
      <c r="G84" s="323"/>
      <c r="H84" s="323"/>
      <c r="I84" s="323"/>
      <c r="J84" s="323"/>
      <c r="K84" s="323"/>
      <c r="L84" s="323"/>
      <c r="M84" s="323"/>
      <c r="N84" s="323"/>
    </row>
    <row r="85" spans="1:21">
      <c r="C85" s="323"/>
      <c r="D85" s="323"/>
      <c r="E85" s="323"/>
      <c r="F85" s="323"/>
      <c r="G85" s="323"/>
      <c r="H85" s="323"/>
      <c r="I85" s="323"/>
      <c r="J85" s="323"/>
      <c r="K85" s="323"/>
      <c r="L85" s="323"/>
      <c r="M85" s="323"/>
      <c r="N85" s="323"/>
    </row>
    <row r="86" spans="1:21">
      <c r="A86" t="s">
        <v>177</v>
      </c>
      <c r="C86" s="323">
        <f t="shared" ref="C86:H86" si="58">C83+C79+C72+C68+C64+C60+C56+C52+C48</f>
        <v>309545.46440000006</v>
      </c>
      <c r="D86" s="323">
        <f t="shared" si="58"/>
        <v>341119.55479999998</v>
      </c>
      <c r="E86" s="323">
        <f t="shared" si="58"/>
        <v>333556.87</v>
      </c>
      <c r="F86" s="323">
        <f t="shared" si="58"/>
        <v>325100.473</v>
      </c>
      <c r="G86" s="323">
        <f t="shared" si="58"/>
        <v>327921.23599999998</v>
      </c>
      <c r="H86" s="323">
        <f t="shared" si="58"/>
        <v>327229.08</v>
      </c>
      <c r="I86" s="323"/>
      <c r="J86" s="323">
        <f>J83+J79+J72+J68+J64+J60+J56+J52+J48</f>
        <v>331278.10398029856</v>
      </c>
      <c r="K86" s="323">
        <f t="shared" ref="K86:N86" si="59">K83+K79+K72+K68+K64+K60+K56+K52+K48</f>
        <v>337291.12053534848</v>
      </c>
      <c r="L86" s="323">
        <f t="shared" si="59"/>
        <v>344738.25816299353</v>
      </c>
      <c r="M86" s="323">
        <f t="shared" si="59"/>
        <v>351921.19730873499</v>
      </c>
      <c r="N86" s="323">
        <f t="shared" si="59"/>
        <v>359291.96923565352</v>
      </c>
    </row>
    <row r="87" spans="1:21">
      <c r="A87" t="s">
        <v>178</v>
      </c>
      <c r="C87" s="323">
        <f t="shared" ref="C87:H87" si="60">C86*C43/1000</f>
        <v>79243.638886400018</v>
      </c>
      <c r="D87" s="323">
        <f t="shared" si="60"/>
        <v>87667.725583599997</v>
      </c>
      <c r="E87" s="323">
        <f t="shared" si="60"/>
        <v>85057.001850000001</v>
      </c>
      <c r="F87" s="323">
        <f t="shared" si="60"/>
        <v>83225.721088000006</v>
      </c>
      <c r="G87" s="323">
        <f t="shared" si="60"/>
        <v>83291.993943999987</v>
      </c>
      <c r="H87" s="323">
        <f t="shared" si="60"/>
        <v>83116.186320000008</v>
      </c>
      <c r="I87" s="323"/>
      <c r="J87" s="323">
        <f>J86*J43/1000</f>
        <v>84807.194618956433</v>
      </c>
      <c r="K87" s="323">
        <f t="shared" ref="K87:N87" si="61">K86*K43/1000</f>
        <v>86346.526857049219</v>
      </c>
      <c r="L87" s="323">
        <f t="shared" si="61"/>
        <v>88252.994089726344</v>
      </c>
      <c r="M87" s="323">
        <f t="shared" si="61"/>
        <v>90091.826511036154</v>
      </c>
      <c r="N87" s="323">
        <f t="shared" si="61"/>
        <v>91978.744124327306</v>
      </c>
    </row>
    <row r="88" spans="1:21">
      <c r="A88" t="s">
        <v>179</v>
      </c>
      <c r="C88" s="323">
        <v>3520</v>
      </c>
      <c r="D88" s="323">
        <v>4681</v>
      </c>
      <c r="E88" s="323">
        <f>E34</f>
        <v>4187</v>
      </c>
      <c r="F88" s="323">
        <f>F34</f>
        <v>3601</v>
      </c>
      <c r="G88" s="323">
        <f>G34</f>
        <v>3730</v>
      </c>
      <c r="H88" s="323">
        <v>871</v>
      </c>
      <c r="I88" s="323"/>
      <c r="J88" s="323">
        <f>871*4</f>
        <v>3484</v>
      </c>
      <c r="K88" s="323">
        <f t="shared" ref="K88:N88" si="62">J88*(1+K154)</f>
        <v>3588.6618966029459</v>
      </c>
      <c r="L88" s="323">
        <f t="shared" si="62"/>
        <v>3696.4679127812437</v>
      </c>
      <c r="M88" s="323">
        <f t="shared" si="62"/>
        <v>3807.5125001760821</v>
      </c>
      <c r="N88" s="323">
        <f t="shared" si="62"/>
        <v>3921.8929478247196</v>
      </c>
    </row>
    <row r="89" spans="1:21">
      <c r="A89" s="2" t="s">
        <v>151</v>
      </c>
      <c r="C89" s="323">
        <f>C87+C88+C74</f>
        <v>84179.638886400018</v>
      </c>
      <c r="D89" s="323">
        <f t="shared" ref="D89:H89" si="63">D87+D88+D74</f>
        <v>93758.725583599997</v>
      </c>
      <c r="E89" s="323">
        <f t="shared" si="63"/>
        <v>90296.001850000001</v>
      </c>
      <c r="F89" s="323">
        <f t="shared" si="63"/>
        <v>87803.721088000006</v>
      </c>
      <c r="G89" s="323">
        <f t="shared" si="63"/>
        <v>87987.993943999987</v>
      </c>
      <c r="H89" s="323">
        <f t="shared" si="63"/>
        <v>83987.186320000008</v>
      </c>
      <c r="I89" s="323"/>
      <c r="J89" s="323">
        <f>J87+J88+J74</f>
        <v>89241.194618956433</v>
      </c>
      <c r="K89" s="323">
        <f t="shared" ref="K89:N89" si="64">K87+K88+K74</f>
        <v>90885.188753652168</v>
      </c>
      <c r="L89" s="323">
        <f t="shared" si="64"/>
        <v>92899.462002507586</v>
      </c>
      <c r="M89" s="323">
        <f t="shared" si="64"/>
        <v>94849.339011212229</v>
      </c>
      <c r="N89" s="323">
        <f t="shared" si="64"/>
        <v>96850.637072152022</v>
      </c>
      <c r="P89" s="2" t="s">
        <v>180</v>
      </c>
    </row>
    <row r="94" spans="1:21">
      <c r="A94" s="2" t="s">
        <v>181</v>
      </c>
    </row>
    <row r="95" spans="1:21">
      <c r="P95" s="463" t="s">
        <v>182</v>
      </c>
      <c r="Q95" s="462"/>
      <c r="R95" s="462"/>
      <c r="S95" s="462"/>
      <c r="T95" s="462"/>
      <c r="U95" s="462"/>
    </row>
    <row r="96" spans="1:21">
      <c r="A96" s="2" t="s">
        <v>128</v>
      </c>
      <c r="C96" s="328">
        <v>2021</v>
      </c>
      <c r="D96" s="328">
        <v>2022</v>
      </c>
      <c r="E96" s="328">
        <v>2023</v>
      </c>
      <c r="F96" s="328">
        <v>2024</v>
      </c>
      <c r="G96" s="328">
        <v>2025</v>
      </c>
      <c r="H96" s="328" t="s">
        <v>159</v>
      </c>
      <c r="I96" s="329"/>
      <c r="J96" s="328" t="s">
        <v>122</v>
      </c>
      <c r="K96" s="328" t="s">
        <v>123</v>
      </c>
      <c r="L96" s="328" t="s">
        <v>124</v>
      </c>
      <c r="M96" s="328" t="s">
        <v>125</v>
      </c>
      <c r="N96" s="328" t="s">
        <v>126</v>
      </c>
      <c r="P96" s="163"/>
    </row>
    <row r="97" spans="1:16">
      <c r="A97" t="s">
        <v>183</v>
      </c>
      <c r="D97" s="176">
        <f>(D46-C46)/C46</f>
        <v>-2.587991718426501E-3</v>
      </c>
      <c r="E97" s="176">
        <f t="shared" ref="E97:H97" si="65">(E46-D46)/D46</f>
        <v>-0.10534509600415153</v>
      </c>
      <c r="F97" s="176">
        <f t="shared" si="65"/>
        <v>-4.3503480278422275E-2</v>
      </c>
      <c r="G97" s="176">
        <f t="shared" si="65"/>
        <v>-2.4257125530624622E-2</v>
      </c>
      <c r="H97" s="176">
        <f t="shared" si="65"/>
        <v>2.7967681789931635E-2</v>
      </c>
      <c r="J97" s="177">
        <v>-0.01</v>
      </c>
      <c r="K97" s="176">
        <v>-0.01</v>
      </c>
      <c r="L97" s="176">
        <v>0</v>
      </c>
      <c r="M97" s="176">
        <v>0.01</v>
      </c>
      <c r="N97" s="176">
        <v>0.01</v>
      </c>
      <c r="P97" s="164" t="s">
        <v>184</v>
      </c>
    </row>
    <row r="98" spans="1:16">
      <c r="A98" t="s">
        <v>155</v>
      </c>
      <c r="D98" s="176">
        <f t="shared" ref="D98:H98" si="66">(D47-C47)/C47</f>
        <v>0.11871696574630701</v>
      </c>
      <c r="E98" s="176">
        <f t="shared" si="66"/>
        <v>0.10136759810305207</v>
      </c>
      <c r="F98" s="176">
        <f t="shared" si="66"/>
        <v>8.071025020177534E-3</v>
      </c>
      <c r="G98" s="176">
        <f t="shared" si="66"/>
        <v>3.0424339471577182E-2</v>
      </c>
      <c r="H98" s="176">
        <f t="shared" si="66"/>
        <v>1.5151515151515174E-2</v>
      </c>
      <c r="J98" s="177">
        <v>1.4999999999999999E-2</v>
      </c>
      <c r="K98" s="177">
        <v>1.4999999999999999E-2</v>
      </c>
      <c r="L98" s="177">
        <v>1.4999999999999999E-2</v>
      </c>
      <c r="M98" s="177">
        <v>1.4999999999999999E-2</v>
      </c>
      <c r="N98" s="177">
        <v>1.4999999999999999E-2</v>
      </c>
      <c r="P98" s="164" t="s">
        <v>185</v>
      </c>
    </row>
    <row r="99" spans="1:16">
      <c r="A99" t="s">
        <v>151</v>
      </c>
      <c r="D99" s="176">
        <f t="shared" ref="D99:H99" si="67">(D48-C48)/C48</f>
        <v>0.11582173550369225</v>
      </c>
      <c r="E99" s="176">
        <f t="shared" si="67"/>
        <v>-1.4656077254975744E-2</v>
      </c>
      <c r="F99" s="176">
        <f t="shared" si="67"/>
        <v>-3.5783572936036588E-2</v>
      </c>
      <c r="G99" s="176">
        <f t="shared" si="67"/>
        <v>5.4292069192040625E-3</v>
      </c>
      <c r="H99" s="176">
        <f t="shared" si="67"/>
        <v>4.354294969583971E-2</v>
      </c>
      <c r="J99" s="177"/>
      <c r="K99" s="177"/>
      <c r="L99" s="177"/>
      <c r="M99" s="177"/>
      <c r="N99" s="177"/>
      <c r="P99" s="163"/>
    </row>
    <row r="100" spans="1:16">
      <c r="D100" s="176"/>
      <c r="E100" s="176"/>
      <c r="F100" s="176"/>
      <c r="G100" s="176"/>
      <c r="H100" s="176"/>
      <c r="J100" s="177"/>
      <c r="K100" s="177"/>
      <c r="L100" s="177"/>
      <c r="M100" s="177"/>
      <c r="N100" s="177"/>
      <c r="P100" s="163"/>
    </row>
    <row r="101" spans="1:16">
      <c r="A101" t="s">
        <v>186</v>
      </c>
      <c r="D101" s="176">
        <f t="shared" ref="D101:H101" si="68">(D50-C50)/C50</f>
        <v>-6.5877128053293862E-2</v>
      </c>
      <c r="E101" s="176">
        <f t="shared" si="68"/>
        <v>-0.15689381933438987</v>
      </c>
      <c r="F101" s="176">
        <f t="shared" si="68"/>
        <v>-4.6052631578947366E-2</v>
      </c>
      <c r="G101" s="176">
        <f t="shared" si="68"/>
        <v>3.6453201970443348E-2</v>
      </c>
      <c r="H101" s="176">
        <f t="shared" si="68"/>
        <v>8.555133079847909E-3</v>
      </c>
      <c r="J101" s="177">
        <v>1.4999999999999999E-2</v>
      </c>
      <c r="K101" s="177">
        <v>0.02</v>
      </c>
      <c r="L101" s="177">
        <v>0.02</v>
      </c>
      <c r="M101" s="177">
        <v>0.02</v>
      </c>
      <c r="N101" s="177">
        <v>0.02</v>
      </c>
      <c r="P101" s="164" t="s">
        <v>187</v>
      </c>
    </row>
    <row r="102" spans="1:16">
      <c r="A102" t="s">
        <v>155</v>
      </c>
      <c r="D102" s="176">
        <f t="shared" ref="D102:H102" si="69">(D51-C51)/C51</f>
        <v>0.1452282157676347</v>
      </c>
      <c r="E102" s="176">
        <f t="shared" si="69"/>
        <v>0.14190821256038658</v>
      </c>
      <c r="F102" s="176">
        <f t="shared" si="69"/>
        <v>3.1729243786355749E-3</v>
      </c>
      <c r="G102" s="176">
        <f t="shared" si="69"/>
        <v>-1.1597258829731096E-2</v>
      </c>
      <c r="H102" s="176">
        <f t="shared" si="69"/>
        <v>5.3333333333341673E-4</v>
      </c>
      <c r="J102" s="177">
        <v>0.01</v>
      </c>
      <c r="K102" s="177">
        <v>0.01</v>
      </c>
      <c r="L102" s="177">
        <v>0.01</v>
      </c>
      <c r="M102" s="177">
        <v>0.01</v>
      </c>
      <c r="N102" s="177">
        <v>0.01</v>
      </c>
      <c r="P102" s="164" t="s">
        <v>188</v>
      </c>
    </row>
    <row r="103" spans="1:16">
      <c r="A103" t="s">
        <v>151</v>
      </c>
      <c r="D103" s="176">
        <f t="shared" ref="D103:H103" si="70">(D52-C52)/C52</f>
        <v>6.9783869947264848E-2</v>
      </c>
      <c r="E103" s="176">
        <f t="shared" si="70"/>
        <v>-3.7250128237518665E-2</v>
      </c>
      <c r="F103" s="176">
        <f t="shared" si="70"/>
        <v>-4.3025828717749008E-2</v>
      </c>
      <c r="G103" s="176">
        <f t="shared" si="70"/>
        <v>2.4433185922288537E-2</v>
      </c>
      <c r="H103" s="176">
        <f t="shared" si="70"/>
        <v>9.0930291508238576E-3</v>
      </c>
      <c r="J103" s="177"/>
      <c r="K103" s="177"/>
      <c r="L103" s="177"/>
      <c r="M103" s="177"/>
      <c r="N103" s="177"/>
      <c r="O103" s="2"/>
      <c r="P103" s="163"/>
    </row>
    <row r="104" spans="1:16">
      <c r="D104" s="176"/>
      <c r="E104" s="176"/>
      <c r="F104" s="176"/>
      <c r="G104" s="176"/>
      <c r="H104" s="176"/>
      <c r="J104" s="177"/>
      <c r="K104" s="177"/>
      <c r="L104" s="177"/>
      <c r="M104" s="177"/>
      <c r="N104" s="177"/>
      <c r="P104" s="163"/>
    </row>
    <row r="105" spans="1:16">
      <c r="A105" t="s">
        <v>189</v>
      </c>
      <c r="D105" s="176">
        <f t="shared" ref="D105:H105" si="71">(D54-C54)/C54</f>
        <v>-1.3677313677313677E-2</v>
      </c>
      <c r="E105" s="176">
        <f t="shared" si="71"/>
        <v>-9.0758116748318532E-2</v>
      </c>
      <c r="F105" s="176">
        <f t="shared" si="71"/>
        <v>3.6529680365296805E-4</v>
      </c>
      <c r="G105" s="176">
        <f t="shared" si="71"/>
        <v>3.0947599050575134E-2</v>
      </c>
      <c r="H105" s="176">
        <f t="shared" si="71"/>
        <v>-7.7924377933232978E-3</v>
      </c>
      <c r="J105" s="177">
        <f>+CHOOSE(Cover!$I$11,Revenue!J106,Revenue!J107,Revenue!J108)</f>
        <v>0.01</v>
      </c>
      <c r="K105" s="177">
        <f>+CHOOSE(Cover!$I$11,Revenue!K106,Revenue!K107,Revenue!K108)</f>
        <v>0.01</v>
      </c>
      <c r="L105" s="177">
        <f>+CHOOSE(Cover!$I$11,Revenue!L106,Revenue!L107,Revenue!L108)</f>
        <v>0.01</v>
      </c>
      <c r="M105" s="177">
        <f>+CHOOSE(Cover!$I$11,Revenue!M106,Revenue!M107,Revenue!M108)</f>
        <v>0.01</v>
      </c>
      <c r="N105" s="177">
        <f>+CHOOSE(Cover!$I$11,Revenue!N106,Revenue!N107,Revenue!N108)</f>
        <v>0.01</v>
      </c>
      <c r="P105" s="164" t="s">
        <v>190</v>
      </c>
    </row>
    <row r="106" spans="1:16">
      <c r="A106" s="435" t="s">
        <v>18</v>
      </c>
      <c r="B106" s="436"/>
      <c r="C106" s="436"/>
      <c r="D106" s="437"/>
      <c r="E106" s="437"/>
      <c r="F106" s="437"/>
      <c r="G106" s="437"/>
      <c r="H106" s="437"/>
      <c r="I106" s="436"/>
      <c r="J106" s="438">
        <v>0.02</v>
      </c>
      <c r="K106" s="438">
        <v>0.02</v>
      </c>
      <c r="L106" s="438">
        <v>0.02</v>
      </c>
      <c r="M106" s="438">
        <v>0.01</v>
      </c>
      <c r="N106" s="438">
        <v>0.01</v>
      </c>
      <c r="P106" s="164"/>
    </row>
    <row r="107" spans="1:16">
      <c r="A107" s="435" t="s">
        <v>20</v>
      </c>
      <c r="B107" s="436"/>
      <c r="C107" s="436"/>
      <c r="D107" s="437"/>
      <c r="E107" s="437"/>
      <c r="F107" s="437"/>
      <c r="G107" s="437"/>
      <c r="H107" s="437"/>
      <c r="I107" s="436"/>
      <c r="J107" s="438">
        <v>0.01</v>
      </c>
      <c r="K107" s="438">
        <v>0.01</v>
      </c>
      <c r="L107" s="438">
        <v>0.01</v>
      </c>
      <c r="M107" s="438">
        <v>0.01</v>
      </c>
      <c r="N107" s="438">
        <v>0.01</v>
      </c>
      <c r="P107" s="164"/>
    </row>
    <row r="108" spans="1:16">
      <c r="A108" s="435" t="s">
        <v>22</v>
      </c>
      <c r="B108" s="436"/>
      <c r="C108" s="436"/>
      <c r="D108" s="437"/>
      <c r="E108" s="437"/>
      <c r="F108" s="437"/>
      <c r="G108" s="437"/>
      <c r="H108" s="437"/>
      <c r="I108" s="436"/>
      <c r="J108" s="438">
        <v>-0.01</v>
      </c>
      <c r="K108" s="438">
        <v>-0.01</v>
      </c>
      <c r="L108" s="438">
        <v>-0.01</v>
      </c>
      <c r="M108" s="438">
        <v>0</v>
      </c>
      <c r="N108" s="438">
        <v>0</v>
      </c>
      <c r="O108" s="438"/>
      <c r="P108" s="164"/>
    </row>
    <row r="109" spans="1:16">
      <c r="D109" s="176"/>
      <c r="E109" s="176"/>
      <c r="F109" s="176"/>
      <c r="G109" s="176"/>
      <c r="H109" s="176"/>
      <c r="J109" s="177"/>
      <c r="K109" s="177"/>
      <c r="L109" s="177"/>
      <c r="M109" s="177"/>
      <c r="N109" s="177"/>
      <c r="P109" s="164"/>
    </row>
    <row r="110" spans="1:16">
      <c r="A110" t="s">
        <v>155</v>
      </c>
      <c r="D110" s="176">
        <f t="shared" ref="D110:H110" si="72">(D55-C55)/C55</f>
        <v>9.6907216494845502E-2</v>
      </c>
      <c r="E110" s="176">
        <f t="shared" si="72"/>
        <v>8.9285714285714218E-2</v>
      </c>
      <c r="F110" s="176">
        <f t="shared" si="72"/>
        <v>1.4667817083692832E-2</v>
      </c>
      <c r="G110" s="176">
        <f t="shared" si="72"/>
        <v>4.2517006802721691E-3</v>
      </c>
      <c r="H110" s="176">
        <f t="shared" si="72"/>
        <v>2.201524132091446E-2</v>
      </c>
      <c r="J110" s="177">
        <f>+CHOOSE(Cover!$I$12,Revenue!J111,Revenue!J112,Revenue!J113)</f>
        <v>0.01</v>
      </c>
      <c r="K110" s="177">
        <f>+CHOOSE(Cover!$I$12,Revenue!K111,Revenue!K112,Revenue!K113)</f>
        <v>0.01</v>
      </c>
      <c r="L110" s="177">
        <f>+CHOOSE(Cover!$I$12,Revenue!L111,Revenue!L112,Revenue!L113)</f>
        <v>0.01</v>
      </c>
      <c r="M110" s="177">
        <f>+CHOOSE(Cover!$I$12,Revenue!M111,Revenue!M112,Revenue!M113)</f>
        <v>0</v>
      </c>
      <c r="N110" s="177">
        <f>+CHOOSE(Cover!$I$12,Revenue!N111,Revenue!N112,Revenue!N113)</f>
        <v>0</v>
      </c>
      <c r="P110" s="164" t="s">
        <v>191</v>
      </c>
    </row>
    <row r="111" spans="1:16">
      <c r="A111" s="435" t="s">
        <v>18</v>
      </c>
      <c r="B111" s="436"/>
      <c r="C111" s="436"/>
      <c r="D111" s="437"/>
      <c r="E111" s="437"/>
      <c r="F111" s="437"/>
      <c r="G111" s="437"/>
      <c r="H111" s="437"/>
      <c r="I111" s="436"/>
      <c r="J111" s="438">
        <v>2.5000000000000001E-2</v>
      </c>
      <c r="K111" s="437">
        <v>0.02</v>
      </c>
      <c r="L111" s="437">
        <v>1.7999999999999999E-2</v>
      </c>
      <c r="M111" s="437">
        <v>1.4999999999999999E-2</v>
      </c>
      <c r="N111" s="437">
        <v>1.4999999999999999E-2</v>
      </c>
      <c r="P111" s="164"/>
    </row>
    <row r="112" spans="1:16">
      <c r="A112" s="435" t="s">
        <v>20</v>
      </c>
      <c r="B112" s="436"/>
      <c r="C112" s="436"/>
      <c r="D112" s="437"/>
      <c r="E112" s="437"/>
      <c r="F112" s="437"/>
      <c r="G112" s="437"/>
      <c r="H112" s="437"/>
      <c r="I112" s="436"/>
      <c r="J112" s="438">
        <v>0.01</v>
      </c>
      <c r="K112" s="437">
        <v>0.01</v>
      </c>
      <c r="L112" s="437">
        <v>0.01</v>
      </c>
      <c r="M112" s="437">
        <v>0</v>
      </c>
      <c r="N112" s="437">
        <v>0</v>
      </c>
      <c r="P112" s="164"/>
    </row>
    <row r="113" spans="1:16">
      <c r="A113" s="435" t="s">
        <v>22</v>
      </c>
      <c r="B113" s="436"/>
      <c r="C113" s="436"/>
      <c r="D113" s="437"/>
      <c r="E113" s="437"/>
      <c r="F113" s="437"/>
      <c r="G113" s="437"/>
      <c r="H113" s="437"/>
      <c r="I113" s="436"/>
      <c r="J113" s="438">
        <v>5.0000000000000001E-3</v>
      </c>
      <c r="K113" s="437">
        <v>0.01</v>
      </c>
      <c r="L113" s="437">
        <v>0.01</v>
      </c>
      <c r="M113" s="437">
        <v>8.0000000000000002E-3</v>
      </c>
      <c r="N113" s="437">
        <v>8.0000000000000002E-3</v>
      </c>
      <c r="P113" s="164"/>
    </row>
    <row r="114" spans="1:16">
      <c r="D114" s="176"/>
      <c r="E114" s="176"/>
      <c r="F114" s="176"/>
      <c r="G114" s="176"/>
      <c r="H114" s="176"/>
      <c r="J114" s="177"/>
      <c r="K114" s="176"/>
      <c r="L114" s="176"/>
      <c r="M114" s="176"/>
      <c r="N114" s="176"/>
      <c r="P114" s="164"/>
    </row>
    <row r="115" spans="1:16">
      <c r="A115" t="s">
        <v>151</v>
      </c>
      <c r="D115" s="176">
        <f t="shared" ref="D115:H115" si="73">(D56-C56)/C56</f>
        <v>8.1904472419936508E-2</v>
      </c>
      <c r="E115" s="176">
        <f t="shared" si="73"/>
        <v>-9.5758057437041397E-3</v>
      </c>
      <c r="F115" s="176">
        <f t="shared" si="73"/>
        <v>1.5038471994042995E-2</v>
      </c>
      <c r="G115" s="176">
        <f t="shared" si="73"/>
        <v>3.5330879658783537E-2</v>
      </c>
      <c r="H115" s="176">
        <f t="shared" si="73"/>
        <v>1.4051251129092874E-2</v>
      </c>
      <c r="J115" s="177"/>
      <c r="K115" s="177"/>
      <c r="L115" s="177"/>
      <c r="M115" s="177"/>
      <c r="N115" s="177"/>
      <c r="O115" s="2"/>
      <c r="P115" s="163"/>
    </row>
    <row r="116" spans="1:16">
      <c r="D116" s="176"/>
      <c r="E116" s="176"/>
      <c r="F116" s="176"/>
      <c r="G116" s="176"/>
      <c r="H116" s="176"/>
      <c r="J116" s="177"/>
      <c r="K116" s="177"/>
      <c r="L116" s="177"/>
      <c r="M116" s="177"/>
      <c r="N116" s="177"/>
      <c r="P116" s="163"/>
    </row>
    <row r="117" spans="1:16">
      <c r="A117" t="s">
        <v>192</v>
      </c>
      <c r="D117" s="176">
        <f t="shared" ref="D117:H117" si="74">(D58-C58)/C58</f>
        <v>2.6061776061776062E-2</v>
      </c>
      <c r="E117" s="176">
        <f t="shared" si="74"/>
        <v>-4.1392285983066796E-2</v>
      </c>
      <c r="F117" s="176">
        <f t="shared" si="74"/>
        <v>4.1216879293424928E-2</v>
      </c>
      <c r="G117" s="176">
        <f t="shared" si="74"/>
        <v>7.163053722902922E-2</v>
      </c>
      <c r="H117" s="176">
        <f t="shared" si="74"/>
        <v>-5.0131926121372031E-2</v>
      </c>
      <c r="J117" s="177">
        <f>+CHOOSE(Cover!$I$13,Revenue!J118,Revenue!J119,Revenue!J120)</f>
        <v>-0.01</v>
      </c>
      <c r="K117" s="177">
        <f>+CHOOSE(Cover!$I$13,Revenue!K118,Revenue!K119,Revenue!K120)</f>
        <v>-0.01</v>
      </c>
      <c r="L117" s="177">
        <f>+CHOOSE(Cover!$I$13,Revenue!L118,Revenue!L119,Revenue!L120)</f>
        <v>0</v>
      </c>
      <c r="M117" s="177">
        <f>+CHOOSE(Cover!$I$13,Revenue!M118,Revenue!M119,Revenue!M120)</f>
        <v>0.01</v>
      </c>
      <c r="N117" s="177">
        <f>+CHOOSE(Cover!$I$13,Revenue!N118,Revenue!N119,Revenue!N120)</f>
        <v>0.01</v>
      </c>
      <c r="P117" s="164" t="s">
        <v>193</v>
      </c>
    </row>
    <row r="118" spans="1:16">
      <c r="A118" s="435" t="s">
        <v>18</v>
      </c>
      <c r="B118" s="436"/>
      <c r="C118" s="436"/>
      <c r="D118" s="437"/>
      <c r="E118" s="437"/>
      <c r="F118" s="437"/>
      <c r="G118" s="437"/>
      <c r="H118" s="437"/>
      <c r="I118" s="436"/>
      <c r="J118" s="438">
        <v>0</v>
      </c>
      <c r="K118" s="437">
        <v>1.4999999999999999E-2</v>
      </c>
      <c r="L118" s="437">
        <v>2.5000000000000001E-2</v>
      </c>
      <c r="M118" s="437">
        <v>2.5000000000000001E-2</v>
      </c>
      <c r="N118" s="437">
        <v>2.5000000000000001E-2</v>
      </c>
      <c r="P118" s="164"/>
    </row>
    <row r="119" spans="1:16">
      <c r="A119" s="435" t="s">
        <v>20</v>
      </c>
      <c r="B119" s="436"/>
      <c r="C119" s="436"/>
      <c r="D119" s="437"/>
      <c r="E119" s="437"/>
      <c r="F119" s="437"/>
      <c r="G119" s="437"/>
      <c r="H119" s="437"/>
      <c r="I119" s="436"/>
      <c r="J119" s="438">
        <v>-0.01</v>
      </c>
      <c r="K119" s="437">
        <v>-0.01</v>
      </c>
      <c r="L119" s="437">
        <v>0</v>
      </c>
      <c r="M119" s="437">
        <v>0.01</v>
      </c>
      <c r="N119" s="437">
        <v>0.01</v>
      </c>
      <c r="P119" s="164"/>
    </row>
    <row r="120" spans="1:16">
      <c r="A120" s="435" t="s">
        <v>22</v>
      </c>
      <c r="B120" s="436"/>
      <c r="C120" s="436"/>
      <c r="D120" s="437"/>
      <c r="E120" s="437"/>
      <c r="F120" s="437"/>
      <c r="G120" s="437"/>
      <c r="H120" s="437"/>
      <c r="I120" s="436"/>
      <c r="J120" s="438">
        <v>-1.4999999999999999E-2</v>
      </c>
      <c r="K120" s="437">
        <v>-1.4999999999999999E-2</v>
      </c>
      <c r="L120" s="437">
        <v>-0.01</v>
      </c>
      <c r="M120" s="437">
        <v>-0.01</v>
      </c>
      <c r="N120" s="437">
        <v>0</v>
      </c>
      <c r="P120" s="164"/>
    </row>
    <row r="121" spans="1:16">
      <c r="A121" t="s">
        <v>155</v>
      </c>
      <c r="D121" s="176">
        <f t="shared" ref="D121:H121" si="75">(D59-C59)/C59</f>
        <v>0.12604527840097898</v>
      </c>
      <c r="E121" s="176">
        <f t="shared" si="75"/>
        <v>-6.5205578699510857E-3</v>
      </c>
      <c r="F121" s="176">
        <f t="shared" si="75"/>
        <v>-5.3053783044667339E-2</v>
      </c>
      <c r="G121" s="176">
        <f t="shared" si="75"/>
        <v>-2.6761648055448607E-2</v>
      </c>
      <c r="H121" s="176">
        <f t="shared" si="75"/>
        <v>3.4025717111770645E-2</v>
      </c>
      <c r="J121" s="177">
        <f>+CHOOSE(Cover!$I$14,Revenue!J122,Revenue!J123,Revenue!J124)</f>
        <v>0.02</v>
      </c>
      <c r="K121" s="177">
        <f>+CHOOSE(Cover!$I$14,Revenue!K122,Revenue!K123,Revenue!K124)</f>
        <v>0.02</v>
      </c>
      <c r="L121" s="177">
        <f>+CHOOSE(Cover!$I$14,Revenue!L122,Revenue!L123,Revenue!L124)</f>
        <v>0.02</v>
      </c>
      <c r="M121" s="177">
        <f>+CHOOSE(Cover!$I$14,Revenue!M122,Revenue!M123,Revenue!M124)</f>
        <v>0.02</v>
      </c>
      <c r="N121" s="177">
        <f>+CHOOSE(Cover!$I$14,Revenue!N122,Revenue!N123,Revenue!N124)</f>
        <v>0.02</v>
      </c>
      <c r="P121" s="164" t="s">
        <v>194</v>
      </c>
    </row>
    <row r="122" spans="1:16">
      <c r="A122" s="435" t="s">
        <v>18</v>
      </c>
      <c r="B122" s="436"/>
      <c r="C122" s="436"/>
      <c r="D122" s="437"/>
      <c r="E122" s="437"/>
      <c r="F122" s="437"/>
      <c r="G122" s="437"/>
      <c r="H122" s="437"/>
      <c r="I122" s="436"/>
      <c r="J122" s="438">
        <v>2.5000000000000001E-2</v>
      </c>
      <c r="K122" s="437">
        <v>2.5000000000000001E-2</v>
      </c>
      <c r="L122" s="437">
        <v>2.5000000000000001E-2</v>
      </c>
      <c r="M122" s="437">
        <v>2.5000000000000001E-2</v>
      </c>
      <c r="N122" s="437">
        <v>2.5000000000000001E-2</v>
      </c>
      <c r="P122" s="164"/>
    </row>
    <row r="123" spans="1:16">
      <c r="A123" s="435" t="s">
        <v>20</v>
      </c>
      <c r="B123" s="436"/>
      <c r="C123" s="436"/>
      <c r="D123" s="437"/>
      <c r="E123" s="437"/>
      <c r="F123" s="437"/>
      <c r="G123" s="437"/>
      <c r="H123" s="437"/>
      <c r="I123" s="436"/>
      <c r="J123" s="438">
        <v>0.02</v>
      </c>
      <c r="K123" s="437">
        <v>0.02</v>
      </c>
      <c r="L123" s="437">
        <v>0.02</v>
      </c>
      <c r="M123" s="437">
        <v>0.02</v>
      </c>
      <c r="N123" s="437">
        <v>0.02</v>
      </c>
      <c r="P123" s="164"/>
    </row>
    <row r="124" spans="1:16">
      <c r="A124" s="435" t="s">
        <v>22</v>
      </c>
      <c r="B124" s="436"/>
      <c r="C124" s="436"/>
      <c r="D124" s="437"/>
      <c r="E124" s="437"/>
      <c r="F124" s="437"/>
      <c r="G124" s="437"/>
      <c r="H124" s="437"/>
      <c r="I124" s="436"/>
      <c r="J124" s="438">
        <v>1.4999999999999999E-2</v>
      </c>
      <c r="K124" s="437">
        <v>1.4999999999999999E-2</v>
      </c>
      <c r="L124" s="437">
        <v>1.4999999999999999E-2</v>
      </c>
      <c r="M124" s="437">
        <v>1.4999999999999999E-2</v>
      </c>
      <c r="N124" s="437">
        <v>1.4999999999999999E-2</v>
      </c>
      <c r="P124" s="164"/>
    </row>
    <row r="125" spans="1:16">
      <c r="D125" s="176"/>
      <c r="E125" s="176"/>
      <c r="F125" s="176"/>
      <c r="G125" s="176"/>
      <c r="H125" s="176"/>
      <c r="J125" s="177"/>
      <c r="K125" s="177"/>
      <c r="L125" s="177"/>
      <c r="M125" s="177"/>
      <c r="N125" s="177"/>
      <c r="P125" s="164"/>
    </row>
    <row r="126" spans="1:16">
      <c r="A126" t="s">
        <v>151</v>
      </c>
      <c r="D126" s="176">
        <f t="shared" ref="D126:H126" si="76">(D60-C60)/C60</f>
        <v>0.1553920182820856</v>
      </c>
      <c r="E126" s="176">
        <f t="shared" si="76"/>
        <v>-4.7642943056895759E-2</v>
      </c>
      <c r="F126" s="176">
        <f t="shared" si="76"/>
        <v>-1.4023615123054041E-2</v>
      </c>
      <c r="G126" s="176">
        <f t="shared" si="76"/>
        <v>4.2951937946234676E-2</v>
      </c>
      <c r="H126" s="176">
        <f t="shared" si="76"/>
        <v>-1.7811983746075365E-2</v>
      </c>
      <c r="J126" s="177"/>
      <c r="K126" s="177"/>
      <c r="L126" s="177"/>
      <c r="M126" s="177"/>
      <c r="N126" s="177"/>
      <c r="O126" s="2"/>
      <c r="P126" s="163"/>
    </row>
    <row r="127" spans="1:16">
      <c r="D127" s="176"/>
      <c r="E127" s="176"/>
      <c r="F127" s="176"/>
      <c r="G127" s="176"/>
      <c r="H127" s="176"/>
      <c r="J127" s="177"/>
      <c r="K127" s="177"/>
      <c r="L127" s="177"/>
      <c r="M127" s="177"/>
      <c r="N127" s="177"/>
      <c r="P127" s="163"/>
    </row>
    <row r="128" spans="1:16">
      <c r="A128" t="s">
        <v>195</v>
      </c>
      <c r="D128" s="176">
        <f t="shared" ref="D128:H128" si="77">(D62-C62)/C62</f>
        <v>-0.17273497036409821</v>
      </c>
      <c r="E128" s="176">
        <f t="shared" si="77"/>
        <v>6.6530194472876154E-3</v>
      </c>
      <c r="F128" s="176">
        <f t="shared" si="77"/>
        <v>-1.57600406710727E-2</v>
      </c>
      <c r="G128" s="176">
        <f t="shared" si="77"/>
        <v>-1.3429752066115703E-2</v>
      </c>
      <c r="H128" s="176">
        <f t="shared" si="77"/>
        <v>-5.445026178010471E-2</v>
      </c>
      <c r="J128" s="177">
        <f>AVERAGE(E128:H128)</f>
        <v>-1.9246758767501374E-2</v>
      </c>
      <c r="K128" s="177">
        <v>-1.9246758767501374E-2</v>
      </c>
      <c r="L128" s="177">
        <v>-1.9246758767501374E-2</v>
      </c>
      <c r="M128" s="177">
        <v>-1.9246758767501374E-2</v>
      </c>
      <c r="N128" s="177">
        <v>-1.9246758767501374E-2</v>
      </c>
      <c r="P128" s="164" t="s">
        <v>196</v>
      </c>
    </row>
    <row r="129" spans="1:16">
      <c r="A129" t="s">
        <v>155</v>
      </c>
      <c r="D129" s="176">
        <f t="shared" ref="D129:H129" si="78">(D63-C63)/C63</f>
        <v>0.13116883116883124</v>
      </c>
      <c r="E129" s="176">
        <f t="shared" si="78"/>
        <v>4.1331802525832309E-2</v>
      </c>
      <c r="F129" s="176">
        <f t="shared" si="78"/>
        <v>3.6383682469680274E-2</v>
      </c>
      <c r="G129" s="176">
        <f t="shared" si="78"/>
        <v>-1.4893617021276655E-2</v>
      </c>
      <c r="H129" s="176">
        <f t="shared" si="78"/>
        <v>5.9395248380129669E-2</v>
      </c>
      <c r="J129" s="177">
        <f>AVERAGE(E129:H129)</f>
        <v>3.0554279088591402E-2</v>
      </c>
      <c r="K129" s="177">
        <v>3.0554279088591402E-2</v>
      </c>
      <c r="L129" s="177">
        <v>3.0554279088591402E-2</v>
      </c>
      <c r="M129" s="177">
        <v>3.0554279088591402E-2</v>
      </c>
      <c r="N129" s="177">
        <v>3.0554279088591402E-2</v>
      </c>
      <c r="P129" s="164" t="s">
        <v>197</v>
      </c>
    </row>
    <row r="130" spans="1:16">
      <c r="A130" t="s">
        <v>151</v>
      </c>
      <c r="D130" s="176">
        <f t="shared" ref="D130:H130" si="79">(D64-C64)/C64</f>
        <v>-6.4223583359908576E-2</v>
      </c>
      <c r="E130" s="176">
        <f t="shared" si="79"/>
        <v>4.8259803259115934E-2</v>
      </c>
      <c r="F130" s="176">
        <f t="shared" si="79"/>
        <v>2.0050233483121956E-2</v>
      </c>
      <c r="G130" s="176">
        <f t="shared" si="79"/>
        <v>-2.8123351503429029E-2</v>
      </c>
      <c r="H130" s="176">
        <f t="shared" si="79"/>
        <v>1.7108997772325963E-3</v>
      </c>
      <c r="J130" s="177"/>
      <c r="K130" s="177"/>
      <c r="L130" s="177"/>
      <c r="M130" s="177"/>
      <c r="N130" s="177"/>
      <c r="O130" s="2"/>
      <c r="P130" s="163"/>
    </row>
    <row r="131" spans="1:16">
      <c r="D131" s="176"/>
      <c r="E131" s="176"/>
      <c r="F131" s="176"/>
      <c r="G131" s="176"/>
      <c r="H131" s="176"/>
      <c r="J131" s="177"/>
      <c r="K131" s="177"/>
      <c r="L131" s="177"/>
      <c r="M131" s="177"/>
      <c r="N131" s="177"/>
      <c r="P131" s="163"/>
    </row>
    <row r="132" spans="1:16">
      <c r="A132" t="s">
        <v>198</v>
      </c>
      <c r="D132" s="176">
        <f t="shared" ref="D132:H132" si="80">(D66-C66)/C66</f>
        <v>-0.14039649008774779</v>
      </c>
      <c r="E132" s="176">
        <f t="shared" si="80"/>
        <v>-0.15425330812854443</v>
      </c>
      <c r="F132" s="176">
        <f t="shared" si="80"/>
        <v>-0.16018477127104752</v>
      </c>
      <c r="G132" s="176">
        <f t="shared" si="80"/>
        <v>-0.44339957416607523</v>
      </c>
      <c r="H132" s="176">
        <f t="shared" si="80"/>
        <v>-0.3098501753267453</v>
      </c>
      <c r="J132" s="177">
        <v>-0.3</v>
      </c>
      <c r="K132" s="176">
        <v>0</v>
      </c>
      <c r="L132" s="176">
        <v>0.02</v>
      </c>
      <c r="M132" s="176">
        <v>0.02</v>
      </c>
      <c r="N132" s="176">
        <v>0.02</v>
      </c>
      <c r="P132" s="164" t="s">
        <v>199</v>
      </c>
    </row>
    <row r="133" spans="1:16">
      <c r="A133" t="s">
        <v>155</v>
      </c>
      <c r="D133" s="176">
        <f t="shared" ref="D133:H133" si="81">(D67-C67)/C67</f>
        <v>6.3829787234042618E-2</v>
      </c>
      <c r="E133" s="176">
        <f t="shared" si="81"/>
        <v>0.11999999999999995</v>
      </c>
      <c r="F133" s="176">
        <f t="shared" si="81"/>
        <v>-1.1904761904761916E-2</v>
      </c>
      <c r="G133" s="176">
        <f t="shared" si="81"/>
        <v>0.16265060240963858</v>
      </c>
      <c r="H133" s="176">
        <f t="shared" si="81"/>
        <v>0.12953367875647681</v>
      </c>
      <c r="J133" s="177">
        <f>AVERAGE(D133:H133)</f>
        <v>9.2821861299079211E-2</v>
      </c>
      <c r="K133" s="176">
        <v>0.05</v>
      </c>
      <c r="L133" s="176">
        <v>0.03</v>
      </c>
      <c r="M133" s="176">
        <v>0.03</v>
      </c>
      <c r="N133" s="176">
        <v>0.03</v>
      </c>
      <c r="P133" s="164" t="s">
        <v>200</v>
      </c>
    </row>
    <row r="134" spans="1:16">
      <c r="A134" t="s">
        <v>151</v>
      </c>
      <c r="D134" s="176">
        <f t="shared" ref="D134:H134" si="82">(D68-C68)/C68</f>
        <v>-8.5528180944412502E-2</v>
      </c>
      <c r="E134" s="176">
        <f t="shared" si="82"/>
        <v>-5.2763705103969792E-2</v>
      </c>
      <c r="F134" s="176">
        <f t="shared" si="82"/>
        <v>-0.17018257161305883</v>
      </c>
      <c r="G134" s="176">
        <f t="shared" si="82"/>
        <v>-0.35286817960272604</v>
      </c>
      <c r="H134" s="176">
        <f t="shared" si="82"/>
        <v>-0.22045252964368109</v>
      </c>
      <c r="J134" s="177"/>
      <c r="K134" s="177"/>
      <c r="L134" s="177"/>
      <c r="M134" s="177"/>
      <c r="N134" s="177"/>
      <c r="O134" s="2"/>
      <c r="P134" s="163"/>
    </row>
    <row r="135" spans="1:16">
      <c r="D135" s="176"/>
      <c r="E135" s="176"/>
      <c r="F135" s="176"/>
      <c r="G135" s="176"/>
      <c r="H135" s="176"/>
      <c r="J135" s="177"/>
      <c r="K135" s="177"/>
      <c r="L135" s="177"/>
      <c r="M135" s="177"/>
      <c r="N135" s="177"/>
      <c r="P135" s="163"/>
    </row>
    <row r="136" spans="1:16">
      <c r="A136" t="s">
        <v>201</v>
      </c>
      <c r="D136" s="176">
        <f t="shared" ref="D136:H136" si="83">(D70-C70)/C70</f>
        <v>1.3532608695652175E-2</v>
      </c>
      <c r="E136" s="176">
        <f t="shared" si="83"/>
        <v>-5.978872861815647E-2</v>
      </c>
      <c r="F136" s="176">
        <f t="shared" si="83"/>
        <v>-9.8437321774837452E-2</v>
      </c>
      <c r="G136" s="176">
        <f t="shared" si="83"/>
        <v>1.3157894736842105E-2</v>
      </c>
      <c r="H136" s="176">
        <f t="shared" si="83"/>
        <v>-9.178321678321678E-3</v>
      </c>
      <c r="J136" s="177">
        <v>0.01</v>
      </c>
      <c r="K136" s="176">
        <v>0.01</v>
      </c>
      <c r="L136" s="176">
        <v>0.01</v>
      </c>
      <c r="M136" s="176">
        <v>0.01</v>
      </c>
      <c r="N136" s="176">
        <v>0.01</v>
      </c>
      <c r="P136" s="164" t="s">
        <v>202</v>
      </c>
    </row>
    <row r="137" spans="1:16">
      <c r="A137" t="s">
        <v>155</v>
      </c>
      <c r="D137" s="176">
        <f t="shared" ref="D137:H137" si="84">(D71-C71)/C71</f>
        <v>0.17289340101522843</v>
      </c>
      <c r="E137" s="176">
        <f t="shared" si="84"/>
        <v>-7.3833636284947574E-2</v>
      </c>
      <c r="F137" s="176">
        <f t="shared" si="84"/>
        <v>-5.6074766355140235E-2</v>
      </c>
      <c r="G137" s="176">
        <f t="shared" si="84"/>
        <v>4.9504950495049549E-2</v>
      </c>
      <c r="H137" s="176">
        <f t="shared" si="84"/>
        <v>4.7169811320754755E-2</v>
      </c>
      <c r="J137" s="177">
        <v>0.04</v>
      </c>
      <c r="K137" s="176">
        <v>0.03</v>
      </c>
      <c r="L137" s="176">
        <v>2.7931952038188983E-2</v>
      </c>
      <c r="M137" s="176">
        <v>2.5000000000000001E-2</v>
      </c>
      <c r="N137" s="176">
        <v>2.5000000000000001E-2</v>
      </c>
      <c r="P137" s="164" t="s">
        <v>203</v>
      </c>
    </row>
    <row r="138" spans="1:16">
      <c r="A138" t="s">
        <v>151</v>
      </c>
      <c r="D138" s="176">
        <f t="shared" ref="D138:H138" si="85">(D72-C72)/C72</f>
        <v>0.1887657084528801</v>
      </c>
      <c r="E138" s="176">
        <f t="shared" si="85"/>
        <v>-0.12920794566037161</v>
      </c>
      <c r="F138" s="176">
        <f t="shared" si="85"/>
        <v>-0.14899223831082792</v>
      </c>
      <c r="G138" s="176">
        <f t="shared" si="85"/>
        <v>6.3314226159458004E-2</v>
      </c>
      <c r="H138" s="176">
        <f t="shared" si="85"/>
        <v>3.7558549940625477E-2</v>
      </c>
      <c r="J138" s="177"/>
      <c r="K138" s="177"/>
      <c r="L138" s="177"/>
      <c r="M138" s="177"/>
      <c r="N138" s="177"/>
      <c r="O138" s="2"/>
      <c r="P138" s="163"/>
    </row>
    <row r="139" spans="1:16">
      <c r="D139" s="176"/>
      <c r="E139" s="176"/>
      <c r="F139" s="176"/>
      <c r="G139" s="176"/>
      <c r="H139" s="176"/>
      <c r="J139" s="177"/>
      <c r="K139" s="177"/>
      <c r="L139" s="177"/>
      <c r="M139" s="177"/>
      <c r="N139" s="177"/>
      <c r="P139" s="163"/>
    </row>
    <row r="140" spans="1:16">
      <c r="D140" s="176"/>
      <c r="E140" s="176"/>
      <c r="F140" s="176"/>
      <c r="G140" s="176"/>
      <c r="H140" s="176"/>
      <c r="J140" s="177"/>
      <c r="K140" s="177"/>
      <c r="L140" s="177"/>
      <c r="M140" s="177"/>
      <c r="N140" s="177"/>
      <c r="P140" s="163"/>
    </row>
    <row r="141" spans="1:16">
      <c r="D141" s="176"/>
      <c r="E141" s="176"/>
      <c r="F141" s="176"/>
      <c r="G141" s="176"/>
      <c r="H141" s="176"/>
      <c r="J141" s="177"/>
      <c r="K141" s="177"/>
      <c r="L141" s="177"/>
      <c r="M141" s="177"/>
      <c r="N141" s="177"/>
      <c r="P141" s="163"/>
    </row>
    <row r="142" spans="1:16">
      <c r="A142" s="2" t="s">
        <v>173</v>
      </c>
      <c r="D142" s="176"/>
      <c r="E142" s="176"/>
      <c r="F142" s="176"/>
      <c r="G142" s="176"/>
      <c r="H142" s="176"/>
      <c r="J142" s="177"/>
      <c r="K142" s="177"/>
      <c r="L142" s="177"/>
      <c r="M142" s="177"/>
      <c r="N142" s="177"/>
      <c r="P142" s="163"/>
    </row>
    <row r="143" spans="1:16">
      <c r="A143" t="s">
        <v>204</v>
      </c>
      <c r="D143" s="176">
        <f t="shared" ref="D143:H143" si="86">(D77-C77)/C77</f>
        <v>3.8057742782152119E-2</v>
      </c>
      <c r="E143" s="176">
        <f t="shared" si="86"/>
        <v>-0.11378002528445007</v>
      </c>
      <c r="F143" s="176">
        <f t="shared" si="86"/>
        <v>-7.4179743223965602E-2</v>
      </c>
      <c r="G143" s="176">
        <f t="shared" si="86"/>
        <v>-4.7765793528505518E-2</v>
      </c>
      <c r="H143" s="176">
        <f t="shared" si="86"/>
        <v>3.2362459546926028E-3</v>
      </c>
      <c r="J143" s="176">
        <v>-0.02</v>
      </c>
      <c r="K143" s="176">
        <v>0.01</v>
      </c>
      <c r="L143" s="176">
        <v>0.02</v>
      </c>
      <c r="M143" s="176">
        <v>0.02</v>
      </c>
      <c r="N143" s="176">
        <v>0.02</v>
      </c>
      <c r="P143" s="163" t="s">
        <v>205</v>
      </c>
    </row>
    <row r="144" spans="1:16">
      <c r="A144" t="s">
        <v>206</v>
      </c>
      <c r="D144" s="176">
        <f>(D78-C78)/C78</f>
        <v>0.17346255618962592</v>
      </c>
      <c r="E144" s="176">
        <f>(E78-D78)/D78</f>
        <v>0.13426429037165838</v>
      </c>
      <c r="F144" s="176">
        <f t="shared" ref="F144:H144" si="87">(F78-E78)/E78</f>
        <v>-1.4970059880239521E-2</v>
      </c>
      <c r="G144" s="176">
        <f t="shared" si="87"/>
        <v>-1.3908814589665719E-2</v>
      </c>
      <c r="H144" s="176">
        <f t="shared" si="87"/>
        <v>6.2140902029443907E-3</v>
      </c>
      <c r="J144" s="176">
        <v>0.01</v>
      </c>
      <c r="K144" s="176">
        <v>0.01</v>
      </c>
      <c r="L144" s="176">
        <v>0.01</v>
      </c>
      <c r="M144" s="176">
        <v>0.01</v>
      </c>
      <c r="N144" s="176">
        <v>0.01</v>
      </c>
      <c r="P144" s="163" t="s">
        <v>207</v>
      </c>
    </row>
    <row r="145" spans="1:16">
      <c r="A145" t="s">
        <v>151</v>
      </c>
      <c r="D145" s="176">
        <f t="shared" ref="D145:H145" si="88">(D79-C79)/C79</f>
        <v>0.21812189231757745</v>
      </c>
      <c r="E145" s="176">
        <f t="shared" si="88"/>
        <v>5.2076707339222209E-3</v>
      </c>
      <c r="F145" s="176">
        <f t="shared" si="88"/>
        <v>-8.8039327906241485E-2</v>
      </c>
      <c r="G145" s="176">
        <f t="shared" si="88"/>
        <v>-6.1010242552255046E-2</v>
      </c>
      <c r="H145" s="176">
        <f t="shared" si="88"/>
        <v>-0.1105379136671758</v>
      </c>
      <c r="J145" s="176"/>
      <c r="K145" s="176"/>
      <c r="L145" s="176"/>
      <c r="M145" s="176"/>
      <c r="N145" s="176"/>
      <c r="O145" s="2"/>
      <c r="P145" s="163"/>
    </row>
    <row r="146" spans="1:16">
      <c r="D146" s="176"/>
      <c r="E146" s="176"/>
      <c r="F146" s="176"/>
      <c r="G146" s="176"/>
      <c r="H146" s="176"/>
      <c r="J146" s="176"/>
      <c r="K146" s="176"/>
      <c r="L146" s="176"/>
      <c r="M146" s="176"/>
      <c r="N146" s="176"/>
      <c r="P146" s="163"/>
    </row>
    <row r="147" spans="1:16">
      <c r="A147" t="s">
        <v>208</v>
      </c>
      <c r="D147" s="176">
        <f t="shared" ref="D147:H147" si="89">(D81-C81)/C81</f>
        <v>1.2422360248447159E-2</v>
      </c>
      <c r="E147" s="176">
        <f t="shared" si="89"/>
        <v>-9.202453987730061E-2</v>
      </c>
      <c r="F147" s="176">
        <f t="shared" si="89"/>
        <v>-1.6891891891891889E-2</v>
      </c>
      <c r="G147" s="176">
        <f t="shared" si="89"/>
        <v>-2.7491408934707928E-2</v>
      </c>
      <c r="H147" s="176">
        <f t="shared" si="89"/>
        <v>-1.0600706713780944E-2</v>
      </c>
      <c r="J147" s="176">
        <v>-0.01</v>
      </c>
      <c r="K147" s="176">
        <v>0.01</v>
      </c>
      <c r="L147" s="176">
        <v>1.4999999999999999E-2</v>
      </c>
      <c r="M147" s="176">
        <v>1.4999999999999999E-2</v>
      </c>
      <c r="N147" s="176">
        <v>1.4999999999999999E-2</v>
      </c>
      <c r="P147" s="164" t="s">
        <v>209</v>
      </c>
    </row>
    <row r="148" spans="1:16">
      <c r="A148" t="s">
        <v>206</v>
      </c>
      <c r="D148" s="176">
        <f t="shared" ref="D148:E148" si="90">(D82-C82)/C82</f>
        <v>0.18808800651900129</v>
      </c>
      <c r="E148" s="176">
        <f t="shared" si="90"/>
        <v>0.13433719915201406</v>
      </c>
      <c r="F148" s="176">
        <f>(F82-E82)/E82</f>
        <v>-6.788511749347333E-3</v>
      </c>
      <c r="G148" s="176">
        <f t="shared" ref="G148" si="91">(G82-F82)/F82</f>
        <v>-7.0286125408158184E-3</v>
      </c>
      <c r="H148" s="176">
        <f>(H82-G82)/G82</f>
        <v>1.9507301304203699E-3</v>
      </c>
      <c r="J148" s="176">
        <v>1.4999999999999999E-2</v>
      </c>
      <c r="K148" s="176">
        <v>1.4999999999999999E-2</v>
      </c>
      <c r="L148" s="176">
        <v>1.4999999999999999E-2</v>
      </c>
      <c r="M148" s="176">
        <v>1.4999999999999999E-2</v>
      </c>
      <c r="N148" s="176">
        <v>1.4999999999999999E-2</v>
      </c>
      <c r="P148" t="s">
        <v>210</v>
      </c>
    </row>
    <row r="149" spans="1:16">
      <c r="A149" t="s">
        <v>151</v>
      </c>
      <c r="D149" s="176">
        <f t="shared" ref="D149:H149" si="92">(D83-C83)/C83</f>
        <v>0.20284686374283969</v>
      </c>
      <c r="E149" s="176">
        <f t="shared" si="92"/>
        <v>2.9950340334344076E-2</v>
      </c>
      <c r="F149" s="176">
        <f t="shared" si="92"/>
        <v>-2.3565732834662307E-2</v>
      </c>
      <c r="G149" s="176">
        <f t="shared" si="92"/>
        <v>-3.4326795013920726E-2</v>
      </c>
      <c r="H149" s="176">
        <f t="shared" si="92"/>
        <v>-8.6706557013507875E-3</v>
      </c>
      <c r="J149" s="177"/>
      <c r="K149" s="177"/>
      <c r="L149" s="177"/>
      <c r="M149" s="177"/>
      <c r="N149" s="177"/>
      <c r="O149" s="2"/>
      <c r="P149" s="163"/>
    </row>
    <row r="150" spans="1:16">
      <c r="D150" s="176"/>
      <c r="E150" s="176"/>
      <c r="F150" s="176"/>
      <c r="G150" s="176"/>
      <c r="H150" s="176"/>
      <c r="J150" s="177"/>
      <c r="K150" s="177"/>
      <c r="L150" s="177"/>
      <c r="M150" s="177"/>
      <c r="N150" s="177"/>
      <c r="P150" s="163"/>
    </row>
    <row r="151" spans="1:16">
      <c r="D151" s="176"/>
      <c r="E151" s="176"/>
      <c r="F151" s="176"/>
      <c r="G151" s="176"/>
      <c r="H151" s="176"/>
      <c r="J151" s="177"/>
      <c r="K151" s="177"/>
      <c r="L151" s="177"/>
      <c r="M151" s="177"/>
      <c r="N151" s="177"/>
      <c r="P151" s="163"/>
    </row>
    <row r="152" spans="1:16">
      <c r="A152" t="s">
        <v>177</v>
      </c>
      <c r="D152" s="176">
        <f t="shared" ref="D152:H152" si="93">(D86-C86)/C86</f>
        <v>0.10200146353686945</v>
      </c>
      <c r="E152" s="176">
        <f t="shared" si="93"/>
        <v>-2.2170188409263217E-2</v>
      </c>
      <c r="F152" s="176">
        <f t="shared" si="93"/>
        <v>-2.5352189568153691E-2</v>
      </c>
      <c r="G152" s="176">
        <f t="shared" si="93"/>
        <v>8.6765884219429518E-3</v>
      </c>
      <c r="H152" s="176">
        <f t="shared" si="93"/>
        <v>-2.1107385677210581E-3</v>
      </c>
      <c r="J152" s="177"/>
      <c r="K152" s="177"/>
      <c r="L152" s="177"/>
      <c r="M152" s="177"/>
      <c r="N152" s="177"/>
      <c r="P152" s="163"/>
    </row>
    <row r="153" spans="1:16">
      <c r="A153" t="s">
        <v>211</v>
      </c>
      <c r="D153" s="176">
        <f t="shared" ref="D153:H153" si="94">(D87-C87)/C87</f>
        <v>0.1063061567538103</v>
      </c>
      <c r="E153" s="176">
        <f t="shared" si="94"/>
        <v>-2.9779758927479059E-2</v>
      </c>
      <c r="F153" s="176">
        <f t="shared" si="94"/>
        <v>-2.1530041291950321E-2</v>
      </c>
      <c r="G153" s="176">
        <f t="shared" si="94"/>
        <v>7.963025748963685E-4</v>
      </c>
      <c r="H153" s="176">
        <f t="shared" si="94"/>
        <v>-2.1107385677209324E-3</v>
      </c>
      <c r="J153" s="177"/>
      <c r="K153" s="177"/>
      <c r="L153" s="177"/>
      <c r="M153" s="177"/>
      <c r="N153" s="177"/>
      <c r="P153" s="163"/>
    </row>
    <row r="154" spans="1:16">
      <c r="A154" t="s">
        <v>179</v>
      </c>
      <c r="D154" s="176">
        <f t="shared" ref="D154:G154" si="95">(D88-C88)/C88</f>
        <v>0.32982954545454546</v>
      </c>
      <c r="E154" s="176">
        <f t="shared" si="95"/>
        <v>-0.10553300576799829</v>
      </c>
      <c r="F154" s="176">
        <f t="shared" si="95"/>
        <v>-0.13995700979221398</v>
      </c>
      <c r="G154" s="176">
        <f t="shared" si="95"/>
        <v>3.5823382393779503E-2</v>
      </c>
      <c r="H154" s="176"/>
      <c r="J154" s="177">
        <f>AVERAGE(D154:G154)</f>
        <v>3.0040728072028171E-2</v>
      </c>
      <c r="K154" s="177">
        <v>3.0040728072028171E-2</v>
      </c>
      <c r="L154" s="177">
        <v>3.0040728072028171E-2</v>
      </c>
      <c r="M154" s="177">
        <v>3.0040728072028171E-2</v>
      </c>
      <c r="N154" s="177">
        <v>3.0040728072028171E-2</v>
      </c>
      <c r="O154" s="2"/>
      <c r="P154" s="164" t="s">
        <v>212</v>
      </c>
    </row>
    <row r="155" spans="1:16">
      <c r="A155" s="2" t="s">
        <v>151</v>
      </c>
      <c r="D155" s="176">
        <f t="shared" ref="D155:H155" si="96">(D89-C89)/C89</f>
        <v>0.11379339260562647</v>
      </c>
      <c r="E155" s="176">
        <f t="shared" si="96"/>
        <v>-3.6932282430742487E-2</v>
      </c>
      <c r="F155" s="176">
        <f t="shared" si="96"/>
        <v>-2.7601230518934598E-2</v>
      </c>
      <c r="G155" s="176">
        <f t="shared" si="96"/>
        <v>2.0986907356158242E-3</v>
      </c>
      <c r="H155" s="176">
        <f t="shared" si="96"/>
        <v>-4.5469926573690221E-2</v>
      </c>
      <c r="J155" s="177"/>
      <c r="K155" s="177"/>
      <c r="L155" s="177"/>
      <c r="M155" s="177"/>
      <c r="N155" s="177"/>
    </row>
  </sheetData>
  <mergeCells count="2">
    <mergeCell ref="E39:I39"/>
    <mergeCell ref="P95:U95"/>
  </mergeCell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02A8732-2B6B-435B-8123-303EAB4CEA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Revenue!C46:H46</xm:f>
              <xm:sqref>I46</xm:sqref>
            </x14:sparkline>
            <x14:sparkline>
              <xm:f>Revenue!C47:H47</xm:f>
              <xm:sqref>I47</xm:sqref>
            </x14:sparkline>
            <x14:sparkline>
              <xm:f>Revenue!C48:H48</xm:f>
              <xm:sqref>I48</xm:sqref>
            </x14:sparkline>
            <x14:sparkline>
              <xm:f>Revenue!C49:H49</xm:f>
              <xm:sqref>I49</xm:sqref>
            </x14:sparkline>
            <x14:sparkline>
              <xm:f>Revenue!C50:H50</xm:f>
              <xm:sqref>I50</xm:sqref>
            </x14:sparkline>
            <x14:sparkline>
              <xm:f>Revenue!C51:H51</xm:f>
              <xm:sqref>I51</xm:sqref>
            </x14:sparkline>
            <x14:sparkline>
              <xm:f>Revenue!C52:H52</xm:f>
              <xm:sqref>I52</xm:sqref>
            </x14:sparkline>
            <x14:sparkline>
              <xm:f>Revenue!C53:H53</xm:f>
              <xm:sqref>I53</xm:sqref>
            </x14:sparkline>
            <x14:sparkline>
              <xm:f>Revenue!C54:H54</xm:f>
              <xm:sqref>I54</xm:sqref>
            </x14:sparkline>
            <x14:sparkline>
              <xm:f>Revenue!C55:H55</xm:f>
              <xm:sqref>I55</xm:sqref>
            </x14:sparkline>
            <x14:sparkline>
              <xm:f>Revenue!C56:H56</xm:f>
              <xm:sqref>I56</xm:sqref>
            </x14:sparkline>
            <x14:sparkline>
              <xm:f>Revenue!C57:H57</xm:f>
              <xm:sqref>I57</xm:sqref>
            </x14:sparkline>
            <x14:sparkline>
              <xm:f>Revenue!C58:H58</xm:f>
              <xm:sqref>I58</xm:sqref>
            </x14:sparkline>
            <x14:sparkline>
              <xm:f>Revenue!C59:H59</xm:f>
              <xm:sqref>I59</xm:sqref>
            </x14:sparkline>
            <x14:sparkline>
              <xm:f>Revenue!C60:H60</xm:f>
              <xm:sqref>I60</xm:sqref>
            </x14:sparkline>
            <x14:sparkline>
              <xm:f>Revenue!C61:H61</xm:f>
              <xm:sqref>I61</xm:sqref>
            </x14:sparkline>
            <x14:sparkline>
              <xm:f>Revenue!C62:H62</xm:f>
              <xm:sqref>I62</xm:sqref>
            </x14:sparkline>
            <x14:sparkline>
              <xm:f>Revenue!C63:H63</xm:f>
              <xm:sqref>I63</xm:sqref>
            </x14:sparkline>
            <x14:sparkline>
              <xm:f>Revenue!C64:H64</xm:f>
              <xm:sqref>I64</xm:sqref>
            </x14:sparkline>
            <x14:sparkline>
              <xm:f>Revenue!C65:H65</xm:f>
              <xm:sqref>I65</xm:sqref>
            </x14:sparkline>
            <x14:sparkline>
              <xm:f>Revenue!C66:H66</xm:f>
              <xm:sqref>I66</xm:sqref>
            </x14:sparkline>
            <x14:sparkline>
              <xm:f>Revenue!C67:H67</xm:f>
              <xm:sqref>I67</xm:sqref>
            </x14:sparkline>
            <x14:sparkline>
              <xm:f>Revenue!C68:H68</xm:f>
              <xm:sqref>I68</xm:sqref>
            </x14:sparkline>
            <x14:sparkline>
              <xm:f>Revenue!C69:H69</xm:f>
              <xm:sqref>I69</xm:sqref>
            </x14:sparkline>
            <x14:sparkline>
              <xm:f>Revenue!C70:H70</xm:f>
              <xm:sqref>I70</xm:sqref>
            </x14:sparkline>
            <x14:sparkline>
              <xm:f>Revenue!C71:H71</xm:f>
              <xm:sqref>I71</xm:sqref>
            </x14:sparkline>
            <x14:sparkline>
              <xm:f>Revenue!C72:H72</xm:f>
              <xm:sqref>I72</xm:sqref>
            </x14:sparkline>
            <x14:sparkline>
              <xm:f>Revenue!C73:H73</xm:f>
              <xm:sqref>I73</xm:sqref>
            </x14:sparkline>
            <x14:sparkline>
              <xm:f>Revenue!C74:H74</xm:f>
              <xm:sqref>I74</xm:sqref>
            </x14:sparkline>
            <x14:sparkline>
              <xm:f>Revenue!C75:H75</xm:f>
              <xm:sqref>I75</xm:sqref>
            </x14:sparkline>
            <x14:sparkline>
              <xm:f>Revenue!C76:H76</xm:f>
              <xm:sqref>I76</xm:sqref>
            </x14:sparkline>
            <x14:sparkline>
              <xm:f>Revenue!C77:H77</xm:f>
              <xm:sqref>I77</xm:sqref>
            </x14:sparkline>
            <x14:sparkline>
              <xm:f>Revenue!C78:H78</xm:f>
              <xm:sqref>I78</xm:sqref>
            </x14:sparkline>
            <x14:sparkline>
              <xm:f>Revenue!C79:H79</xm:f>
              <xm:sqref>I79</xm:sqref>
            </x14:sparkline>
            <x14:sparkline>
              <xm:f>Revenue!C80:H80</xm:f>
              <xm:sqref>I80</xm:sqref>
            </x14:sparkline>
            <x14:sparkline>
              <xm:f>Revenue!C81:H81</xm:f>
              <xm:sqref>I81</xm:sqref>
            </x14:sparkline>
            <x14:sparkline>
              <xm:f>Revenue!C82:H82</xm:f>
              <xm:sqref>I82</xm:sqref>
            </x14:sparkline>
            <x14:sparkline>
              <xm:f>Revenue!C83:H83</xm:f>
              <xm:sqref>I83</xm:sqref>
            </x14:sparkline>
            <x14:sparkline>
              <xm:f>Revenue!C84:H84</xm:f>
              <xm:sqref>I84</xm:sqref>
            </x14:sparkline>
            <x14:sparkline>
              <xm:f>Revenue!C85:H85</xm:f>
              <xm:sqref>I85</xm:sqref>
            </x14:sparkline>
            <x14:sparkline>
              <xm:f>Revenue!C86:H86</xm:f>
              <xm:sqref>I86</xm:sqref>
            </x14:sparkline>
            <x14:sparkline>
              <xm:f>Revenue!C87:H87</xm:f>
              <xm:sqref>I87</xm:sqref>
            </x14:sparkline>
            <x14:sparkline>
              <xm:f>Revenue!C88:H88</xm:f>
              <xm:sqref>I88</xm:sqref>
            </x14:sparkline>
          </x14:sparklines>
        </x14:sparklineGroup>
        <x14:sparklineGroup displayEmptyCellsAs="gap" xr2:uid="{8AFB2C14-6B3B-4FA8-BB89-B9656C3868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Revenue!D97:H97</xm:f>
              <xm:sqref>I97</xm:sqref>
            </x14:sparkline>
            <x14:sparkline>
              <xm:f>Revenue!D98:H98</xm:f>
              <xm:sqref>I98</xm:sqref>
            </x14:sparkline>
            <x14:sparkline>
              <xm:f>Revenue!D99:H99</xm:f>
              <xm:sqref>I99</xm:sqref>
            </x14:sparkline>
            <x14:sparkline>
              <xm:f>Revenue!D100:H100</xm:f>
              <xm:sqref>I100</xm:sqref>
            </x14:sparkline>
            <x14:sparkline>
              <xm:f>Revenue!D101:H101</xm:f>
              <xm:sqref>I101</xm:sqref>
            </x14:sparkline>
            <x14:sparkline>
              <xm:f>Revenue!D102:H102</xm:f>
              <xm:sqref>I102</xm:sqref>
            </x14:sparkline>
            <x14:sparkline>
              <xm:f>Revenue!D103:H103</xm:f>
              <xm:sqref>I103</xm:sqref>
            </x14:sparkline>
            <x14:sparkline>
              <xm:f>Revenue!D104:H104</xm:f>
              <xm:sqref>I104</xm:sqref>
            </x14:sparkline>
            <x14:sparkline>
              <xm:f>Revenue!D105:H105</xm:f>
              <xm:sqref>I105</xm:sqref>
            </x14:sparkline>
            <x14:sparkline>
              <xm:f>Revenue!D106:H106</xm:f>
              <xm:sqref>I106</xm:sqref>
            </x14:sparkline>
            <x14:sparkline>
              <xm:f>Revenue!D107:H107</xm:f>
              <xm:sqref>I107</xm:sqref>
            </x14:sparkline>
            <x14:sparkline>
              <xm:f>Revenue!D108:H108</xm:f>
              <xm:sqref>I108</xm:sqref>
            </x14:sparkline>
            <x14:sparkline>
              <xm:f>Revenue!D109:H109</xm:f>
              <xm:sqref>I109</xm:sqref>
            </x14:sparkline>
            <x14:sparkline>
              <xm:f>Revenue!D110:H110</xm:f>
              <xm:sqref>I110</xm:sqref>
            </x14:sparkline>
            <x14:sparkline>
              <xm:f>Revenue!D111:H111</xm:f>
              <xm:sqref>I111</xm:sqref>
            </x14:sparkline>
            <x14:sparkline>
              <xm:f>Revenue!D112:H112</xm:f>
              <xm:sqref>I112</xm:sqref>
            </x14:sparkline>
            <x14:sparkline>
              <xm:f>Revenue!D113:H113</xm:f>
              <xm:sqref>I113</xm:sqref>
            </x14:sparkline>
            <x14:sparkline>
              <xm:f>Revenue!D114:H114</xm:f>
              <xm:sqref>I114</xm:sqref>
            </x14:sparkline>
            <x14:sparkline>
              <xm:f>Revenue!D115:H115</xm:f>
              <xm:sqref>I115</xm:sqref>
            </x14:sparkline>
            <x14:sparkline>
              <xm:f>Revenue!D116:H116</xm:f>
              <xm:sqref>I116</xm:sqref>
            </x14:sparkline>
            <x14:sparkline>
              <xm:f>Revenue!D117:H117</xm:f>
              <xm:sqref>I117</xm:sqref>
            </x14:sparkline>
            <x14:sparkline>
              <xm:f>Revenue!D121:H121</xm:f>
              <xm:sqref>I121</xm:sqref>
            </x14:sparkline>
            <x14:sparkline>
              <xm:f>Revenue!D125:H125</xm:f>
              <xm:sqref>I125</xm:sqref>
            </x14:sparkline>
            <x14:sparkline>
              <xm:f>Revenue!D126:H126</xm:f>
              <xm:sqref>I126</xm:sqref>
            </x14:sparkline>
            <x14:sparkline>
              <xm:f>Revenue!D127:H127</xm:f>
              <xm:sqref>I127</xm:sqref>
            </x14:sparkline>
            <x14:sparkline>
              <xm:f>Revenue!D128:H128</xm:f>
              <xm:sqref>I128</xm:sqref>
            </x14:sparkline>
            <x14:sparkline>
              <xm:f>Revenue!D129:H129</xm:f>
              <xm:sqref>I129</xm:sqref>
            </x14:sparkline>
            <x14:sparkline>
              <xm:f>Revenue!D130:H130</xm:f>
              <xm:sqref>I130</xm:sqref>
            </x14:sparkline>
            <x14:sparkline>
              <xm:f>Revenue!D131:H131</xm:f>
              <xm:sqref>I131</xm:sqref>
            </x14:sparkline>
            <x14:sparkline>
              <xm:f>Revenue!D132:H132</xm:f>
              <xm:sqref>I132</xm:sqref>
            </x14:sparkline>
            <x14:sparkline>
              <xm:f>Revenue!D133:H133</xm:f>
              <xm:sqref>I133</xm:sqref>
            </x14:sparkline>
            <x14:sparkline>
              <xm:f>Revenue!D134:H134</xm:f>
              <xm:sqref>I134</xm:sqref>
            </x14:sparkline>
            <x14:sparkline>
              <xm:f>Revenue!D135:H135</xm:f>
              <xm:sqref>I135</xm:sqref>
            </x14:sparkline>
            <x14:sparkline>
              <xm:f>Revenue!D136:H136</xm:f>
              <xm:sqref>I136</xm:sqref>
            </x14:sparkline>
            <x14:sparkline>
              <xm:f>Revenue!D137:H137</xm:f>
              <xm:sqref>I137</xm:sqref>
            </x14:sparkline>
            <x14:sparkline>
              <xm:f>Revenue!D138:H138</xm:f>
              <xm:sqref>I138</xm:sqref>
            </x14:sparkline>
            <x14:sparkline>
              <xm:f>Revenue!D139:H139</xm:f>
              <xm:sqref>I139</xm:sqref>
            </x14:sparkline>
            <x14:sparkline>
              <xm:f>Revenue!D140:H140</xm:f>
              <xm:sqref>I140</xm:sqref>
            </x14:sparkline>
            <x14:sparkline>
              <xm:f>Revenue!D141:H141</xm:f>
              <xm:sqref>I141</xm:sqref>
            </x14:sparkline>
            <x14:sparkline>
              <xm:f>Revenue!D142:H142</xm:f>
              <xm:sqref>I142</xm:sqref>
            </x14:sparkline>
            <x14:sparkline>
              <xm:f>Revenue!D143:H143</xm:f>
              <xm:sqref>I143</xm:sqref>
            </x14:sparkline>
            <x14:sparkline>
              <xm:f>Revenue!D144:H144</xm:f>
              <xm:sqref>I144</xm:sqref>
            </x14:sparkline>
            <x14:sparkline>
              <xm:f>Revenue!D145:H145</xm:f>
              <xm:sqref>I145</xm:sqref>
            </x14:sparkline>
            <x14:sparkline>
              <xm:f>Revenue!D146:H146</xm:f>
              <xm:sqref>I146</xm:sqref>
            </x14:sparkline>
            <x14:sparkline>
              <xm:f>Revenue!D147:H147</xm:f>
              <xm:sqref>I147</xm:sqref>
            </x14:sparkline>
            <x14:sparkline>
              <xm:f>Revenue!D148:H148</xm:f>
              <xm:sqref>I148</xm:sqref>
            </x14:sparkline>
            <x14:sparkline>
              <xm:f>Revenue!D149:H149</xm:f>
              <xm:sqref>I149</xm:sqref>
            </x14:sparkline>
            <x14:sparkline>
              <xm:f>Revenue!D150:H150</xm:f>
              <xm:sqref>I150</xm:sqref>
            </x14:sparkline>
            <x14:sparkline>
              <xm:f>Revenue!D151:H151</xm:f>
              <xm:sqref>I151</xm:sqref>
            </x14:sparkline>
            <x14:sparkline>
              <xm:f>Revenue!D152:H152</xm:f>
              <xm:sqref>I152</xm:sqref>
            </x14:sparkline>
            <x14:sparkline>
              <xm:f>Revenue!D153:H153</xm:f>
              <xm:sqref>I153</xm:sqref>
            </x14:sparkline>
            <x14:sparkline>
              <xm:f>Revenue!D154:H154</xm:f>
              <xm:sqref>I154</xm:sqref>
            </x14:sparkline>
            <x14:sparkline>
              <xm:f>Revenue!D155:H155</xm:f>
              <xm:sqref>I155</xm:sqref>
            </x14:sparkline>
          </x14:sparklines>
        </x14:sparklineGroup>
        <x14:sparklineGroup displayEmptyCellsAs="gap" xr2:uid="{156F081F-2431-489E-B32B-C021491759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Revenue!D118:H118</xm:f>
              <xm:sqref>I118</xm:sqref>
            </x14:sparkline>
            <x14:sparkline>
              <xm:f>Revenue!D119:H119</xm:f>
              <xm:sqref>I119</xm:sqref>
            </x14:sparkline>
            <x14:sparkline>
              <xm:f>Revenue!D120:H120</xm:f>
              <xm:sqref>I120</xm:sqref>
            </x14:sparkline>
          </x14:sparklines>
        </x14:sparklineGroup>
        <x14:sparklineGroup displayEmptyCellsAs="gap" xr2:uid="{F270CFC8-20C6-4DA9-ACDE-8FB564546A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Revenue!D122:H122</xm:f>
              <xm:sqref>I122</xm:sqref>
            </x14:sparkline>
            <x14:sparkline>
              <xm:f>Revenue!D123:H123</xm:f>
              <xm:sqref>I123</xm:sqref>
            </x14:sparkline>
            <x14:sparkline>
              <xm:f>Revenue!D124:H124</xm:f>
              <xm:sqref>I124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0D72-A4FA-4532-884C-C9C9430D57DF}">
  <dimension ref="A1:P85"/>
  <sheetViews>
    <sheetView zoomScale="80" zoomScaleNormal="80" workbookViewId="0">
      <pane xSplit="1" topLeftCell="B1" activePane="topRight" state="frozen"/>
      <selection pane="topRight" activeCell="P4" sqref="P4"/>
    </sheetView>
  </sheetViews>
  <sheetFormatPr defaultColWidth="8.6640625" defaultRowHeight="14.4"/>
  <cols>
    <col min="1" max="1" width="43.6640625" bestFit="1" customWidth="1"/>
    <col min="7" max="7" width="0" style="165" hidden="1" customWidth="1"/>
    <col min="8" max="8" width="9.109375" customWidth="1"/>
  </cols>
  <sheetData>
    <row r="1" spans="1:12">
      <c r="A1" s="1" t="s">
        <v>213</v>
      </c>
    </row>
    <row r="2" spans="1:12" ht="26.4">
      <c r="A2" s="1" t="s">
        <v>214</v>
      </c>
    </row>
    <row r="4" spans="1:12">
      <c r="A4" s="324"/>
      <c r="B4" s="328">
        <v>2021</v>
      </c>
      <c r="C4" s="328">
        <v>2022</v>
      </c>
      <c r="D4" s="328">
        <v>2023</v>
      </c>
      <c r="E4" s="328">
        <v>2024</v>
      </c>
      <c r="F4" s="328">
        <v>2025</v>
      </c>
      <c r="G4" s="328" t="s">
        <v>159</v>
      </c>
      <c r="H4" s="328" t="s">
        <v>122</v>
      </c>
      <c r="I4" s="328" t="s">
        <v>123</v>
      </c>
      <c r="J4" s="328" t="s">
        <v>124</v>
      </c>
      <c r="K4" s="328" t="s">
        <v>125</v>
      </c>
      <c r="L4" s="328" t="s">
        <v>126</v>
      </c>
    </row>
    <row r="5" spans="1:12">
      <c r="A5" s="2" t="s">
        <v>215</v>
      </c>
      <c r="B5">
        <v>83959</v>
      </c>
      <c r="C5">
        <v>93512</v>
      </c>
      <c r="D5">
        <v>90155</v>
      </c>
      <c r="E5">
        <v>87693</v>
      </c>
      <c r="F5">
        <v>87926</v>
      </c>
      <c r="G5" s="165">
        <v>22244</v>
      </c>
      <c r="H5" s="158">
        <f>Revenue!J36</f>
        <v>89241.194618956433</v>
      </c>
      <c r="I5" s="158">
        <f>Revenue!K36</f>
        <v>90885.188753652168</v>
      </c>
      <c r="J5" s="158">
        <f>Revenue!L36</f>
        <v>92899.462002507586</v>
      </c>
      <c r="K5" s="158">
        <f>Revenue!M36</f>
        <v>94849.339011212229</v>
      </c>
      <c r="L5" s="158">
        <f>Revenue!N36</f>
        <v>96850.637072152022</v>
      </c>
    </row>
    <row r="6" spans="1:12">
      <c r="A6" s="2" t="s">
        <v>216</v>
      </c>
    </row>
    <row r="7" spans="1:12">
      <c r="A7" t="s">
        <v>217</v>
      </c>
      <c r="B7">
        <v>30173</v>
      </c>
      <c r="C7">
        <v>32058</v>
      </c>
      <c r="D7" s="170">
        <f>'Operating expenses'!B79</f>
        <v>31019</v>
      </c>
      <c r="E7" s="170">
        <f>'Operating expenses'!C79</f>
        <v>30961</v>
      </c>
      <c r="F7" s="170">
        <f>'Operating expenses'!D79</f>
        <v>31232</v>
      </c>
      <c r="G7" s="170">
        <f>'Operating expenses'!E79</f>
        <v>30770.008027551223</v>
      </c>
      <c r="H7" s="170">
        <f>'Operating expenses'!E79</f>
        <v>30770.008027551223</v>
      </c>
      <c r="I7" s="170">
        <f>'Operating expenses'!F79</f>
        <v>30565.170527190654</v>
      </c>
      <c r="J7" s="170">
        <f>'Operating expenses'!G79</f>
        <v>31259.894861954483</v>
      </c>
      <c r="K7" s="170">
        <f>'Operating expenses'!H79</f>
        <v>31934.966483098731</v>
      </c>
      <c r="L7" s="170">
        <f>'Operating expenses'!I79</f>
        <v>32628.07053374068</v>
      </c>
    </row>
    <row r="8" spans="1:12">
      <c r="A8" t="s">
        <v>218</v>
      </c>
      <c r="B8">
        <v>21674</v>
      </c>
      <c r="C8">
        <v>24118</v>
      </c>
      <c r="D8" s="170">
        <f>'Operating expenses'!B80</f>
        <v>21790</v>
      </c>
      <c r="E8" s="170">
        <f>'Operating expenses'!C80</f>
        <v>20921</v>
      </c>
      <c r="F8" s="170">
        <f>'Operating expenses'!D80</f>
        <v>21768</v>
      </c>
      <c r="G8" s="165">
        <v>5488</v>
      </c>
      <c r="H8" s="170">
        <f>'Operating expenses'!E80</f>
        <v>21827.31806922135</v>
      </c>
      <c r="I8" s="170">
        <f>'Operating expenses'!F80</f>
        <v>22224.878436611809</v>
      </c>
      <c r="J8" s="170">
        <f>'Operating expenses'!G80</f>
        <v>22704.681171968641</v>
      </c>
      <c r="K8" s="170">
        <f>'Operating expenses'!H80</f>
        <v>23164.898102707433</v>
      </c>
      <c r="L8" s="170">
        <f>'Operating expenses'!I80</f>
        <v>23637.04252909356</v>
      </c>
    </row>
    <row r="9" spans="1:12">
      <c r="A9" t="s">
        <v>219</v>
      </c>
      <c r="B9">
        <v>4155</v>
      </c>
      <c r="C9">
        <v>4712</v>
      </c>
      <c r="D9" s="170">
        <f>'Operating expenses'!B81</f>
        <v>4738</v>
      </c>
      <c r="E9" s="170">
        <f>'Operating expenses'!C81</f>
        <v>4571</v>
      </c>
      <c r="F9" s="170">
        <f>'Operating expenses'!D81</f>
        <v>4647</v>
      </c>
      <c r="G9" s="165">
        <v>1192</v>
      </c>
      <c r="H9" s="170">
        <f>'Operating expenses'!E81</f>
        <v>4802.0229049207901</v>
      </c>
      <c r="I9" s="170">
        <f>'Operating expenses'!F81</f>
        <v>5071.275683785866</v>
      </c>
      <c r="J9" s="170">
        <f>'Operating expenses'!G81</f>
        <v>5359.9382876206082</v>
      </c>
      <c r="K9" s="170">
        <f>'Operating expenses'!H81</f>
        <v>5666.7947806794109</v>
      </c>
      <c r="L9" s="170">
        <f>'Operating expenses'!I81</f>
        <v>5993.1529894377773</v>
      </c>
    </row>
    <row r="10" spans="1:12">
      <c r="A10" t="s">
        <v>220</v>
      </c>
      <c r="B10">
        <v>3793</v>
      </c>
      <c r="C10">
        <v>3970</v>
      </c>
      <c r="D10" s="170">
        <f>'Operating expenses'!B82</f>
        <v>4176</v>
      </c>
      <c r="E10" s="170">
        <f>'Operating expenses'!C82</f>
        <v>4287</v>
      </c>
      <c r="F10" s="170">
        <f>'Operating expenses'!D82</f>
        <v>4264</v>
      </c>
      <c r="G10" s="165">
        <v>1092</v>
      </c>
      <c r="H10" s="170">
        <f>'Operating expenses'!E82</f>
        <v>4361.6470393780701</v>
      </c>
      <c r="I10" s="170">
        <f>'Operating expenses'!F82</f>
        <v>4333.2817135293235</v>
      </c>
      <c r="J10" s="170">
        <f>'Operating expenses'!G82</f>
        <v>4349.0181750900065</v>
      </c>
      <c r="K10" s="170">
        <f>'Operating expenses'!H82</f>
        <v>4430.4429629108799</v>
      </c>
      <c r="L10" s="170">
        <f>'Operating expenses'!I82</f>
        <v>4523.7068484238343</v>
      </c>
    </row>
    <row r="11" spans="1:12">
      <c r="A11" t="s">
        <v>221</v>
      </c>
      <c r="B11">
        <v>2882</v>
      </c>
      <c r="C11">
        <v>5115</v>
      </c>
      <c r="D11" s="170">
        <f>'Operating expenses'!B83</f>
        <v>5909</v>
      </c>
      <c r="E11" s="170">
        <f>'Operating expenses'!C83</f>
        <v>4710</v>
      </c>
      <c r="F11" s="170">
        <f>'Operating expenses'!D83</f>
        <v>3775</v>
      </c>
      <c r="G11" s="165">
        <v>873</v>
      </c>
      <c r="H11" s="170">
        <f>'Operating expenses'!E83</f>
        <v>3868.2323199498696</v>
      </c>
      <c r="I11" s="170">
        <f>'Operating expenses'!F83</f>
        <v>3937.9222622672119</v>
      </c>
      <c r="J11" s="170">
        <f>'Operating expenses'!G83</f>
        <v>4024.4012153290005</v>
      </c>
      <c r="K11" s="170">
        <f>'Operating expenses'!H83</f>
        <v>4107.7213812113305</v>
      </c>
      <c r="L11" s="170">
        <f>'Operating expenses'!I83</f>
        <v>4193.2248107260393</v>
      </c>
    </row>
    <row r="12" spans="1:12">
      <c r="A12" t="s">
        <v>222</v>
      </c>
      <c r="B12">
        <v>3328</v>
      </c>
      <c r="C12">
        <v>3372</v>
      </c>
      <c r="D12" s="170">
        <f>'Operating expenses'!B84</f>
        <v>3357</v>
      </c>
      <c r="E12" s="170">
        <f>'Operating expenses'!C84</f>
        <v>3291</v>
      </c>
      <c r="F12" s="170">
        <f>'Operating expenses'!D84</f>
        <v>3245</v>
      </c>
      <c r="G12" s="165">
        <v>843</v>
      </c>
      <c r="H12" s="170">
        <f>'Operating expenses'!E84</f>
        <v>3236.3170649111844</v>
      </c>
      <c r="I12" s="170">
        <f>'Operating expenses'!F84</f>
        <v>3205.0393327359229</v>
      </c>
      <c r="J12" s="170">
        <f>'Operating expenses'!G84</f>
        <v>3276.1332193068265</v>
      </c>
      <c r="K12" s="170">
        <f>'Operating expenses'!H84</f>
        <v>3253.1752096302848</v>
      </c>
      <c r="L12" s="170">
        <f>'Operating expenses'!I84</f>
        <v>3321.7484764778892</v>
      </c>
    </row>
    <row r="13" spans="1:12">
      <c r="A13" t="s">
        <v>223</v>
      </c>
      <c r="B13">
        <v>0</v>
      </c>
      <c r="C13">
        <v>0</v>
      </c>
      <c r="D13" s="170">
        <f>'Operating expenses'!B85</f>
        <v>117</v>
      </c>
      <c r="E13" s="170">
        <f>'Operating expenses'!C85</f>
        <v>157</v>
      </c>
      <c r="F13" s="170">
        <f>'Operating expenses'!D85</f>
        <v>21</v>
      </c>
      <c r="H13" s="170">
        <f>'Operating expenses'!E85</f>
        <v>21</v>
      </c>
      <c r="I13" s="170">
        <f>'Operating expenses'!F85</f>
        <v>21</v>
      </c>
      <c r="J13" s="170">
        <f>'Operating expenses'!G85</f>
        <v>21</v>
      </c>
      <c r="K13" s="170">
        <f>'Operating expenses'!H85</f>
        <v>21</v>
      </c>
      <c r="L13" s="170">
        <f>'Operating expenses'!I85</f>
        <v>21</v>
      </c>
    </row>
    <row r="14" spans="1:12">
      <c r="A14" t="s">
        <v>224</v>
      </c>
      <c r="B14">
        <v>116</v>
      </c>
      <c r="C14">
        <v>278</v>
      </c>
      <c r="D14" s="170">
        <f>'Operating expenses'!B86</f>
        <v>309</v>
      </c>
      <c r="E14" s="170">
        <f>'Operating expenses'!C86</f>
        <v>582</v>
      </c>
      <c r="F14" s="170">
        <f>'Operating expenses'!D86</f>
        <v>756</v>
      </c>
      <c r="G14" s="165">
        <v>67</v>
      </c>
      <c r="H14" s="170">
        <f>'Operating expenses'!E86</f>
        <v>500</v>
      </c>
      <c r="I14" s="170">
        <f>'Operating expenses'!F86</f>
        <v>200</v>
      </c>
      <c r="J14" s="170">
        <f>'Operating expenses'!G86</f>
        <v>100</v>
      </c>
      <c r="K14" s="170">
        <f>'Operating expenses'!H86</f>
        <v>0</v>
      </c>
      <c r="L14" s="170">
        <f>'Operating expenses'!I86</f>
        <v>0</v>
      </c>
    </row>
    <row r="15" spans="1:12">
      <c r="A15" t="s">
        <v>148</v>
      </c>
      <c r="B15">
        <v>11981</v>
      </c>
      <c r="C15">
        <v>13644</v>
      </c>
      <c r="D15" s="170">
        <f>'Operating expenses'!B87</f>
        <v>13828</v>
      </c>
      <c r="E15" s="170">
        <f>'Operating expenses'!C87</f>
        <v>12654</v>
      </c>
      <c r="F15" s="170">
        <f>'Operating expenses'!D87</f>
        <v>13001</v>
      </c>
      <c r="G15" s="165">
        <f>3396+45</f>
        <v>3441</v>
      </c>
      <c r="H15" s="170">
        <f>'Operating expenses'!E87</f>
        <v>13354.807173069039</v>
      </c>
      <c r="I15" s="170">
        <f>'Operating expenses'!F87</f>
        <v>13535.083585959212</v>
      </c>
      <c r="J15" s="170">
        <f>'Operating expenses'!G87</f>
        <v>13924.897348213954</v>
      </c>
      <c r="K15" s="170">
        <f>'Operating expenses'!H87</f>
        <v>14229.398073654902</v>
      </c>
      <c r="L15" s="170">
        <f>'Operating expenses'!I87</f>
        <v>14544.991993516547</v>
      </c>
    </row>
    <row r="16" spans="1:12">
      <c r="A16" s="3" t="s">
        <v>225</v>
      </c>
      <c r="B16" s="3">
        <f>SUM(B7:B15)</f>
        <v>78102</v>
      </c>
      <c r="C16" s="3">
        <f t="shared" ref="C16:L16" si="0">SUM(C7:C15)</f>
        <v>87267</v>
      </c>
      <c r="D16" s="3">
        <f t="shared" si="0"/>
        <v>85243</v>
      </c>
      <c r="E16" s="3">
        <f t="shared" si="0"/>
        <v>82134</v>
      </c>
      <c r="F16" s="3">
        <f t="shared" si="0"/>
        <v>82709</v>
      </c>
      <c r="G16" s="166">
        <f t="shared" si="0"/>
        <v>43766.008027551223</v>
      </c>
      <c r="H16" s="159">
        <f t="shared" si="0"/>
        <v>82741.352599001533</v>
      </c>
      <c r="I16" s="159">
        <f t="shared" si="0"/>
        <v>83093.651542079984</v>
      </c>
      <c r="J16" s="159">
        <f t="shared" si="0"/>
        <v>85019.964279483509</v>
      </c>
      <c r="K16" s="159">
        <f t="shared" si="0"/>
        <v>86808.396993892966</v>
      </c>
      <c r="L16" s="159">
        <f t="shared" si="0"/>
        <v>88862.938181416335</v>
      </c>
    </row>
    <row r="17" spans="1:12">
      <c r="A17" s="3" t="s">
        <v>226</v>
      </c>
      <c r="B17" s="3">
        <f>B5-B16</f>
        <v>5857</v>
      </c>
      <c r="C17" s="3">
        <f t="shared" ref="C17:K17" si="1">C5-C16</f>
        <v>6245</v>
      </c>
      <c r="D17" s="3">
        <f t="shared" si="1"/>
        <v>4912</v>
      </c>
      <c r="E17" s="3">
        <f t="shared" si="1"/>
        <v>5559</v>
      </c>
      <c r="F17" s="3">
        <f t="shared" si="1"/>
        <v>5217</v>
      </c>
      <c r="G17" s="165">
        <v>1186</v>
      </c>
      <c r="H17" s="159">
        <f t="shared" si="1"/>
        <v>6499.8420199549</v>
      </c>
      <c r="I17" s="159">
        <f t="shared" si="1"/>
        <v>7791.5372115721839</v>
      </c>
      <c r="J17" s="159">
        <f t="shared" si="1"/>
        <v>7879.4977230240765</v>
      </c>
      <c r="K17" s="159">
        <f t="shared" si="1"/>
        <v>8040.942017319263</v>
      </c>
      <c r="L17" s="159">
        <f>L5-L16</f>
        <v>7987.6988907356863</v>
      </c>
    </row>
    <row r="18" spans="1:12">
      <c r="A18" s="2" t="s">
        <v>227</v>
      </c>
      <c r="H18" s="158"/>
      <c r="I18" s="158"/>
      <c r="J18" s="158"/>
      <c r="K18" s="158"/>
      <c r="L18" s="158"/>
    </row>
    <row r="19" spans="1:12">
      <c r="A19" t="s">
        <v>228</v>
      </c>
      <c r="B19">
        <v>-793</v>
      </c>
      <c r="C19">
        <v>-689</v>
      </c>
      <c r="D19">
        <v>-694</v>
      </c>
      <c r="E19">
        <v>-745</v>
      </c>
      <c r="F19">
        <v>-789</v>
      </c>
      <c r="G19" s="165">
        <v>-119</v>
      </c>
      <c r="H19" s="158">
        <f>-'Debt schedule'!G12</f>
        <v>-859.55100000000004</v>
      </c>
      <c r="I19" s="158">
        <f>-'Debt schedule'!H12</f>
        <v>-967.76400000000001</v>
      </c>
      <c r="J19" s="158">
        <f>-'Debt schedule'!I12</f>
        <v>-1093.1760000000002</v>
      </c>
      <c r="K19" s="158">
        <f>-'Debt schedule'!J12</f>
        <v>-1147.3800000000001</v>
      </c>
      <c r="L19" s="158">
        <f>-'Debt schedule'!K12</f>
        <v>-1208.6400000000001</v>
      </c>
    </row>
    <row r="20" spans="1:12">
      <c r="A20" t="s">
        <v>229</v>
      </c>
      <c r="B20">
        <v>52</v>
      </c>
      <c r="C20">
        <v>53</v>
      </c>
      <c r="D20">
        <v>198</v>
      </c>
      <c r="E20">
        <v>370</v>
      </c>
      <c r="F20">
        <v>363</v>
      </c>
      <c r="H20" s="158">
        <f>H60*'Balance sheet'!G23</f>
        <v>211.13957750943774</v>
      </c>
      <c r="I20" s="158">
        <f>I60*'Balance sheet'!H23</f>
        <v>215.0291738837328</v>
      </c>
      <c r="J20" s="158">
        <f>J60*'Balance sheet'!I23</f>
        <v>219.7948295270466</v>
      </c>
      <c r="K20" s="158">
        <f>K60*'Balance sheet'!J23</f>
        <v>224.40812733834474</v>
      </c>
      <c r="L20" s="158">
        <f>L60*'Balance sheet'!K23</f>
        <v>229.14308442695739</v>
      </c>
    </row>
    <row r="21" spans="1:12">
      <c r="A21" t="s">
        <v>230</v>
      </c>
      <c r="B21">
        <v>1983</v>
      </c>
      <c r="C21">
        <v>-726</v>
      </c>
      <c r="D21">
        <v>1054</v>
      </c>
      <c r="E21">
        <v>722</v>
      </c>
      <c r="F21">
        <v>713</v>
      </c>
      <c r="G21" s="165">
        <v>60</v>
      </c>
      <c r="H21" s="158">
        <f>H61*H7</f>
        <v>758.18862532009234</v>
      </c>
      <c r="I21" s="158">
        <f t="shared" ref="I21:L21" si="2">I61*I7</f>
        <v>753.14132527800837</v>
      </c>
      <c r="J21" s="158">
        <f t="shared" si="2"/>
        <v>770.25968572430304</v>
      </c>
      <c r="K21" s="158">
        <f t="shared" si="2"/>
        <v>786.89379332575936</v>
      </c>
      <c r="L21" s="158">
        <f t="shared" si="2"/>
        <v>803.97222914837846</v>
      </c>
    </row>
    <row r="22" spans="1:12">
      <c r="A22" t="s">
        <v>231</v>
      </c>
      <c r="B22">
        <v>-393</v>
      </c>
      <c r="C22">
        <v>0</v>
      </c>
      <c r="D22">
        <v>0</v>
      </c>
      <c r="E22">
        <v>0</v>
      </c>
      <c r="F22">
        <v>0</v>
      </c>
      <c r="H22" s="158">
        <f>F22</f>
        <v>0</v>
      </c>
      <c r="I22" s="158">
        <f t="shared" ref="I22:L22" si="3">G22</f>
        <v>0</v>
      </c>
      <c r="J22" s="158">
        <f t="shared" si="3"/>
        <v>0</v>
      </c>
      <c r="K22" s="158">
        <f t="shared" si="3"/>
        <v>0</v>
      </c>
      <c r="L22" s="158">
        <f t="shared" si="3"/>
        <v>0</v>
      </c>
    </row>
    <row r="23" spans="1:12">
      <c r="A23" t="s">
        <v>232</v>
      </c>
      <c r="B23">
        <v>-32</v>
      </c>
      <c r="C23">
        <v>13</v>
      </c>
      <c r="D23">
        <v>-107</v>
      </c>
      <c r="E23">
        <v>-70</v>
      </c>
      <c r="F23">
        <v>-63</v>
      </c>
      <c r="G23" s="165">
        <v>7</v>
      </c>
      <c r="H23" s="158">
        <f>H63</f>
        <v>-60</v>
      </c>
      <c r="I23" s="158">
        <f t="shared" ref="I23:L23" si="4">I63</f>
        <v>-60</v>
      </c>
      <c r="J23" s="158">
        <f t="shared" si="4"/>
        <v>-60</v>
      </c>
      <c r="K23" s="158">
        <f t="shared" si="4"/>
        <v>-60</v>
      </c>
      <c r="L23" s="158">
        <f t="shared" si="4"/>
        <v>-60</v>
      </c>
    </row>
    <row r="24" spans="1:12">
      <c r="A24" s="3" t="s">
        <v>233</v>
      </c>
      <c r="B24" s="3">
        <f>SUM(B19:B23)</f>
        <v>817</v>
      </c>
      <c r="C24" s="3">
        <f t="shared" ref="C24:L24" si="5">SUM(C19:C23)</f>
        <v>-1349</v>
      </c>
      <c r="D24" s="3">
        <f t="shared" si="5"/>
        <v>451</v>
      </c>
      <c r="E24" s="3">
        <f t="shared" si="5"/>
        <v>277</v>
      </c>
      <c r="F24" s="3">
        <f t="shared" si="5"/>
        <v>224</v>
      </c>
      <c r="G24" s="166">
        <f t="shared" si="5"/>
        <v>-52</v>
      </c>
      <c r="H24" s="159">
        <f t="shared" si="5"/>
        <v>49.777202829530097</v>
      </c>
      <c r="I24" s="159">
        <f t="shared" si="5"/>
        <v>-59.593500838258819</v>
      </c>
      <c r="J24" s="159">
        <f t="shared" si="5"/>
        <v>-163.12148474865046</v>
      </c>
      <c r="K24" s="159">
        <f t="shared" si="5"/>
        <v>-196.07807933589606</v>
      </c>
      <c r="L24" s="159">
        <f t="shared" si="5"/>
        <v>-235.52468642466431</v>
      </c>
    </row>
    <row r="25" spans="1:12">
      <c r="A25" s="4" t="s">
        <v>234</v>
      </c>
      <c r="B25" s="3">
        <f t="shared" ref="B25:E25" si="6">B17+B24</f>
        <v>6674</v>
      </c>
      <c r="C25" s="3">
        <f t="shared" si="6"/>
        <v>4896</v>
      </c>
      <c r="D25" s="3">
        <f t="shared" si="6"/>
        <v>5363</v>
      </c>
      <c r="E25" s="3">
        <f t="shared" si="6"/>
        <v>5836</v>
      </c>
      <c r="F25" s="3">
        <f>F17+F24</f>
        <v>5441</v>
      </c>
      <c r="G25" s="166">
        <f>G17+G24</f>
        <v>1134</v>
      </c>
      <c r="H25" s="159">
        <f t="shared" ref="H25:L25" si="7">H17+H24</f>
        <v>6549.6192227844303</v>
      </c>
      <c r="I25" s="159">
        <f t="shared" si="7"/>
        <v>7731.9437107339254</v>
      </c>
      <c r="J25" s="159">
        <f t="shared" si="7"/>
        <v>7716.3762382754257</v>
      </c>
      <c r="K25" s="159">
        <f t="shared" si="7"/>
        <v>7844.8639379833667</v>
      </c>
      <c r="L25" s="159">
        <f t="shared" si="7"/>
        <v>7752.1742043110216</v>
      </c>
    </row>
    <row r="26" spans="1:12">
      <c r="A26" t="s">
        <v>235</v>
      </c>
      <c r="B26">
        <v>1443</v>
      </c>
      <c r="C26">
        <v>1070</v>
      </c>
      <c r="D26">
        <v>1391</v>
      </c>
      <c r="E26">
        <v>1505</v>
      </c>
      <c r="F26">
        <v>1349</v>
      </c>
      <c r="G26" s="165">
        <v>310</v>
      </c>
      <c r="H26" s="158">
        <f>H25*H66</f>
        <v>1637.4048056961076</v>
      </c>
      <c r="I26" s="158">
        <f>I25*I66</f>
        <v>1932.9859276834813</v>
      </c>
      <c r="J26" s="158">
        <f>J25*J66</f>
        <v>1929.0940595688564</v>
      </c>
      <c r="K26" s="158">
        <f>K25*K66</f>
        <v>1961.2159844958417</v>
      </c>
      <c r="L26" s="158">
        <f>L25*L66</f>
        <v>1938.0435510777554</v>
      </c>
    </row>
    <row r="27" spans="1:12">
      <c r="A27" s="344" t="s">
        <v>236</v>
      </c>
      <c r="B27" s="344">
        <f>B25-B26</f>
        <v>5231</v>
      </c>
      <c r="C27" s="344">
        <f t="shared" ref="C27:L27" si="8">C25-C26</f>
        <v>3826</v>
      </c>
      <c r="D27" s="344">
        <f t="shared" si="8"/>
        <v>3972</v>
      </c>
      <c r="E27" s="344">
        <f t="shared" si="8"/>
        <v>4331</v>
      </c>
      <c r="F27" s="344">
        <f t="shared" si="8"/>
        <v>4092</v>
      </c>
      <c r="G27" s="344">
        <f t="shared" si="8"/>
        <v>824</v>
      </c>
      <c r="H27" s="346">
        <f t="shared" si="8"/>
        <v>4912.214417088323</v>
      </c>
      <c r="I27" s="346">
        <f t="shared" si="8"/>
        <v>5798.957783050444</v>
      </c>
      <c r="J27" s="346">
        <f t="shared" si="8"/>
        <v>5787.2821787065695</v>
      </c>
      <c r="K27" s="346">
        <f t="shared" si="8"/>
        <v>5883.6479534875252</v>
      </c>
      <c r="L27" s="346">
        <f t="shared" si="8"/>
        <v>5814.1306532332665</v>
      </c>
    </row>
    <row r="28" spans="1:12">
      <c r="A28" t="s">
        <v>237</v>
      </c>
      <c r="B28">
        <v>19.79</v>
      </c>
      <c r="C28">
        <v>14.54</v>
      </c>
      <c r="D28">
        <v>15.6</v>
      </c>
      <c r="E28">
        <v>17.41</v>
      </c>
      <c r="F28">
        <v>16.96</v>
      </c>
      <c r="G28" s="165">
        <v>3.48</v>
      </c>
      <c r="H28" s="158">
        <f>'Debt schedule'!C32</f>
        <v>21.630182373792703</v>
      </c>
      <c r="I28" s="158">
        <f>'Debt schedule'!D32</f>
        <v>26.68273033198566</v>
      </c>
      <c r="J28" s="158">
        <f>'Debt schedule'!E32</f>
        <v>27.820796936383854</v>
      </c>
      <c r="K28" s="158">
        <f>'Debt schedule'!F32</f>
        <v>29.542317500941582</v>
      </c>
      <c r="L28" s="158">
        <f>'Debt schedule'!G32</f>
        <v>30.485164918379123</v>
      </c>
    </row>
    <row r="29" spans="1:12">
      <c r="A29" t="s">
        <v>238</v>
      </c>
      <c r="B29">
        <v>19.45</v>
      </c>
      <c r="C29">
        <v>14.33</v>
      </c>
      <c r="D29">
        <v>15.48</v>
      </c>
      <c r="E29">
        <v>17.21</v>
      </c>
      <c r="F29">
        <v>16.809999999999999</v>
      </c>
      <c r="G29" s="165">
        <v>3.46</v>
      </c>
      <c r="H29" s="158"/>
      <c r="I29" s="158"/>
      <c r="J29" s="158"/>
      <c r="K29" s="158"/>
      <c r="L29" s="158"/>
    </row>
    <row r="30" spans="1:12">
      <c r="A30" t="s">
        <v>236</v>
      </c>
      <c r="B30">
        <f t="shared" ref="B30:E30" si="9">B25-B26</f>
        <v>5231</v>
      </c>
      <c r="C30">
        <f t="shared" si="9"/>
        <v>3826</v>
      </c>
      <c r="D30">
        <f t="shared" si="9"/>
        <v>3972</v>
      </c>
      <c r="E30">
        <f t="shared" si="9"/>
        <v>4331</v>
      </c>
      <c r="F30">
        <f>F25-F26</f>
        <v>4092</v>
      </c>
      <c r="G30" s="165">
        <f>G25-G26</f>
        <v>824</v>
      </c>
      <c r="H30" s="158">
        <f>H25-H26</f>
        <v>4912.214417088323</v>
      </c>
      <c r="I30" s="158">
        <f t="shared" ref="I30:L30" si="10">I25-I26</f>
        <v>5798.957783050444</v>
      </c>
      <c r="J30" s="158">
        <f t="shared" si="10"/>
        <v>5787.2821787065695</v>
      </c>
      <c r="K30" s="158">
        <f t="shared" si="10"/>
        <v>5883.6479534875252</v>
      </c>
      <c r="L30" s="158">
        <f t="shared" si="10"/>
        <v>5814.1306532332665</v>
      </c>
    </row>
    <row r="31" spans="1:12">
      <c r="A31" t="s">
        <v>239</v>
      </c>
      <c r="H31" s="158"/>
      <c r="I31" s="158"/>
      <c r="J31" s="158"/>
      <c r="K31" s="158"/>
      <c r="L31" s="158"/>
    </row>
    <row r="32" spans="1:12">
      <c r="A32" t="s">
        <v>240</v>
      </c>
      <c r="B32">
        <v>422</v>
      </c>
      <c r="C32">
        <v>-363</v>
      </c>
      <c r="D32">
        <v>-214</v>
      </c>
      <c r="E32">
        <v>-60</v>
      </c>
      <c r="F32">
        <v>2</v>
      </c>
      <c r="H32" s="158">
        <v>0</v>
      </c>
      <c r="I32" s="158">
        <v>0</v>
      </c>
      <c r="J32" s="158">
        <v>0</v>
      </c>
      <c r="K32" s="158">
        <v>0</v>
      </c>
      <c r="L32" s="158">
        <v>0</v>
      </c>
    </row>
    <row r="33" spans="1:15">
      <c r="A33" t="s">
        <v>241</v>
      </c>
      <c r="E33">
        <v>36</v>
      </c>
      <c r="H33" s="158">
        <v>0</v>
      </c>
      <c r="I33" s="158">
        <v>0</v>
      </c>
      <c r="J33" s="158">
        <v>0</v>
      </c>
      <c r="K33" s="158">
        <v>0</v>
      </c>
      <c r="L33" s="158">
        <v>0</v>
      </c>
    </row>
    <row r="34" spans="1:15">
      <c r="A34" t="s">
        <v>242</v>
      </c>
      <c r="B34">
        <v>-7</v>
      </c>
      <c r="C34">
        <v>-8</v>
      </c>
      <c r="D34">
        <v>-10</v>
      </c>
      <c r="E34">
        <v>-8</v>
      </c>
      <c r="F34">
        <v>-5</v>
      </c>
      <c r="H34" s="158">
        <v>-5</v>
      </c>
      <c r="I34" s="158">
        <v>-5</v>
      </c>
      <c r="J34" s="158">
        <v>-5</v>
      </c>
      <c r="K34" s="158">
        <v>-5</v>
      </c>
      <c r="L34" s="158">
        <v>-5</v>
      </c>
    </row>
    <row r="35" spans="1:15">
      <c r="A35" t="s">
        <v>243</v>
      </c>
      <c r="B35">
        <f t="shared" ref="B35:E35" si="11">SUM(B32:B34)</f>
        <v>415</v>
      </c>
      <c r="C35">
        <f t="shared" si="11"/>
        <v>-371</v>
      </c>
      <c r="D35">
        <f t="shared" si="11"/>
        <v>-224</v>
      </c>
      <c r="E35">
        <f t="shared" si="11"/>
        <v>-32</v>
      </c>
      <c r="F35">
        <f>SUM(F32:F34)</f>
        <v>-3</v>
      </c>
      <c r="G35"/>
      <c r="H35" s="158">
        <f t="shared" ref="H35:L35" si="12">SUM(H32:H34)</f>
        <v>-5</v>
      </c>
      <c r="I35" s="158">
        <f t="shared" si="12"/>
        <v>-5</v>
      </c>
      <c r="J35" s="158">
        <f t="shared" si="12"/>
        <v>-5</v>
      </c>
      <c r="K35" s="158">
        <f t="shared" si="12"/>
        <v>-5</v>
      </c>
      <c r="L35" s="158">
        <f t="shared" si="12"/>
        <v>-5</v>
      </c>
    </row>
    <row r="36" spans="1:15">
      <c r="B36">
        <f>B30+B35</f>
        <v>5646</v>
      </c>
      <c r="C36">
        <f t="shared" ref="C36:L36" si="13">C30+C35</f>
        <v>3455</v>
      </c>
      <c r="D36">
        <f t="shared" si="13"/>
        <v>3748</v>
      </c>
      <c r="E36">
        <f>E30+E35</f>
        <v>4299</v>
      </c>
      <c r="F36">
        <f t="shared" si="13"/>
        <v>4089</v>
      </c>
      <c r="G36"/>
      <c r="H36" s="158">
        <f t="shared" si="13"/>
        <v>4907.214417088323</v>
      </c>
      <c r="I36" s="158">
        <f t="shared" si="13"/>
        <v>5793.957783050444</v>
      </c>
      <c r="J36" s="158">
        <f t="shared" si="13"/>
        <v>5782.2821787065695</v>
      </c>
      <c r="K36" s="158">
        <f t="shared" si="13"/>
        <v>5878.6479534875252</v>
      </c>
      <c r="L36" s="158">
        <f t="shared" si="13"/>
        <v>5809.1306532332665</v>
      </c>
    </row>
    <row r="39" spans="1:15">
      <c r="A39" t="s">
        <v>182</v>
      </c>
    </row>
    <row r="40" spans="1:15">
      <c r="A40" s="324"/>
      <c r="B40" s="328">
        <v>2021</v>
      </c>
      <c r="C40" s="328">
        <v>2022</v>
      </c>
      <c r="D40" s="328">
        <v>2023</v>
      </c>
      <c r="E40" s="328">
        <v>2024</v>
      </c>
      <c r="F40" s="328">
        <v>2025</v>
      </c>
      <c r="G40" s="328" t="s">
        <v>159</v>
      </c>
      <c r="H40" s="328" t="s">
        <v>122</v>
      </c>
      <c r="I40" s="328" t="s">
        <v>123</v>
      </c>
      <c r="J40" s="328" t="s">
        <v>124</v>
      </c>
      <c r="K40" s="328" t="s">
        <v>125</v>
      </c>
      <c r="L40" s="328" t="s">
        <v>244</v>
      </c>
    </row>
    <row r="41" spans="1:15">
      <c r="A41" t="s">
        <v>215</v>
      </c>
      <c r="C41" s="154">
        <f>(C5-B5)/B5</f>
        <v>0.11378172679522147</v>
      </c>
      <c r="D41" s="154">
        <f t="shared" ref="D41:L41" si="14">(D5-C5)/C5</f>
        <v>-3.5899135939772432E-2</v>
      </c>
      <c r="E41" s="154">
        <f t="shared" si="14"/>
        <v>-2.7308524208307913E-2</v>
      </c>
      <c r="F41" s="154">
        <f t="shared" si="14"/>
        <v>2.6569965675709577E-3</v>
      </c>
      <c r="G41" s="167"/>
      <c r="H41" s="154">
        <f>(H5-F5)/F5</f>
        <v>1.495797169160923E-2</v>
      </c>
      <c r="I41" s="154">
        <f t="shared" si="14"/>
        <v>1.8421919851199762E-2</v>
      </c>
      <c r="J41" s="154">
        <f t="shared" si="14"/>
        <v>2.2162832871648462E-2</v>
      </c>
      <c r="K41" s="154">
        <f t="shared" si="14"/>
        <v>2.0989109804015995E-2</v>
      </c>
      <c r="L41" s="154">
        <f t="shared" si="14"/>
        <v>2.1099757592440548E-2</v>
      </c>
      <c r="O41" s="163" t="s">
        <v>245</v>
      </c>
    </row>
    <row r="42" spans="1:15">
      <c r="A42" t="s">
        <v>216</v>
      </c>
      <c r="C42" s="154"/>
      <c r="D42" s="154"/>
      <c r="E42" s="154"/>
      <c r="F42" s="154"/>
      <c r="G42" s="167"/>
      <c r="O42" s="163"/>
    </row>
    <row r="43" spans="1:15">
      <c r="A43" t="s">
        <v>217</v>
      </c>
      <c r="B43" s="176">
        <f>B7/B$5</f>
        <v>0.35937779154110933</v>
      </c>
      <c r="C43" s="176">
        <f t="shared" ref="C43:F43" si="15">C7/C$5</f>
        <v>0.34282231157498505</v>
      </c>
      <c r="D43" s="176">
        <f t="shared" si="15"/>
        <v>0.34406300260662193</v>
      </c>
      <c r="E43" s="176">
        <f t="shared" si="15"/>
        <v>0.35306124776207909</v>
      </c>
      <c r="F43" s="176">
        <f t="shared" si="15"/>
        <v>0.35520778836749084</v>
      </c>
      <c r="G43" s="167"/>
      <c r="H43" s="176">
        <v>0.35499999999999998</v>
      </c>
      <c r="I43" s="176">
        <v>0.35499999999999998</v>
      </c>
      <c r="J43" s="176">
        <v>0.35499999999999998</v>
      </c>
      <c r="K43" s="176">
        <v>0.35499999999999998</v>
      </c>
      <c r="L43" s="176">
        <v>0.35499999999999998</v>
      </c>
      <c r="O43" s="163" t="s">
        <v>246</v>
      </c>
    </row>
    <row r="44" spans="1:15">
      <c r="A44" t="s">
        <v>218</v>
      </c>
      <c r="B44" s="176">
        <f>B8/B5</f>
        <v>0.2581498112173799</v>
      </c>
      <c r="C44" s="176">
        <f>C8/C5</f>
        <v>0.25791342287620839</v>
      </c>
      <c r="D44" s="176">
        <f>D8/D5</f>
        <v>0.24169485885419556</v>
      </c>
      <c r="E44" s="176">
        <f>E8/E5</f>
        <v>0.23857092356288415</v>
      </c>
      <c r="F44" s="176">
        <f>F8/F5</f>
        <v>0.24757182175920661</v>
      </c>
      <c r="G44" s="167"/>
      <c r="H44" s="176"/>
      <c r="I44" s="176"/>
      <c r="J44" s="176"/>
      <c r="K44" s="176"/>
      <c r="L44" s="176"/>
      <c r="O44" s="163" t="s">
        <v>247</v>
      </c>
    </row>
    <row r="45" spans="1:15">
      <c r="A45" s="435" t="s">
        <v>18</v>
      </c>
      <c r="B45" s="176"/>
      <c r="C45" s="176"/>
      <c r="D45" s="176"/>
      <c r="E45" s="176"/>
      <c r="F45" s="176"/>
      <c r="G45" s="167"/>
      <c r="H45" s="176">
        <v>0.24</v>
      </c>
      <c r="I45" s="176">
        <v>0.24</v>
      </c>
      <c r="J45" s="176">
        <v>0.24</v>
      </c>
      <c r="K45" s="176">
        <v>0.24</v>
      </c>
      <c r="L45" s="176">
        <v>0.24</v>
      </c>
      <c r="O45" t="s">
        <v>248</v>
      </c>
    </row>
    <row r="46" spans="1:15">
      <c r="A46" s="435" t="s">
        <v>20</v>
      </c>
      <c r="B46" s="176"/>
      <c r="C46" s="176"/>
      <c r="D46" s="176"/>
      <c r="E46" s="176"/>
      <c r="F46" s="176"/>
      <c r="G46" s="167"/>
      <c r="H46" s="176">
        <v>0.25</v>
      </c>
      <c r="I46" s="176">
        <v>0.25</v>
      </c>
      <c r="J46" s="176">
        <v>0.25</v>
      </c>
      <c r="K46" s="176">
        <v>0.25</v>
      </c>
      <c r="L46" s="176">
        <v>0.25</v>
      </c>
      <c r="O46" t="s">
        <v>249</v>
      </c>
    </row>
    <row r="47" spans="1:15">
      <c r="A47" s="435" t="s">
        <v>22</v>
      </c>
      <c r="B47" s="176"/>
      <c r="C47" s="176"/>
      <c r="D47" s="176"/>
      <c r="E47" s="176"/>
      <c r="F47" s="176"/>
      <c r="G47" s="167"/>
      <c r="H47" s="176">
        <v>0.26</v>
      </c>
      <c r="I47" s="176">
        <v>0.26</v>
      </c>
      <c r="J47" s="176">
        <v>0.26</v>
      </c>
      <c r="K47" s="176">
        <v>0.26</v>
      </c>
      <c r="L47" s="176">
        <v>0.26</v>
      </c>
      <c r="O47" t="s">
        <v>250</v>
      </c>
    </row>
    <row r="48" spans="1:15">
      <c r="B48" s="176"/>
      <c r="C48" s="176"/>
      <c r="D48" s="176"/>
      <c r="E48" s="176"/>
      <c r="F48" s="176"/>
      <c r="G48" s="167"/>
      <c r="H48" s="176"/>
      <c r="I48" s="176"/>
      <c r="J48" s="176"/>
      <c r="K48" s="176"/>
      <c r="L48" s="176"/>
      <c r="O48" s="163"/>
    </row>
    <row r="49" spans="1:15">
      <c r="A49" t="s">
        <v>219</v>
      </c>
      <c r="B49" s="176">
        <f>B9/B5</f>
        <v>4.9488440786574397E-2</v>
      </c>
      <c r="C49" s="176">
        <f>C9/C5</f>
        <v>5.038925485499187E-2</v>
      </c>
      <c r="D49" s="176">
        <f>D9/D5</f>
        <v>5.2553934889911821E-2</v>
      </c>
      <c r="E49" s="176">
        <f>E9/E5</f>
        <v>5.2125027083119523E-2</v>
      </c>
      <c r="F49" s="176">
        <f>F9/F5</f>
        <v>5.2851261287901193E-2</v>
      </c>
      <c r="G49" s="167"/>
      <c r="H49" s="176">
        <f>AVERAGE(B49:F49)</f>
        <v>5.1481583780499759E-2</v>
      </c>
      <c r="I49" s="176">
        <f t="shared" ref="I49:K49" si="16">AVERAGE(C49:G49)</f>
        <v>5.19798695289811E-2</v>
      </c>
      <c r="J49" s="176">
        <f t="shared" si="16"/>
        <v>5.2252951760358074E-2</v>
      </c>
      <c r="K49" s="176">
        <f t="shared" si="16"/>
        <v>5.2109435420125388E-2</v>
      </c>
      <c r="L49" s="176">
        <f>AVERAGE(F49:J49)</f>
        <v>5.2141416589435031E-2</v>
      </c>
      <c r="O49" s="163" t="s">
        <v>251</v>
      </c>
    </row>
    <row r="50" spans="1:15">
      <c r="A50" t="s">
        <v>252</v>
      </c>
      <c r="B50" s="176">
        <f>B10/'Balance sheet'!B17</f>
        <v>5.4126175492672346E-2</v>
      </c>
      <c r="C50" s="176">
        <f>C10/'Balance sheet'!C17</f>
        <v>5.2739953503819326E-2</v>
      </c>
      <c r="D50" s="176">
        <f>D10/'Balance sheet'!D17</f>
        <v>5.179599126810875E-2</v>
      </c>
      <c r="E50" s="176">
        <f>E10/'Balance sheet'!E17</f>
        <v>5.0799255844817578E-2</v>
      </c>
      <c r="F50" s="176">
        <f>F10/'Balance sheet'!F17</f>
        <v>4.8663577640318645E-2</v>
      </c>
      <c r="G50" s="167"/>
      <c r="H50" s="176">
        <v>5.1999999999999998E-2</v>
      </c>
      <c r="I50" s="176">
        <v>5.1999999999999998E-2</v>
      </c>
      <c r="J50" s="176">
        <v>5.1999999999999998E-2</v>
      </c>
      <c r="K50" s="176">
        <v>5.1999999999999998E-2</v>
      </c>
      <c r="L50" s="176">
        <v>5.1999999999999998E-2</v>
      </c>
      <c r="O50" s="163" t="s">
        <v>253</v>
      </c>
    </row>
    <row r="51" spans="1:15">
      <c r="A51" t="s">
        <v>221</v>
      </c>
      <c r="B51" s="176">
        <f>B11/B5</f>
        <v>3.4326278302504794E-2</v>
      </c>
      <c r="C51" s="176">
        <f>C11/C5</f>
        <v>5.4698862178116175E-2</v>
      </c>
      <c r="D51" s="176">
        <f>D11/D5</f>
        <v>6.5542676501580605E-2</v>
      </c>
      <c r="E51" s="176">
        <f>E11/E5</f>
        <v>5.3710102288666142E-2</v>
      </c>
      <c r="F51" s="176">
        <f>F11/F5</f>
        <v>4.2933830721288355E-2</v>
      </c>
      <c r="G51" s="167"/>
      <c r="H51" s="176">
        <f>AVERAGE(B51:F51)</f>
        <v>5.0242349998431211E-2</v>
      </c>
      <c r="I51" s="176">
        <v>5.0242349998431211E-2</v>
      </c>
      <c r="J51" s="176">
        <v>5.0242349998431211E-2</v>
      </c>
      <c r="K51" s="176">
        <v>5.0242349998431211E-2</v>
      </c>
      <c r="L51" s="176">
        <v>5.0242349998431211E-2</v>
      </c>
      <c r="O51" s="163" t="s">
        <v>254</v>
      </c>
    </row>
    <row r="52" spans="1:15">
      <c r="A52" t="s">
        <v>222</v>
      </c>
      <c r="B52" s="176">
        <f t="shared" ref="B52:F52" si="17">B12/B$5</f>
        <v>3.9638394930859112E-2</v>
      </c>
      <c r="C52" s="176">
        <f t="shared" si="17"/>
        <v>3.6059543160236122E-2</v>
      </c>
      <c r="D52" s="176">
        <f t="shared" si="17"/>
        <v>3.7235871554544948E-2</v>
      </c>
      <c r="E52" s="176">
        <f t="shared" si="17"/>
        <v>3.752865108959666E-2</v>
      </c>
      <c r="F52" s="176">
        <f t="shared" si="17"/>
        <v>3.6906034620021379E-2</v>
      </c>
      <c r="G52" s="167"/>
      <c r="H52" s="176">
        <v>3.7999999999999999E-2</v>
      </c>
      <c r="I52" s="176">
        <v>3.7999999999999999E-2</v>
      </c>
      <c r="J52" s="176">
        <v>3.7999999999999999E-2</v>
      </c>
      <c r="K52" s="176">
        <v>3.7999999999999999E-2</v>
      </c>
      <c r="L52" s="176">
        <v>3.7999999999999999E-2</v>
      </c>
      <c r="O52" s="163" t="s">
        <v>255</v>
      </c>
    </row>
    <row r="53" spans="1:15">
      <c r="A53" t="s">
        <v>223</v>
      </c>
      <c r="B53" s="177"/>
      <c r="C53" s="176"/>
      <c r="D53" s="176"/>
      <c r="E53" s="176">
        <f>(E13-D13)/D13</f>
        <v>0.34188034188034189</v>
      </c>
      <c r="F53" s="176">
        <f>(F13-E13)/E13</f>
        <v>-0.86624203821656054</v>
      </c>
      <c r="G53" s="167"/>
      <c r="H53" s="176">
        <v>0</v>
      </c>
      <c r="I53" s="176">
        <v>0</v>
      </c>
      <c r="J53" s="176">
        <v>0</v>
      </c>
      <c r="K53" s="176">
        <v>0</v>
      </c>
      <c r="L53" s="176">
        <v>0</v>
      </c>
      <c r="O53" s="163" t="s">
        <v>256</v>
      </c>
    </row>
    <row r="54" spans="1:15">
      <c r="A54" t="s">
        <v>224</v>
      </c>
      <c r="B54" s="177"/>
      <c r="C54" s="176">
        <f>(C14-B14)/B14</f>
        <v>1.396551724137931</v>
      </c>
      <c r="D54" s="176">
        <f>(D14-C14)/C14</f>
        <v>0.11151079136690648</v>
      </c>
      <c r="E54" s="176">
        <f>(E14-D14)/D14</f>
        <v>0.88349514563106801</v>
      </c>
      <c r="F54" s="176">
        <f>(F14-E14)/E14</f>
        <v>0.29896907216494845</v>
      </c>
      <c r="G54" s="167"/>
      <c r="H54" s="282">
        <v>250</v>
      </c>
      <c r="I54" s="282">
        <v>0</v>
      </c>
      <c r="J54" s="282">
        <v>0</v>
      </c>
      <c r="K54" s="282">
        <v>0</v>
      </c>
      <c r="L54" s="282">
        <v>0</v>
      </c>
      <c r="O54" s="163" t="s">
        <v>257</v>
      </c>
    </row>
    <row r="55" spans="1:15">
      <c r="A55" t="s">
        <v>148</v>
      </c>
      <c r="B55" s="176">
        <f>B15/B5</f>
        <v>0.14270060386617278</v>
      </c>
      <c r="C55" s="176">
        <f>C15/C5</f>
        <v>0.14590640773376679</v>
      </c>
      <c r="D55" s="176">
        <f>D15/D5</f>
        <v>0.15338028950141422</v>
      </c>
      <c r="E55" s="176">
        <f>E15/E5</f>
        <v>0.14429886079846738</v>
      </c>
      <c r="F55" s="176">
        <f>F15/F5</f>
        <v>0.14786297568409798</v>
      </c>
      <c r="G55" s="167"/>
      <c r="H55" s="176">
        <f>AVERAGE(B55:F55)</f>
        <v>0.14682982751678383</v>
      </c>
      <c r="I55" s="176">
        <v>0.14682982751678383</v>
      </c>
      <c r="J55" s="176">
        <v>0.14682982751678383</v>
      </c>
      <c r="K55" s="176">
        <v>0.14682982751678383</v>
      </c>
      <c r="L55" s="176">
        <v>0.14682982751678383</v>
      </c>
      <c r="O55" s="163" t="s">
        <v>258</v>
      </c>
    </row>
    <row r="56" spans="1:15">
      <c r="A56" t="s">
        <v>225</v>
      </c>
      <c r="C56" s="154"/>
      <c r="D56" s="154"/>
      <c r="E56" s="154"/>
      <c r="F56" s="154"/>
      <c r="G56" s="167"/>
      <c r="H56" s="154"/>
      <c r="I56" s="154"/>
      <c r="J56" s="154"/>
      <c r="K56" s="154"/>
      <c r="L56" s="154"/>
      <c r="O56" s="163"/>
    </row>
    <row r="57" spans="1:15">
      <c r="A57" t="s">
        <v>226</v>
      </c>
      <c r="B57" s="154">
        <f>B17/B5</f>
        <v>6.9760240117200056E-2</v>
      </c>
      <c r="C57" s="154">
        <f t="shared" ref="C57:L57" si="18">C17/C5</f>
        <v>6.6782872786380357E-2</v>
      </c>
      <c r="D57" s="154">
        <f t="shared" si="18"/>
        <v>5.4483944318118795E-2</v>
      </c>
      <c r="E57" s="154">
        <f t="shared" si="18"/>
        <v>6.3391604803119977E-2</v>
      </c>
      <c r="F57" s="154">
        <f t="shared" si="18"/>
        <v>5.9333985396810958E-2</v>
      </c>
      <c r="G57" s="154">
        <f t="shared" si="18"/>
        <v>5.3317748606365761E-2</v>
      </c>
      <c r="H57" s="154">
        <f t="shared" si="18"/>
        <v>7.2834547405018907E-2</v>
      </c>
      <c r="I57" s="154">
        <f t="shared" si="18"/>
        <v>8.5729449632232682E-2</v>
      </c>
      <c r="J57" s="154">
        <f t="shared" si="18"/>
        <v>8.4817474215419991E-2</v>
      </c>
      <c r="K57" s="154">
        <f t="shared" si="18"/>
        <v>8.4775941520991896E-2</v>
      </c>
      <c r="L57" s="154">
        <f t="shared" si="18"/>
        <v>8.2474407316340009E-2</v>
      </c>
      <c r="O57" s="163"/>
    </row>
    <row r="58" spans="1:15">
      <c r="A58" t="s">
        <v>227</v>
      </c>
      <c r="C58" s="154"/>
      <c r="D58" s="154"/>
      <c r="E58" s="154"/>
      <c r="F58" s="154"/>
      <c r="G58" s="167"/>
      <c r="H58" s="154"/>
      <c r="I58" s="154"/>
      <c r="J58" s="154"/>
      <c r="K58" s="154"/>
      <c r="L58" s="154"/>
      <c r="O58" s="163"/>
    </row>
    <row r="59" spans="1:15">
      <c r="A59" t="s">
        <v>228</v>
      </c>
      <c r="C59" s="176">
        <f t="shared" ref="C59:F59" si="19">(C19-B19)/B19</f>
        <v>-0.13114754098360656</v>
      </c>
      <c r="D59" s="176">
        <f t="shared" si="19"/>
        <v>7.2568940493468797E-3</v>
      </c>
      <c r="E59" s="176">
        <f t="shared" si="19"/>
        <v>7.3487031700288183E-2</v>
      </c>
      <c r="F59" s="176">
        <f t="shared" si="19"/>
        <v>5.9060402684563758E-2</v>
      </c>
      <c r="G59" s="441"/>
      <c r="H59" s="176">
        <v>0.02</v>
      </c>
      <c r="I59" s="176">
        <v>0.02</v>
      </c>
      <c r="J59" s="176">
        <v>0.03</v>
      </c>
      <c r="K59" s="176">
        <v>0.03</v>
      </c>
      <c r="L59" s="176">
        <v>0.03</v>
      </c>
      <c r="O59" s="163" t="s">
        <v>259</v>
      </c>
    </row>
    <row r="60" spans="1:15">
      <c r="A60" t="s">
        <v>229</v>
      </c>
      <c r="B60" s="176">
        <f>B20/'Balance sheet'!B23</f>
        <v>1.2776412776412777E-2</v>
      </c>
      <c r="C60" s="176">
        <f>C20/'Balance sheet'!C23</f>
        <v>1.2097694590276193E-2</v>
      </c>
      <c r="D60" s="176">
        <f>D20/'Balance sheet'!D23</f>
        <v>4.8852701702442637E-2</v>
      </c>
      <c r="E60" s="176">
        <f>E20/'Balance sheet'!E23</f>
        <v>9.8117210289048004E-2</v>
      </c>
      <c r="F60" s="176">
        <f>F20/'Balance sheet'!F23</f>
        <v>7.990314769975787E-2</v>
      </c>
      <c r="G60" s="176">
        <f>G20/'Balance sheet'!E23</f>
        <v>0</v>
      </c>
      <c r="H60" s="440">
        <f>AVERAGE(B60:F60)</f>
        <v>5.0349433411587499E-2</v>
      </c>
      <c r="I60" s="176">
        <v>5.0349433411587499E-2</v>
      </c>
      <c r="J60" s="176">
        <v>5.0349433411587499E-2</v>
      </c>
      <c r="K60" s="176">
        <v>5.0349433411587499E-2</v>
      </c>
      <c r="L60" s="176">
        <v>5.0349433411587499E-2</v>
      </c>
      <c r="O60" s="163" t="s">
        <v>260</v>
      </c>
    </row>
    <row r="61" spans="1:15">
      <c r="A61" t="s">
        <v>230</v>
      </c>
      <c r="B61" s="176">
        <f>B21/B7</f>
        <v>6.5721008848970933E-2</v>
      </c>
      <c r="C61" s="176">
        <f t="shared" ref="C61:G61" si="20">C21/C7</f>
        <v>-2.2646453303387611E-2</v>
      </c>
      <c r="D61" s="176">
        <f t="shared" si="20"/>
        <v>3.3979174054611691E-2</v>
      </c>
      <c r="E61" s="176">
        <f t="shared" si="20"/>
        <v>2.3319660217693227E-2</v>
      </c>
      <c r="F61" s="176">
        <f t="shared" si="20"/>
        <v>2.2829149590163935E-2</v>
      </c>
      <c r="G61" s="176">
        <f t="shared" si="20"/>
        <v>1.9499507424982298E-3</v>
      </c>
      <c r="H61" s="176">
        <f>AVERAGE(B61:F61)</f>
        <v>2.4640507881610436E-2</v>
      </c>
      <c r="I61" s="176">
        <v>2.4640507881610436E-2</v>
      </c>
      <c r="J61" s="176">
        <v>2.4640507881610436E-2</v>
      </c>
      <c r="K61" s="176">
        <v>2.4640507881610436E-2</v>
      </c>
      <c r="L61" s="176">
        <v>2.4640507881610436E-2</v>
      </c>
      <c r="O61" s="163" t="s">
        <v>261</v>
      </c>
    </row>
    <row r="62" spans="1:15">
      <c r="A62" t="s">
        <v>231</v>
      </c>
      <c r="C62" s="154"/>
      <c r="D62" s="154"/>
      <c r="E62" s="154"/>
      <c r="F62" s="154"/>
      <c r="G62" s="167"/>
      <c r="H62" s="154">
        <v>0</v>
      </c>
      <c r="I62" s="154">
        <v>0</v>
      </c>
      <c r="J62" s="154">
        <v>0</v>
      </c>
      <c r="K62" s="154">
        <v>0</v>
      </c>
      <c r="L62" s="154">
        <v>0</v>
      </c>
      <c r="O62" s="163" t="s">
        <v>262</v>
      </c>
    </row>
    <row r="63" spans="1:15">
      <c r="A63" t="s">
        <v>232</v>
      </c>
      <c r="B63">
        <f>B23</f>
        <v>-32</v>
      </c>
      <c r="C63">
        <f>C23</f>
        <v>13</v>
      </c>
      <c r="D63">
        <f>D23</f>
        <v>-107</v>
      </c>
      <c r="E63">
        <f>E23</f>
        <v>-70</v>
      </c>
      <c r="F63">
        <f>F23</f>
        <v>-63</v>
      </c>
      <c r="G63" s="167"/>
      <c r="H63" s="168">
        <v>-60</v>
      </c>
      <c r="I63" s="168">
        <v>-60</v>
      </c>
      <c r="J63" s="168">
        <v>-60</v>
      </c>
      <c r="K63" s="168">
        <v>-60</v>
      </c>
      <c r="L63" s="168">
        <v>-60</v>
      </c>
      <c r="O63" s="163" t="s">
        <v>263</v>
      </c>
    </row>
    <row r="64" spans="1:15">
      <c r="A64" t="s">
        <v>233</v>
      </c>
      <c r="C64" s="154"/>
      <c r="D64" s="154"/>
      <c r="E64" s="154"/>
      <c r="F64" s="154"/>
      <c r="G64" s="167"/>
      <c r="H64" s="154"/>
      <c r="I64" s="154"/>
      <c r="J64" s="154"/>
      <c r="K64" s="154"/>
      <c r="L64" s="154"/>
      <c r="O64" s="163"/>
    </row>
    <row r="65" spans="1:15">
      <c r="A65" t="s">
        <v>234</v>
      </c>
      <c r="C65" s="154"/>
      <c r="D65" s="154"/>
      <c r="E65" s="154"/>
      <c r="F65" s="154"/>
      <c r="G65" s="167"/>
      <c r="H65" s="154"/>
      <c r="I65" s="154"/>
      <c r="J65" s="154"/>
      <c r="K65" s="154"/>
      <c r="L65" s="154"/>
      <c r="O65" s="163"/>
    </row>
    <row r="66" spans="1:15">
      <c r="A66" t="s">
        <v>235</v>
      </c>
      <c r="B66" s="154">
        <f>B26/B25</f>
        <v>0.2162121666167216</v>
      </c>
      <c r="C66" s="154">
        <f>C26/C25</f>
        <v>0.21854575163398693</v>
      </c>
      <c r="D66" s="154">
        <f>D26/D25</f>
        <v>0.25936975573373111</v>
      </c>
      <c r="E66" s="154">
        <f>E26/E25</f>
        <v>0.25788211103495545</v>
      </c>
      <c r="F66" s="154">
        <f>F26/F25</f>
        <v>0.24793236537401214</v>
      </c>
      <c r="G66" s="167"/>
      <c r="H66" s="154">
        <v>0.25</v>
      </c>
      <c r="I66" s="154">
        <v>0.25</v>
      </c>
      <c r="J66" s="154">
        <v>0.25</v>
      </c>
      <c r="K66" s="154">
        <v>0.25</v>
      </c>
      <c r="L66" s="154">
        <v>0.25</v>
      </c>
      <c r="O66" s="442" t="s">
        <v>264</v>
      </c>
    </row>
    <row r="67" spans="1:15">
      <c r="A67" s="2" t="s">
        <v>236</v>
      </c>
      <c r="B67" s="2"/>
      <c r="C67" s="154"/>
      <c r="D67" s="154"/>
      <c r="E67" s="154"/>
      <c r="F67" s="154"/>
      <c r="G67" s="167"/>
      <c r="H67" s="154"/>
      <c r="I67" s="154"/>
      <c r="J67" s="154"/>
      <c r="K67" s="154"/>
      <c r="L67" s="154"/>
      <c r="O67" s="163"/>
    </row>
    <row r="68" spans="1:15">
      <c r="A68" t="s">
        <v>237</v>
      </c>
      <c r="C68" s="154"/>
      <c r="D68" s="154"/>
      <c r="E68" s="154"/>
      <c r="F68" s="154"/>
      <c r="G68" s="167"/>
      <c r="H68" s="154"/>
      <c r="I68" s="154"/>
      <c r="J68" s="154"/>
      <c r="K68" s="154"/>
      <c r="L68" s="154"/>
      <c r="N68" s="169"/>
      <c r="O68" s="163"/>
    </row>
    <row r="69" spans="1:15">
      <c r="A69" t="s">
        <v>238</v>
      </c>
      <c r="C69" s="154"/>
      <c r="D69" s="154"/>
      <c r="E69" s="154"/>
      <c r="F69" s="154"/>
      <c r="G69" s="167"/>
      <c r="H69" s="154"/>
      <c r="I69" s="154"/>
      <c r="J69" s="154"/>
      <c r="K69" s="154"/>
      <c r="L69" s="154"/>
      <c r="O69" s="163"/>
    </row>
    <row r="70" spans="1:15">
      <c r="A70" t="s">
        <v>236</v>
      </c>
      <c r="C70" s="154"/>
      <c r="D70" s="154"/>
      <c r="E70" s="154"/>
      <c r="F70" s="154"/>
      <c r="G70" s="167"/>
      <c r="H70" s="154"/>
      <c r="I70" s="154"/>
      <c r="J70" s="154"/>
      <c r="K70" s="154"/>
      <c r="L70" s="154"/>
      <c r="O70" s="163"/>
    </row>
    <row r="71" spans="1:15">
      <c r="A71" t="s">
        <v>239</v>
      </c>
      <c r="C71" s="154"/>
      <c r="D71" s="154"/>
      <c r="E71" s="154"/>
      <c r="F71" s="154"/>
      <c r="G71" s="167"/>
      <c r="H71" s="154"/>
      <c r="I71" s="154"/>
      <c r="J71" s="154"/>
      <c r="K71" s="154"/>
      <c r="L71" s="154"/>
      <c r="O71" s="163"/>
    </row>
    <row r="72" spans="1:15">
      <c r="A72" t="s">
        <v>240</v>
      </c>
      <c r="C72" s="154"/>
      <c r="D72" s="154"/>
      <c r="E72" s="154"/>
      <c r="F72" s="154"/>
      <c r="G72" s="167"/>
      <c r="H72" s="154"/>
      <c r="I72" s="154"/>
      <c r="J72" s="154"/>
      <c r="K72" s="154"/>
      <c r="L72" s="154"/>
      <c r="O72" s="163"/>
    </row>
    <row r="73" spans="1:15">
      <c r="A73" t="s">
        <v>241</v>
      </c>
      <c r="C73" s="154"/>
      <c r="D73" s="154"/>
      <c r="E73" s="154"/>
      <c r="F73" s="154"/>
      <c r="G73" s="167"/>
      <c r="H73" s="154"/>
      <c r="I73" s="154"/>
      <c r="J73" s="154"/>
      <c r="K73" s="154"/>
      <c r="L73" s="154"/>
      <c r="O73" s="163"/>
    </row>
    <row r="74" spans="1:15">
      <c r="A74" t="s">
        <v>242</v>
      </c>
      <c r="C74" s="154"/>
      <c r="D74" s="154"/>
      <c r="E74" s="154"/>
      <c r="F74" s="154"/>
      <c r="G74" s="167"/>
      <c r="H74" s="154"/>
      <c r="I74" s="154"/>
      <c r="J74" s="154"/>
      <c r="K74" s="154"/>
      <c r="L74" s="154"/>
      <c r="O74" s="163"/>
    </row>
    <row r="75" spans="1:15">
      <c r="A75" t="s">
        <v>243</v>
      </c>
      <c r="C75" s="154"/>
      <c r="D75" s="154"/>
      <c r="E75" s="154"/>
      <c r="F75" s="154"/>
      <c r="G75" s="167"/>
      <c r="H75" s="154"/>
      <c r="I75" s="154"/>
      <c r="J75" s="154"/>
      <c r="K75" s="154"/>
      <c r="L75" s="154"/>
      <c r="O75" s="163"/>
    </row>
    <row r="76" spans="1:15">
      <c r="C76" s="154"/>
      <c r="D76" s="154"/>
      <c r="E76" s="154"/>
      <c r="F76" s="154"/>
      <c r="G76" s="167"/>
      <c r="H76" s="154"/>
      <c r="I76" s="154"/>
      <c r="J76" s="154"/>
      <c r="K76" s="154"/>
      <c r="L76" s="154"/>
    </row>
    <row r="83" spans="1:16">
      <c r="A83" s="2" t="s">
        <v>265</v>
      </c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</row>
    <row r="84" spans="1:16">
      <c r="A84" s="2" t="s">
        <v>266</v>
      </c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</row>
    <row r="85" spans="1:16">
      <c r="A85" s="464"/>
      <c r="B85" s="464"/>
      <c r="C85" s="464"/>
      <c r="D85" s="464"/>
      <c r="E85" s="464"/>
      <c r="F85" s="464"/>
      <c r="G85" s="464"/>
      <c r="H85" s="464"/>
      <c r="I85" s="464"/>
      <c r="J85" s="464"/>
      <c r="K85" s="464"/>
      <c r="L85" s="464"/>
      <c r="M85" s="464"/>
      <c r="N85" s="464"/>
      <c r="O85" s="464"/>
      <c r="P85" s="464"/>
    </row>
  </sheetData>
  <mergeCells count="1">
    <mergeCell ref="A85:P85"/>
  </mergeCells>
  <pageMargins left="0.7" right="0.7" top="0.75" bottom="0.75" header="0.3" footer="0.3"/>
  <pageSetup orientation="portrait" horizontalDpi="1200" verticalDpi="1200" r:id="rId1"/>
  <ignoredErrors>
    <ignoredError sqref="H22:L22 C51:F51 F6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6FE5-250D-4512-9C4D-CE50AE92C6E7}">
  <dimension ref="A2:N90"/>
  <sheetViews>
    <sheetView zoomScale="90" zoomScaleNormal="90" workbookViewId="0">
      <selection activeCell="N9" sqref="N9"/>
    </sheetView>
  </sheetViews>
  <sheetFormatPr defaultRowHeight="14.4"/>
  <cols>
    <col min="1" max="1" width="33.33203125" customWidth="1"/>
    <col min="2" max="2" width="12.21875" bestFit="1" customWidth="1"/>
    <col min="5" max="9" width="10.33203125" customWidth="1"/>
    <col min="11" max="11" width="20.33203125" bestFit="1" customWidth="1"/>
  </cols>
  <sheetData>
    <row r="2" spans="1:14">
      <c r="A2" s="2" t="s">
        <v>506</v>
      </c>
    </row>
    <row r="3" spans="1:14">
      <c r="A3" s="340" t="s">
        <v>496</v>
      </c>
      <c r="B3" s="453">
        <v>2023</v>
      </c>
      <c r="C3" s="453">
        <v>2024</v>
      </c>
      <c r="D3" s="453">
        <v>2025</v>
      </c>
      <c r="E3" s="453">
        <v>2026</v>
      </c>
      <c r="F3" s="453">
        <v>2027</v>
      </c>
      <c r="G3" s="453">
        <v>2028</v>
      </c>
      <c r="H3" s="453">
        <v>2029</v>
      </c>
      <c r="I3" s="453">
        <v>2030</v>
      </c>
    </row>
    <row r="4" spans="1:14">
      <c r="A4" s="171" t="s">
        <v>524</v>
      </c>
      <c r="B4" s="187">
        <f>Revenue!E4</f>
        <v>75884</v>
      </c>
      <c r="C4" s="187">
        <f>Revenue!F4</f>
        <v>74663</v>
      </c>
      <c r="D4" s="187">
        <f>Revenue!G4</f>
        <v>75304</v>
      </c>
      <c r="E4" s="452">
        <f>Revenue!J4</f>
        <v>77338.698447978022</v>
      </c>
      <c r="F4" s="452">
        <f>Revenue!K4</f>
        <v>78695.626632931686</v>
      </c>
      <c r="G4" s="452">
        <f>Revenue!L4</f>
        <v>80336.672785730363</v>
      </c>
      <c r="H4" s="452">
        <f>Revenue!M4</f>
        <v>81896.23404559218</v>
      </c>
      <c r="I4" s="452">
        <f>Revenue!N4</f>
        <v>83495.330030771467</v>
      </c>
    </row>
    <row r="5" spans="1:14">
      <c r="A5" s="172" t="s">
        <v>497</v>
      </c>
      <c r="B5" s="189">
        <v>24523</v>
      </c>
      <c r="C5" s="189">
        <v>24606</v>
      </c>
      <c r="D5" s="189">
        <v>25091</v>
      </c>
      <c r="E5" s="158">
        <f>E4*E6</f>
        <v>24748.383503352969</v>
      </c>
      <c r="F5" s="158">
        <f t="shared" ref="F5:I5" si="0">F4*F6</f>
        <v>24395.644256208823</v>
      </c>
      <c r="G5" s="158">
        <f t="shared" si="0"/>
        <v>24904.368563576412</v>
      </c>
      <c r="H5" s="158">
        <f t="shared" si="0"/>
        <v>25387.832554133576</v>
      </c>
      <c r="I5" s="158">
        <f t="shared" si="0"/>
        <v>25883.552309539155</v>
      </c>
    </row>
    <row r="6" spans="1:14">
      <c r="A6" s="172"/>
      <c r="B6" s="189"/>
      <c r="C6" s="189"/>
      <c r="D6" s="189"/>
      <c r="E6" s="154">
        <f>+CHOOSE(Cover!$I$15,E7,E8,E9)</f>
        <v>0.32</v>
      </c>
      <c r="F6" s="154">
        <f>+CHOOSE(Cover!$I$15,F7,F8,F9)</f>
        <v>0.31</v>
      </c>
      <c r="G6" s="154">
        <f>+CHOOSE(Cover!$I$15,G7,G8,G9)</f>
        <v>0.31</v>
      </c>
      <c r="H6" s="154">
        <f>+CHOOSE(Cover!$I$15,H7,H8,H9)</f>
        <v>0.31</v>
      </c>
      <c r="I6" s="154">
        <f>+CHOOSE(Cover!$I$15,I7,I8,I9)</f>
        <v>0.31</v>
      </c>
    </row>
    <row r="7" spans="1:14">
      <c r="A7" s="435" t="s">
        <v>18</v>
      </c>
      <c r="B7" s="448"/>
      <c r="C7" s="448"/>
      <c r="D7" s="448"/>
      <c r="E7" s="154">
        <v>0.31</v>
      </c>
      <c r="F7" s="154">
        <v>0.31</v>
      </c>
      <c r="G7" s="154">
        <v>0.31</v>
      </c>
      <c r="H7" s="154">
        <v>0.31</v>
      </c>
      <c r="I7" s="154">
        <v>0.31</v>
      </c>
      <c r="N7" t="s">
        <v>547</v>
      </c>
    </row>
    <row r="8" spans="1:14">
      <c r="A8" s="435" t="s">
        <v>20</v>
      </c>
      <c r="B8" s="448">
        <f>B5/B4</f>
        <v>0.32316430341046859</v>
      </c>
      <c r="C8" s="448">
        <f t="shared" ref="C8:D8" si="1">C5/C4</f>
        <v>0.32956082664773717</v>
      </c>
      <c r="D8" s="448">
        <f t="shared" si="1"/>
        <v>0.33319611176033148</v>
      </c>
      <c r="E8" s="154">
        <v>0.32</v>
      </c>
      <c r="F8" s="154">
        <v>0.31</v>
      </c>
      <c r="G8" s="154">
        <v>0.31</v>
      </c>
      <c r="H8" s="154">
        <v>0.31</v>
      </c>
      <c r="I8" s="154">
        <v>0.31</v>
      </c>
      <c r="N8" t="s">
        <v>548</v>
      </c>
    </row>
    <row r="9" spans="1:14">
      <c r="A9" s="435" t="s">
        <v>22</v>
      </c>
      <c r="B9" s="448"/>
      <c r="C9" s="448"/>
      <c r="D9" s="448"/>
      <c r="E9" s="154">
        <v>0.32</v>
      </c>
      <c r="F9" s="154">
        <v>0.32</v>
      </c>
      <c r="G9" s="154">
        <v>0.32</v>
      </c>
      <c r="H9" s="154">
        <v>0.32</v>
      </c>
      <c r="I9" s="154">
        <v>0.32</v>
      </c>
    </row>
    <row r="10" spans="1:14">
      <c r="A10" s="172" t="s">
        <v>14</v>
      </c>
      <c r="B10" s="189">
        <v>19677</v>
      </c>
      <c r="C10" s="189">
        <v>19330</v>
      </c>
      <c r="D10" s="189">
        <v>19974</v>
      </c>
      <c r="E10" s="158">
        <f>E4*E11</f>
        <v>20108.061596474286</v>
      </c>
      <c r="F10" s="158">
        <f t="shared" ref="F10:I10" si="2">F4*F11</f>
        <v>20460.86292456224</v>
      </c>
      <c r="G10" s="158">
        <f t="shared" si="2"/>
        <v>20887.534924289896</v>
      </c>
      <c r="H10" s="158">
        <f t="shared" si="2"/>
        <v>21293.020851853969</v>
      </c>
      <c r="I10" s="158">
        <f t="shared" si="2"/>
        <v>21708.785808000583</v>
      </c>
    </row>
    <row r="11" spans="1:14">
      <c r="A11" s="172"/>
      <c r="B11" s="189"/>
      <c r="C11" s="189"/>
      <c r="D11" s="189"/>
      <c r="E11" s="154">
        <f>+CHOOSE(Cover!$I$16,E12,E13,E14)</f>
        <v>0.26</v>
      </c>
      <c r="F11" s="154">
        <f>+CHOOSE(Cover!$I$16,F12,F13,F14)</f>
        <v>0.26</v>
      </c>
      <c r="G11" s="154">
        <f>+CHOOSE(Cover!$I$16,G12,G13,G14)</f>
        <v>0.26</v>
      </c>
      <c r="H11" s="154">
        <f>+CHOOSE(Cover!$I$16,H12,H13,H14)</f>
        <v>0.26</v>
      </c>
      <c r="I11" s="154">
        <f>+CHOOSE(Cover!$I$16,I12,I13,I14)</f>
        <v>0.26</v>
      </c>
    </row>
    <row r="12" spans="1:14">
      <c r="A12" s="435" t="s">
        <v>18</v>
      </c>
      <c r="B12" s="189"/>
      <c r="C12" s="189"/>
      <c r="D12" s="189"/>
      <c r="E12" s="154">
        <v>0.25</v>
      </c>
      <c r="F12" s="154">
        <v>0.24</v>
      </c>
      <c r="G12" s="154">
        <v>0.24</v>
      </c>
      <c r="H12" s="154">
        <v>0.24</v>
      </c>
      <c r="I12" s="154">
        <v>0.24</v>
      </c>
    </row>
    <row r="13" spans="1:14">
      <c r="A13" s="435" t="s">
        <v>20</v>
      </c>
      <c r="B13" s="448">
        <f>B10/B4</f>
        <v>0.2593036740287808</v>
      </c>
      <c r="C13" s="448">
        <f t="shared" ref="C13:D13" si="3">C10/C4</f>
        <v>0.25889664224582459</v>
      </c>
      <c r="D13" s="448">
        <f t="shared" si="3"/>
        <v>0.26524487411027303</v>
      </c>
      <c r="E13" s="176">
        <v>0.26</v>
      </c>
      <c r="F13" s="176">
        <v>0.26</v>
      </c>
      <c r="G13" s="176">
        <v>0.26</v>
      </c>
      <c r="H13" s="176">
        <v>0.26</v>
      </c>
      <c r="I13" s="176">
        <v>0.26</v>
      </c>
      <c r="N13" t="s">
        <v>525</v>
      </c>
    </row>
    <row r="14" spans="1:14">
      <c r="A14" s="435" t="s">
        <v>22</v>
      </c>
      <c r="B14" s="189"/>
      <c r="C14" s="449"/>
      <c r="D14" s="449"/>
      <c r="E14" s="176">
        <v>0.27</v>
      </c>
      <c r="F14" s="176">
        <v>0.27</v>
      </c>
      <c r="G14" s="176">
        <v>0.27</v>
      </c>
      <c r="H14" s="176">
        <v>0.27</v>
      </c>
      <c r="I14" s="176">
        <v>0.27</v>
      </c>
    </row>
    <row r="15" spans="1:14">
      <c r="A15" s="172" t="s">
        <v>498</v>
      </c>
      <c r="B15" s="189">
        <v>4035</v>
      </c>
      <c r="C15" s="189">
        <v>3863</v>
      </c>
      <c r="D15" s="189">
        <v>3939</v>
      </c>
      <c r="E15" s="158">
        <f>E4*E16</f>
        <v>4045.4309623205331</v>
      </c>
      <c r="F15" s="158">
        <f t="shared" ref="F15" si="4">E15*(1+F16)</f>
        <v>4257.0392774243865</v>
      </c>
      <c r="G15" s="158">
        <f t="shared" ref="G15" si="5">F15*(1+G16)</f>
        <v>4479.7163956886834</v>
      </c>
      <c r="H15" s="158">
        <f t="shared" ref="H15" si="6">G15*(1+H16)</f>
        <v>4714.0413038292563</v>
      </c>
      <c r="I15" s="158">
        <f t="shared" ref="I15" si="7">H15*(1+I16)</f>
        <v>4960.6232741865206</v>
      </c>
    </row>
    <row r="16" spans="1:14">
      <c r="A16" s="172"/>
      <c r="B16" s="456">
        <f>B15/B4</f>
        <v>5.317326445627537E-2</v>
      </c>
      <c r="C16" s="456">
        <f t="shared" ref="C16:D16" si="8">C15/C4</f>
        <v>5.1739147904584601E-2</v>
      </c>
      <c r="D16" s="456">
        <f t="shared" si="8"/>
        <v>5.2307978327844472E-2</v>
      </c>
      <c r="E16" s="176">
        <f>D16</f>
        <v>5.2307978327844472E-2</v>
      </c>
      <c r="F16" s="176">
        <f t="shared" ref="F16:I16" si="9">E16</f>
        <v>5.2307978327844472E-2</v>
      </c>
      <c r="G16" s="176">
        <f t="shared" si="9"/>
        <v>5.2307978327844472E-2</v>
      </c>
      <c r="H16" s="176">
        <f t="shared" si="9"/>
        <v>5.2307978327844472E-2</v>
      </c>
      <c r="I16" s="176">
        <f t="shared" si="9"/>
        <v>5.2307978327844472E-2</v>
      </c>
      <c r="N16" t="s">
        <v>528</v>
      </c>
    </row>
    <row r="17" spans="1:14">
      <c r="A17" s="172" t="s">
        <v>499</v>
      </c>
      <c r="B17" s="189">
        <v>3655</v>
      </c>
      <c r="C17" s="189">
        <v>3754</v>
      </c>
      <c r="D17" s="189">
        <v>3722</v>
      </c>
      <c r="E17" s="158">
        <f>E4*E18</f>
        <v>3812.0554152606251</v>
      </c>
      <c r="F17" s="158">
        <f t="shared" ref="F17:I17" si="10">F4*F18</f>
        <v>3777.3900783807212</v>
      </c>
      <c r="G17" s="158">
        <f t="shared" si="10"/>
        <v>3775.8236209293273</v>
      </c>
      <c r="H17" s="158">
        <f t="shared" si="10"/>
        <v>3849.1230001428326</v>
      </c>
      <c r="I17" s="158">
        <f t="shared" si="10"/>
        <v>3924.280511446259</v>
      </c>
    </row>
    <row r="18" spans="1:14">
      <c r="A18" s="172"/>
      <c r="B18" s="456">
        <f>B17/B4</f>
        <v>4.8165621211322542E-2</v>
      </c>
      <c r="C18" s="456">
        <f t="shared" ref="C18:D18" si="11">C17/C4</f>
        <v>5.0279254784833187E-2</v>
      </c>
      <c r="D18" s="456">
        <f t="shared" si="11"/>
        <v>4.9426325294805055E-2</v>
      </c>
      <c r="E18" s="176">
        <f>AVERAGE(B18:D18)</f>
        <v>4.9290400430320264E-2</v>
      </c>
      <c r="F18" s="176">
        <v>4.8000000000000001E-2</v>
      </c>
      <c r="G18" s="176">
        <v>4.7E-2</v>
      </c>
      <c r="H18" s="176">
        <v>4.7E-2</v>
      </c>
      <c r="I18" s="176">
        <v>4.7E-2</v>
      </c>
      <c r="K18" s="457"/>
      <c r="N18" t="s">
        <v>529</v>
      </c>
    </row>
    <row r="19" spans="1:14">
      <c r="A19" s="172" t="s">
        <v>221</v>
      </c>
      <c r="B19" s="189">
        <v>5157</v>
      </c>
      <c r="C19" s="189">
        <v>4137</v>
      </c>
      <c r="D19" s="189">
        <v>3316</v>
      </c>
      <c r="E19" s="158">
        <f>E4*E20</f>
        <v>3405.5976316463284</v>
      </c>
      <c r="F19" s="158">
        <f t="shared" ref="F19:I19" si="12">F4*F20</f>
        <v>3465.3497545256755</v>
      </c>
      <c r="G19" s="158">
        <f t="shared" si="12"/>
        <v>3537.6129682019796</v>
      </c>
      <c r="H19" s="158">
        <f t="shared" si="12"/>
        <v>3606.2880072132111</v>
      </c>
      <c r="I19" s="158">
        <f t="shared" si="12"/>
        <v>3676.7039517427784</v>
      </c>
      <c r="L19" s="451"/>
    </row>
    <row r="20" spans="1:14">
      <c r="A20" s="172"/>
      <c r="B20" s="456">
        <f>B19/B4</f>
        <v>6.7958990037425546E-2</v>
      </c>
      <c r="C20" s="456">
        <f t="shared" ref="C20:D20" si="13">C19/C4</f>
        <v>5.5408970976253295E-2</v>
      </c>
      <c r="D20" s="456">
        <f t="shared" si="13"/>
        <v>4.4034845426537766E-2</v>
      </c>
      <c r="E20" s="176">
        <v>4.4034845426537766E-2</v>
      </c>
      <c r="F20" s="176">
        <v>4.4034845426537766E-2</v>
      </c>
      <c r="G20" s="176">
        <v>4.4034845426537766E-2</v>
      </c>
      <c r="H20" s="176">
        <v>4.4034845426537766E-2</v>
      </c>
      <c r="I20" s="176">
        <v>4.4034845426537766E-2</v>
      </c>
      <c r="N20" t="s">
        <v>530</v>
      </c>
    </row>
    <row r="21" spans="1:14">
      <c r="A21" s="172" t="s">
        <v>500</v>
      </c>
      <c r="B21" s="189">
        <v>2910</v>
      </c>
      <c r="C21" s="189">
        <v>2848</v>
      </c>
      <c r="D21" s="189">
        <v>2799</v>
      </c>
      <c r="E21" s="158">
        <f>E4*E22</f>
        <v>2784.1931441272086</v>
      </c>
      <c r="F21" s="158">
        <f t="shared" ref="F21:I21" si="14">F4*F22</f>
        <v>2754.346932152609</v>
      </c>
      <c r="G21" s="158">
        <f t="shared" si="14"/>
        <v>2811.7835475005631</v>
      </c>
      <c r="H21" s="158">
        <f t="shared" si="14"/>
        <v>2784.4719575501344</v>
      </c>
      <c r="I21" s="158">
        <f t="shared" si="14"/>
        <v>2838.8412210462302</v>
      </c>
    </row>
    <row r="22" spans="1:14">
      <c r="A22" s="172"/>
      <c r="B22" s="456">
        <f>B21/B4</f>
        <v>3.8348004849507143E-2</v>
      </c>
      <c r="C22" s="456">
        <f t="shared" ref="C22:D22" si="15">C21/C4</f>
        <v>3.8144730321578293E-2</v>
      </c>
      <c r="D22" s="456">
        <f t="shared" si="15"/>
        <v>3.7169340274089024E-2</v>
      </c>
      <c r="E22" s="154">
        <v>3.5999999999999997E-2</v>
      </c>
      <c r="F22" s="154">
        <v>3.5000000000000003E-2</v>
      </c>
      <c r="G22" s="154">
        <v>3.5000000000000003E-2</v>
      </c>
      <c r="H22" s="154">
        <v>3.4000000000000002E-2</v>
      </c>
      <c r="I22" s="154">
        <v>3.4000000000000002E-2</v>
      </c>
      <c r="N22" t="s">
        <v>531</v>
      </c>
    </row>
    <row r="23" spans="1:14">
      <c r="A23" s="172" t="s">
        <v>501</v>
      </c>
      <c r="B23" s="186">
        <v>70</v>
      </c>
      <c r="C23" s="186">
        <v>157</v>
      </c>
      <c r="D23" s="186">
        <v>21</v>
      </c>
      <c r="E23" s="186">
        <v>21</v>
      </c>
      <c r="F23" s="186">
        <v>21</v>
      </c>
      <c r="G23" s="186">
        <v>21</v>
      </c>
      <c r="H23" s="186">
        <v>21</v>
      </c>
      <c r="I23" s="186">
        <v>21</v>
      </c>
    </row>
    <row r="24" spans="1:14">
      <c r="A24" s="172" t="s">
        <v>502</v>
      </c>
      <c r="B24" s="186">
        <v>47</v>
      </c>
      <c r="C24" s="186">
        <v>251</v>
      </c>
      <c r="D24" s="186">
        <v>384</v>
      </c>
      <c r="E24" s="186">
        <v>250</v>
      </c>
      <c r="F24" s="186">
        <v>100</v>
      </c>
      <c r="G24" s="186">
        <v>0</v>
      </c>
      <c r="H24" s="186">
        <v>0</v>
      </c>
      <c r="I24" s="186">
        <v>0</v>
      </c>
    </row>
    <row r="25" spans="1:14">
      <c r="A25" s="172" t="s">
        <v>503</v>
      </c>
      <c r="B25" s="186">
        <v>-689</v>
      </c>
      <c r="C25" s="186">
        <v>-684</v>
      </c>
      <c r="D25" s="186">
        <v>-791</v>
      </c>
      <c r="E25" s="158">
        <f>E4*E26</f>
        <v>-812.37265579983296</v>
      </c>
      <c r="F25" s="158">
        <f t="shared" ref="F25:I25" si="16">F4*F26</f>
        <v>-826.62595169777126</v>
      </c>
      <c r="G25" s="158">
        <f t="shared" si="16"/>
        <v>-843.8636483256231</v>
      </c>
      <c r="H25" s="158">
        <f t="shared" si="16"/>
        <v>-860.2454202972408</v>
      </c>
      <c r="I25" s="158">
        <f t="shared" si="16"/>
        <v>-877.04246858520446</v>
      </c>
      <c r="N25" t="s">
        <v>532</v>
      </c>
    </row>
    <row r="26" spans="1:14">
      <c r="A26" s="172"/>
      <c r="B26" s="456">
        <f>B25/B4</f>
        <v>-9.0796478836118293E-3</v>
      </c>
      <c r="C26" s="456">
        <f t="shared" ref="C26:D26" si="17">C25/C4</f>
        <v>-9.1611641643116401E-3</v>
      </c>
      <c r="D26" s="456">
        <f t="shared" si="17"/>
        <v>-1.0504090088175927E-2</v>
      </c>
      <c r="E26" s="154">
        <v>-1.0504090088175927E-2</v>
      </c>
      <c r="F26" s="154">
        <v>-1.0504090088175927E-2</v>
      </c>
      <c r="G26" s="154">
        <v>-1.0504090088175927E-2</v>
      </c>
      <c r="H26" s="154">
        <v>-1.0504090088175927E-2</v>
      </c>
      <c r="I26" s="154">
        <v>-1.0504090088175927E-2</v>
      </c>
    </row>
    <row r="27" spans="1:14">
      <c r="A27" s="172" t="s">
        <v>148</v>
      </c>
      <c r="B27" s="189">
        <v>12306</v>
      </c>
      <c r="C27" s="189">
        <v>11582</v>
      </c>
      <c r="D27" s="189">
        <v>11964</v>
      </c>
      <c r="E27" s="158">
        <f>E28*E4</f>
        <v>12275.411794073321</v>
      </c>
      <c r="F27" s="158">
        <f t="shared" ref="F27:I27" si="18">F28*F4</f>
        <v>12400.397084089018</v>
      </c>
      <c r="G27" s="158">
        <f t="shared" si="18"/>
        <v>12724.604381452065</v>
      </c>
      <c r="H27" s="158">
        <f t="shared" si="18"/>
        <v>12958.383783397263</v>
      </c>
      <c r="I27" s="158">
        <f t="shared" si="18"/>
        <v>13197.673708668226</v>
      </c>
      <c r="L27" s="451"/>
    </row>
    <row r="28" spans="1:14">
      <c r="A28" s="172"/>
      <c r="B28" s="448">
        <f>B27/B4</f>
        <v>0.16216857308523536</v>
      </c>
      <c r="C28" s="448">
        <f t="shared" ref="C28:D28" si="19">C27/C4</f>
        <v>0.15512368910973307</v>
      </c>
      <c r="D28" s="448">
        <f t="shared" si="19"/>
        <v>0.15887602252204397</v>
      </c>
      <c r="E28" s="154">
        <f>AVERAGE(B28:D28)</f>
        <v>0.15872276157233747</v>
      </c>
      <c r="F28" s="154">
        <f t="shared" ref="F28:I28" si="20">AVERAGE(C28:E28)</f>
        <v>0.15757415773470484</v>
      </c>
      <c r="G28" s="154">
        <f t="shared" si="20"/>
        <v>0.15839098060969545</v>
      </c>
      <c r="H28" s="154">
        <f t="shared" si="20"/>
        <v>0.15822929997224591</v>
      </c>
      <c r="I28" s="154">
        <f t="shared" si="20"/>
        <v>0.1580648127722154</v>
      </c>
    </row>
    <row r="29" spans="1:14">
      <c r="A29" s="454" t="s">
        <v>504</v>
      </c>
      <c r="B29" s="455">
        <f>SUM(B5:B27)</f>
        <v>71691.781034210115</v>
      </c>
      <c r="C29" s="455">
        <f>SUM(C5:C27)</f>
        <v>69844.774868408727</v>
      </c>
      <c r="D29" s="455">
        <f>SUM(D5:D27)</f>
        <v>70419.770875385118</v>
      </c>
      <c r="E29" s="455">
        <f t="shared" ref="E29:I29" si="21">SUM(E5:E27)</f>
        <v>70640.242520589542</v>
      </c>
      <c r="F29" s="455">
        <f t="shared" si="21"/>
        <v>70807.853194379364</v>
      </c>
      <c r="G29" s="455">
        <f t="shared" si="21"/>
        <v>72301.028592046976</v>
      </c>
      <c r="H29" s="455">
        <f t="shared" si="21"/>
        <v>73756.362876556668</v>
      </c>
      <c r="I29" s="455">
        <f t="shared" si="21"/>
        <v>75336.865154778206</v>
      </c>
    </row>
    <row r="31" spans="1:14">
      <c r="A31" s="2" t="s">
        <v>507</v>
      </c>
    </row>
    <row r="32" spans="1:14">
      <c r="A32" s="340" t="s">
        <v>496</v>
      </c>
      <c r="B32" s="453">
        <v>2023</v>
      </c>
      <c r="C32" s="453">
        <v>2024</v>
      </c>
      <c r="D32" s="453">
        <v>2025</v>
      </c>
      <c r="E32" s="453">
        <v>2026</v>
      </c>
      <c r="F32" s="453">
        <v>2027</v>
      </c>
      <c r="G32" s="453">
        <v>2028</v>
      </c>
      <c r="H32" s="453">
        <v>2029</v>
      </c>
      <c r="I32" s="453">
        <v>2030</v>
      </c>
    </row>
    <row r="33" spans="1:14">
      <c r="A33" s="171" t="s">
        <v>522</v>
      </c>
      <c r="B33" s="187">
        <f>Revenue!E5</f>
        <v>10084</v>
      </c>
      <c r="C33" s="187">
        <f>Revenue!F5</f>
        <v>9429</v>
      </c>
      <c r="D33" s="187">
        <f>Revenue!G5</f>
        <v>8892</v>
      </c>
      <c r="E33" s="452">
        <f>Revenue!J5</f>
        <v>8962.7004655103974</v>
      </c>
      <c r="F33" s="452">
        <f>Revenue!K5</f>
        <v>9156.043024969611</v>
      </c>
      <c r="G33" s="452">
        <f>Revenue!L5</f>
        <v>9432.6224751452119</v>
      </c>
      <c r="H33" s="452">
        <f>Revenue!M5</f>
        <v>9717.5566483046969</v>
      </c>
      <c r="I33" s="452">
        <f>Revenue!N5</f>
        <v>10011.097918245145</v>
      </c>
    </row>
    <row r="34" spans="1:14">
      <c r="A34" s="172" t="s">
        <v>497</v>
      </c>
      <c r="B34" s="189">
        <v>4057</v>
      </c>
      <c r="C34" s="189">
        <v>3923</v>
      </c>
      <c r="D34" s="189">
        <v>3865</v>
      </c>
      <c r="E34" s="158">
        <f>E33*E35</f>
        <v>3895.7306904180937</v>
      </c>
      <c r="F34" s="158">
        <f t="shared" ref="F34:I34" si="22">F33*F35</f>
        <v>3979.7690386310783</v>
      </c>
      <c r="G34" s="158">
        <f t="shared" si="22"/>
        <v>4099.9871644665145</v>
      </c>
      <c r="H34" s="158">
        <f t="shared" si="22"/>
        <v>4223.8367572759398</v>
      </c>
      <c r="I34" s="158">
        <f t="shared" si="22"/>
        <v>4351.4275139470856</v>
      </c>
    </row>
    <row r="35" spans="1:14">
      <c r="A35" s="172"/>
      <c r="B35" s="448">
        <f>B34/B33</f>
        <v>0.40232050773502576</v>
      </c>
      <c r="C35" s="448">
        <f t="shared" ref="C35:D35" si="23">C34/C33</f>
        <v>0.41605684590094388</v>
      </c>
      <c r="D35" s="456">
        <f t="shared" si="23"/>
        <v>0.43466036887089521</v>
      </c>
      <c r="E35" s="176">
        <f>D35</f>
        <v>0.43466036887089521</v>
      </c>
      <c r="F35" s="176">
        <f t="shared" ref="F35:I35" si="24">E35</f>
        <v>0.43466036887089521</v>
      </c>
      <c r="G35" s="176">
        <f t="shared" si="24"/>
        <v>0.43466036887089521</v>
      </c>
      <c r="H35" s="176">
        <f t="shared" si="24"/>
        <v>0.43466036887089521</v>
      </c>
      <c r="I35" s="176">
        <f t="shared" si="24"/>
        <v>0.43466036887089521</v>
      </c>
      <c r="N35" t="s">
        <v>533</v>
      </c>
    </row>
    <row r="36" spans="1:14">
      <c r="A36" s="172" t="s">
        <v>14</v>
      </c>
      <c r="B36" s="189">
        <v>1078</v>
      </c>
      <c r="C36" s="186">
        <v>877</v>
      </c>
      <c r="D36" s="186">
        <v>807</v>
      </c>
      <c r="E36" s="388">
        <f>E33*E37</f>
        <v>813.41647274706372</v>
      </c>
      <c r="F36" s="388">
        <f t="shared" ref="F36:H36" si="25">F33*F37</f>
        <v>830.96341893280203</v>
      </c>
      <c r="G36" s="388">
        <f t="shared" si="25"/>
        <v>856.06459035562136</v>
      </c>
      <c r="H36" s="388">
        <f t="shared" si="25"/>
        <v>881.92400080767993</v>
      </c>
      <c r="I36" s="388">
        <f>I33*I37</f>
        <v>908.56455465855049</v>
      </c>
    </row>
    <row r="37" spans="1:14">
      <c r="A37" s="172"/>
      <c r="B37" s="448">
        <f>B36/B33</f>
        <v>0.10690202300674335</v>
      </c>
      <c r="C37" s="448">
        <f t="shared" ref="C37:D37" si="26">C36/C33</f>
        <v>9.3010923745890345E-2</v>
      </c>
      <c r="D37" s="448">
        <f t="shared" si="26"/>
        <v>9.0755735492577594E-2</v>
      </c>
      <c r="E37" s="448">
        <f>D37</f>
        <v>9.0755735492577594E-2</v>
      </c>
      <c r="F37" s="448">
        <f t="shared" ref="F37:I37" si="27">E37</f>
        <v>9.0755735492577594E-2</v>
      </c>
      <c r="G37" s="448">
        <f t="shared" si="27"/>
        <v>9.0755735492577594E-2</v>
      </c>
      <c r="H37" s="448">
        <f t="shared" si="27"/>
        <v>9.0755735492577594E-2</v>
      </c>
      <c r="I37" s="448">
        <f t="shared" si="27"/>
        <v>9.0755735492577594E-2</v>
      </c>
      <c r="N37" t="s">
        <v>534</v>
      </c>
    </row>
    <row r="38" spans="1:14">
      <c r="A38" s="172" t="s">
        <v>498</v>
      </c>
      <c r="B38" s="186">
        <v>269</v>
      </c>
      <c r="C38" s="186">
        <v>280</v>
      </c>
      <c r="D38" s="186">
        <v>287</v>
      </c>
      <c r="E38" s="388">
        <f>E39*E33</f>
        <v>289.28194260025685</v>
      </c>
      <c r="F38" s="388">
        <f t="shared" ref="F38:I38" si="28">F39*F33</f>
        <v>295.52230636147976</v>
      </c>
      <c r="G38" s="388">
        <f t="shared" si="28"/>
        <v>304.44924093192486</v>
      </c>
      <c r="H38" s="388">
        <f t="shared" si="28"/>
        <v>313.64583424015382</v>
      </c>
      <c r="I38" s="388">
        <f t="shared" si="28"/>
        <v>323.12023195415617</v>
      </c>
    </row>
    <row r="39" spans="1:14">
      <c r="A39" s="172"/>
      <c r="B39" s="456">
        <f>B38/B33</f>
        <v>2.6675922253074177E-2</v>
      </c>
      <c r="C39" s="456">
        <f t="shared" ref="C39:D39" si="29">C38/C33</f>
        <v>2.9695619896065329E-2</v>
      </c>
      <c r="D39" s="456">
        <f t="shared" si="29"/>
        <v>3.2276203328834907E-2</v>
      </c>
      <c r="E39" s="176">
        <f>D39</f>
        <v>3.2276203328834907E-2</v>
      </c>
      <c r="F39" s="176">
        <f t="shared" ref="F39:I39" si="30">E39</f>
        <v>3.2276203328834907E-2</v>
      </c>
      <c r="G39" s="176">
        <f t="shared" si="30"/>
        <v>3.2276203328834907E-2</v>
      </c>
      <c r="H39" s="176">
        <f t="shared" si="30"/>
        <v>3.2276203328834907E-2</v>
      </c>
      <c r="I39" s="176">
        <f t="shared" si="30"/>
        <v>3.2276203328834907E-2</v>
      </c>
      <c r="N39" t="s">
        <v>535</v>
      </c>
    </row>
    <row r="40" spans="1:14">
      <c r="A40" s="172" t="s">
        <v>499</v>
      </c>
      <c r="B40" s="186">
        <v>387</v>
      </c>
      <c r="C40" s="186">
        <v>404</v>
      </c>
      <c r="D40" s="186">
        <v>416</v>
      </c>
      <c r="E40">
        <f>E41*E33</f>
        <v>419.30762411744547</v>
      </c>
      <c r="F40">
        <f t="shared" ref="F40:I40" si="31">F41*F33</f>
        <v>421.17797914860211</v>
      </c>
      <c r="G40">
        <f t="shared" si="31"/>
        <v>433.90063385667975</v>
      </c>
      <c r="H40">
        <f t="shared" si="31"/>
        <v>437.29004917371134</v>
      </c>
      <c r="I40">
        <f t="shared" si="31"/>
        <v>450.49940632103147</v>
      </c>
    </row>
    <row r="41" spans="1:14">
      <c r="A41" s="172"/>
      <c r="B41" s="456">
        <f>B40/B33</f>
        <v>3.837762792542642E-2</v>
      </c>
      <c r="C41" s="456">
        <f t="shared" ref="C41:D41" si="32">C40/C33</f>
        <v>4.284653727860855E-2</v>
      </c>
      <c r="D41" s="456">
        <f t="shared" si="32"/>
        <v>4.6783625730994149E-2</v>
      </c>
      <c r="E41" s="176">
        <f>D41</f>
        <v>4.6783625730994149E-2</v>
      </c>
      <c r="F41" s="176">
        <v>4.5999999999999999E-2</v>
      </c>
      <c r="G41" s="176">
        <v>4.5999999999999999E-2</v>
      </c>
      <c r="H41" s="176">
        <v>4.4999999999999998E-2</v>
      </c>
      <c r="I41" s="176">
        <v>4.4999999999999998E-2</v>
      </c>
      <c r="N41" t="s">
        <v>536</v>
      </c>
    </row>
    <row r="42" spans="1:14">
      <c r="A42" s="172" t="s">
        <v>221</v>
      </c>
      <c r="B42" s="186">
        <v>748</v>
      </c>
      <c r="C42" s="186">
        <v>571</v>
      </c>
      <c r="D42" s="186">
        <v>457</v>
      </c>
      <c r="E42">
        <f>E43*E33</f>
        <v>460.63361591748219</v>
      </c>
      <c r="F42">
        <f t="shared" ref="F42:I42" si="33">F43*F33</f>
        <v>470.57036239441209</v>
      </c>
      <c r="G42">
        <f t="shared" si="33"/>
        <v>484.78502824351796</v>
      </c>
      <c r="H42">
        <f t="shared" si="33"/>
        <v>499.42908100261428</v>
      </c>
      <c r="I42">
        <f t="shared" si="33"/>
        <v>514.51549129982357</v>
      </c>
    </row>
    <row r="43" spans="1:14">
      <c r="A43" s="172"/>
      <c r="B43" s="456">
        <f>B42/B33</f>
        <v>7.4176913923046414E-2</v>
      </c>
      <c r="C43" s="456">
        <f t="shared" ref="C43:D43" si="34">C42/C33</f>
        <v>6.0557853430904654E-2</v>
      </c>
      <c r="D43" s="456">
        <f t="shared" si="34"/>
        <v>5.139451192082771E-2</v>
      </c>
      <c r="E43" s="176">
        <f>D43</f>
        <v>5.139451192082771E-2</v>
      </c>
      <c r="F43" s="176">
        <f t="shared" ref="F43:I43" si="35">E43</f>
        <v>5.139451192082771E-2</v>
      </c>
      <c r="G43" s="176">
        <f t="shared" si="35"/>
        <v>5.139451192082771E-2</v>
      </c>
      <c r="H43" s="176">
        <f t="shared" si="35"/>
        <v>5.139451192082771E-2</v>
      </c>
      <c r="I43" s="176">
        <f t="shared" si="35"/>
        <v>5.139451192082771E-2</v>
      </c>
      <c r="N43" t="s">
        <v>537</v>
      </c>
    </row>
    <row r="44" spans="1:14">
      <c r="A44" s="172" t="s">
        <v>500</v>
      </c>
      <c r="B44" s="186">
        <v>320</v>
      </c>
      <c r="C44" s="186">
        <v>330</v>
      </c>
      <c r="D44" s="186">
        <v>332</v>
      </c>
      <c r="E44">
        <f>E45*E33</f>
        <v>334.63973847834592</v>
      </c>
      <c r="F44">
        <f t="shared" ref="F44:I44" si="36">F45*F33</f>
        <v>329.61754889890597</v>
      </c>
      <c r="G44">
        <f t="shared" si="36"/>
        <v>339.57440910522757</v>
      </c>
      <c r="H44">
        <f t="shared" si="36"/>
        <v>340.11448269066443</v>
      </c>
      <c r="I44">
        <f t="shared" si="36"/>
        <v>350.38842713858008</v>
      </c>
    </row>
    <row r="45" spans="1:14">
      <c r="A45" s="172"/>
      <c r="B45" s="456">
        <f>B44/B33</f>
        <v>3.1733439111463702E-2</v>
      </c>
      <c r="C45" s="456">
        <f t="shared" ref="C45:D45" si="37">C44/C33</f>
        <v>3.4998409163219855E-2</v>
      </c>
      <c r="D45" s="456">
        <f t="shared" si="37"/>
        <v>3.7336932073774177E-2</v>
      </c>
      <c r="E45" s="154">
        <f>D45</f>
        <v>3.7336932073774177E-2</v>
      </c>
      <c r="F45" s="154">
        <v>3.5999999999999997E-2</v>
      </c>
      <c r="G45" s="154">
        <v>3.5999999999999997E-2</v>
      </c>
      <c r="H45" s="154">
        <v>3.5000000000000003E-2</v>
      </c>
      <c r="I45" s="154">
        <v>3.5000000000000003E-2</v>
      </c>
      <c r="N45" t="s">
        <v>538</v>
      </c>
    </row>
    <row r="46" spans="1:14">
      <c r="A46" s="172" t="s">
        <v>505</v>
      </c>
      <c r="B46" s="186">
        <v>0</v>
      </c>
      <c r="C46" s="186">
        <v>0</v>
      </c>
      <c r="D46" s="186">
        <v>0</v>
      </c>
    </row>
    <row r="47" spans="1:14">
      <c r="A47" s="172" t="s">
        <v>502</v>
      </c>
      <c r="B47" s="186">
        <v>0</v>
      </c>
      <c r="C47" s="186">
        <v>0</v>
      </c>
      <c r="D47" s="186">
        <v>0</v>
      </c>
    </row>
    <row r="48" spans="1:14">
      <c r="A48" s="172" t="s">
        <v>503</v>
      </c>
      <c r="B48" s="186">
        <v>542</v>
      </c>
      <c r="C48" s="186">
        <v>543</v>
      </c>
      <c r="D48" s="186">
        <v>573</v>
      </c>
      <c r="E48" s="158">
        <f>E49*E33</f>
        <v>573.61282979266548</v>
      </c>
      <c r="F48" s="158">
        <f t="shared" ref="F48:I48" si="38">F49*F33</f>
        <v>585.98675359805509</v>
      </c>
      <c r="G48" s="158">
        <f t="shared" si="38"/>
        <v>603.68783840929359</v>
      </c>
      <c r="H48" s="158">
        <f t="shared" si="38"/>
        <v>621.92362549150062</v>
      </c>
      <c r="I48" s="158">
        <f t="shared" si="38"/>
        <v>640.71026676768929</v>
      </c>
    </row>
    <row r="49" spans="1:14">
      <c r="A49" s="172"/>
      <c r="B49" s="456">
        <f>B48/B33</f>
        <v>5.3748512495041652E-2</v>
      </c>
      <c r="C49" s="456">
        <f t="shared" ref="C49:D49" si="39">C48/C33</f>
        <v>5.7588291441298123E-2</v>
      </c>
      <c r="D49" s="456">
        <f t="shared" si="39"/>
        <v>6.4439946018893385E-2</v>
      </c>
      <c r="E49" s="154">
        <v>6.4000000000000001E-2</v>
      </c>
      <c r="F49" s="154">
        <v>6.4000000000000001E-2</v>
      </c>
      <c r="G49" s="154">
        <v>6.4000000000000001E-2</v>
      </c>
      <c r="H49" s="154">
        <v>6.4000000000000001E-2</v>
      </c>
      <c r="I49" s="154">
        <v>6.4000000000000001E-2</v>
      </c>
      <c r="N49" t="s">
        <v>539</v>
      </c>
    </row>
    <row r="50" spans="1:14">
      <c r="A50" s="172" t="s">
        <v>148</v>
      </c>
      <c r="B50" s="186">
        <v>747</v>
      </c>
      <c r="C50" s="186">
        <v>680</v>
      </c>
      <c r="D50" s="186">
        <v>666</v>
      </c>
      <c r="E50" s="158">
        <f>E33*E51</f>
        <v>671.29537899571801</v>
      </c>
      <c r="F50" s="158">
        <f t="shared" ref="F50:I50" si="40">F33*F51</f>
        <v>685.77650187019356</v>
      </c>
      <c r="G50" s="158">
        <f t="shared" si="40"/>
        <v>706.49196676188831</v>
      </c>
      <c r="H50" s="158">
        <f t="shared" si="40"/>
        <v>727.83319025763922</v>
      </c>
      <c r="I50" s="158">
        <f t="shared" si="40"/>
        <v>749.8190748483205</v>
      </c>
    </row>
    <row r="51" spans="1:14">
      <c r="A51" s="172"/>
      <c r="B51" s="456">
        <f>B50/B33</f>
        <v>7.4077746925823085E-2</v>
      </c>
      <c r="C51" s="456">
        <f t="shared" ref="C51:D51" si="41">C50/C33</f>
        <v>7.2117934033301523E-2</v>
      </c>
      <c r="D51" s="456">
        <f t="shared" si="41"/>
        <v>7.4898785425101214E-2</v>
      </c>
      <c r="E51" s="154">
        <f>D51</f>
        <v>7.4898785425101214E-2</v>
      </c>
      <c r="F51" s="154">
        <f t="shared" ref="F51:I51" si="42">E51</f>
        <v>7.4898785425101214E-2</v>
      </c>
      <c r="G51" s="154">
        <f t="shared" si="42"/>
        <v>7.4898785425101214E-2</v>
      </c>
      <c r="H51" s="154">
        <f t="shared" si="42"/>
        <v>7.4898785425101214E-2</v>
      </c>
      <c r="I51" s="154">
        <f t="shared" si="42"/>
        <v>7.4898785425101214E-2</v>
      </c>
      <c r="N51" t="s">
        <v>540</v>
      </c>
    </row>
    <row r="52" spans="1:14">
      <c r="A52" s="454" t="s">
        <v>504</v>
      </c>
      <c r="B52" s="455">
        <f>SUM(B34:B50)</f>
        <v>8148.7339349464501</v>
      </c>
      <c r="C52" s="455">
        <f t="shared" ref="C52:D52" si="43">SUM(C34:C50)</f>
        <v>7608.7347544808572</v>
      </c>
      <c r="D52" s="455">
        <f t="shared" si="43"/>
        <v>7403.7576473234376</v>
      </c>
      <c r="E52" s="455">
        <f t="shared" ref="E52" si="44">SUM(E34:E50)</f>
        <v>7458.6755004444913</v>
      </c>
      <c r="F52" s="455">
        <f t="shared" ref="F52" si="45">SUM(F34:F50)</f>
        <v>7600.1389966551424</v>
      </c>
      <c r="G52" s="455">
        <f t="shared" ref="G52" si="46">SUM(G34:G50)</f>
        <v>7829.6959589502821</v>
      </c>
      <c r="H52" s="455">
        <f t="shared" ref="H52" si="47">SUM(H34:H50)</f>
        <v>8046.750107759517</v>
      </c>
      <c r="I52" s="455">
        <f t="shared" ref="I52" si="48">SUM(I34:I50)</f>
        <v>8289.7980537548501</v>
      </c>
      <c r="L52">
        <f>I52/$I$90</f>
        <v>9.325264040285397E-2</v>
      </c>
    </row>
    <row r="54" spans="1:14">
      <c r="A54" s="2" t="s">
        <v>508</v>
      </c>
    </row>
    <row r="55" spans="1:14">
      <c r="A55" s="340" t="s">
        <v>496</v>
      </c>
      <c r="B55" s="453">
        <v>2023</v>
      </c>
      <c r="C55" s="453">
        <v>2024</v>
      </c>
      <c r="D55" s="453">
        <v>2025</v>
      </c>
      <c r="E55" s="453">
        <v>2026</v>
      </c>
      <c r="F55" s="453">
        <v>2027</v>
      </c>
      <c r="G55" s="453">
        <v>2028</v>
      </c>
      <c r="H55" s="453">
        <v>2029</v>
      </c>
      <c r="I55" s="453">
        <v>2030</v>
      </c>
    </row>
    <row r="56" spans="1:14">
      <c r="A56" s="171" t="s">
        <v>522</v>
      </c>
      <c r="B56" s="187">
        <f>Revenue!E6</f>
        <v>4187</v>
      </c>
      <c r="C56" s="187">
        <f>Revenue!F6</f>
        <v>3601</v>
      </c>
      <c r="D56" s="187">
        <f>Revenue!G6</f>
        <v>3730</v>
      </c>
      <c r="E56" s="452">
        <f>Revenue!J6</f>
        <v>3484</v>
      </c>
      <c r="F56" s="452">
        <f>Revenue!K6</f>
        <v>3588.6618966029459</v>
      </c>
      <c r="G56" s="452">
        <f>Revenue!L6</f>
        <v>3696.4679127812437</v>
      </c>
      <c r="H56" s="452">
        <f>Revenue!M6</f>
        <v>3807.5125001760821</v>
      </c>
      <c r="I56" s="452">
        <f>Revenue!N6</f>
        <v>3921.8929478247196</v>
      </c>
    </row>
    <row r="57" spans="1:14">
      <c r="A57" s="172" t="s">
        <v>497</v>
      </c>
      <c r="B57" s="189">
        <v>2439</v>
      </c>
      <c r="C57" s="189">
        <v>2432</v>
      </c>
      <c r="D57" s="189">
        <v>2276</v>
      </c>
      <c r="E57" s="158">
        <f>E58*E56</f>
        <v>2125.893833780161</v>
      </c>
      <c r="F57" s="158">
        <f t="shared" ref="F57:I57" si="49">F58*F56</f>
        <v>2189.757232350752</v>
      </c>
      <c r="G57" s="158">
        <f t="shared" si="49"/>
        <v>2255.5391339115577</v>
      </c>
      <c r="H57" s="158">
        <f t="shared" si="49"/>
        <v>2323.2971716892125</v>
      </c>
      <c r="I57" s="158">
        <f t="shared" si="49"/>
        <v>2393.0907102544402</v>
      </c>
    </row>
    <row r="58" spans="1:14">
      <c r="A58" s="172"/>
      <c r="B58" s="448">
        <f>B57/B56</f>
        <v>0.58251731550035823</v>
      </c>
      <c r="C58" s="448">
        <f t="shared" ref="C58:D58" si="50">C57/C56</f>
        <v>0.67536795334629274</v>
      </c>
      <c r="D58" s="448">
        <f t="shared" si="50"/>
        <v>0.61018766756032172</v>
      </c>
      <c r="E58" s="176">
        <f>D58</f>
        <v>0.61018766756032172</v>
      </c>
      <c r="F58" s="176">
        <f t="shared" ref="F58:I58" si="51">E58</f>
        <v>0.61018766756032172</v>
      </c>
      <c r="G58" s="176">
        <f t="shared" si="51"/>
        <v>0.61018766756032172</v>
      </c>
      <c r="H58" s="176">
        <f t="shared" si="51"/>
        <v>0.61018766756032172</v>
      </c>
      <c r="I58" s="176">
        <f t="shared" si="51"/>
        <v>0.61018766756032172</v>
      </c>
      <c r="L58" t="s">
        <v>526</v>
      </c>
    </row>
    <row r="59" spans="1:14">
      <c r="A59" s="172" t="s">
        <v>14</v>
      </c>
      <c r="B59" s="189">
        <v>1035</v>
      </c>
      <c r="C59" s="186">
        <v>714</v>
      </c>
      <c r="D59" s="186">
        <v>987</v>
      </c>
      <c r="E59" s="158">
        <f>E56*E60</f>
        <v>905.84</v>
      </c>
      <c r="F59" s="158">
        <f t="shared" ref="F59:I59" si="52">F56*F60</f>
        <v>933.05209311676595</v>
      </c>
      <c r="G59" s="158">
        <f t="shared" si="52"/>
        <v>961.08165732312341</v>
      </c>
      <c r="H59" s="158">
        <f t="shared" si="52"/>
        <v>989.95325004578137</v>
      </c>
      <c r="I59" s="158">
        <f t="shared" si="52"/>
        <v>1019.6921664344271</v>
      </c>
    </row>
    <row r="60" spans="1:14">
      <c r="A60" s="172"/>
      <c r="B60" s="448">
        <f>B59/B56</f>
        <v>0.24719369476952471</v>
      </c>
      <c r="C60" s="448">
        <f t="shared" ref="C60:D60" si="53">C59/C56</f>
        <v>0.19827825603998889</v>
      </c>
      <c r="D60" s="448">
        <f t="shared" si="53"/>
        <v>0.26461126005361929</v>
      </c>
      <c r="E60" s="176">
        <v>0.26</v>
      </c>
      <c r="F60" s="176">
        <v>0.26</v>
      </c>
      <c r="G60" s="176">
        <v>0.26</v>
      </c>
      <c r="H60" s="176">
        <v>0.26</v>
      </c>
      <c r="I60" s="176">
        <v>0.26</v>
      </c>
      <c r="L60" t="s">
        <v>526</v>
      </c>
    </row>
    <row r="61" spans="1:14">
      <c r="A61" s="172" t="s">
        <v>498</v>
      </c>
      <c r="B61" s="186">
        <v>434</v>
      </c>
      <c r="C61" s="186">
        <v>428</v>
      </c>
      <c r="D61" s="186">
        <v>421</v>
      </c>
      <c r="E61" s="158">
        <f>D61*(1+E62)</f>
        <v>467.31000000000006</v>
      </c>
      <c r="F61" s="158">
        <f t="shared" ref="F61" si="54">E61*(1+F62)</f>
        <v>518.71410000000014</v>
      </c>
      <c r="G61" s="158">
        <f t="shared" ref="G61" si="55">F61*(1+G62)</f>
        <v>575.77265100000022</v>
      </c>
      <c r="H61" s="158">
        <f t="shared" ref="H61" si="56">G61*(1+H62)</f>
        <v>639.10764261000031</v>
      </c>
      <c r="I61" s="158">
        <f t="shared" ref="I61" si="57">H61*(1+I62)</f>
        <v>709.40948329710045</v>
      </c>
    </row>
    <row r="62" spans="1:14">
      <c r="A62" s="172"/>
      <c r="B62" s="448">
        <f>B61/B56</f>
        <v>0.10365416766181036</v>
      </c>
      <c r="C62" s="448">
        <f>C61/C56</f>
        <v>0.11885587336850875</v>
      </c>
      <c r="D62" s="448">
        <f>D61/D56</f>
        <v>0.11286863270777479</v>
      </c>
      <c r="E62" s="176">
        <v>0.11</v>
      </c>
      <c r="F62" s="176">
        <v>0.11</v>
      </c>
      <c r="G62" s="176">
        <v>0.11</v>
      </c>
      <c r="H62" s="176">
        <v>0.11</v>
      </c>
      <c r="I62" s="176">
        <v>0.11</v>
      </c>
      <c r="L62" t="s">
        <v>526</v>
      </c>
    </row>
    <row r="63" spans="1:14">
      <c r="A63" s="172" t="s">
        <v>499</v>
      </c>
      <c r="B63" s="186">
        <v>134</v>
      </c>
      <c r="C63" s="186">
        <v>129</v>
      </c>
      <c r="D63" s="186">
        <v>126</v>
      </c>
      <c r="E63" s="158">
        <f>D63*(1+E64)</f>
        <v>130.28399999999999</v>
      </c>
      <c r="F63" s="158">
        <f t="shared" ref="F63" si="58">E63*(1+F64)</f>
        <v>134.71365599999999</v>
      </c>
      <c r="G63" s="158">
        <f t="shared" ref="G63" si="59">F63*(1+G64)</f>
        <v>139.29392030399998</v>
      </c>
      <c r="H63" s="158">
        <f t="shared" ref="H63" si="60">G63*(1+H64)</f>
        <v>144.02991359433599</v>
      </c>
      <c r="I63" s="158">
        <f t="shared" ref="I63" si="61">H63*(1+I64)</f>
        <v>148.92693065654342</v>
      </c>
    </row>
    <row r="64" spans="1:14">
      <c r="A64" s="172"/>
      <c r="B64" s="456">
        <f>B63/B56</f>
        <v>3.2003821351803199E-2</v>
      </c>
      <c r="C64" s="456">
        <f t="shared" ref="C64:D64" si="62">C63/C56</f>
        <v>3.5823382393779503E-2</v>
      </c>
      <c r="D64" s="456">
        <f t="shared" si="62"/>
        <v>3.3780160857908845E-2</v>
      </c>
      <c r="E64" s="176">
        <v>3.4000000000000002E-2</v>
      </c>
      <c r="F64" s="176">
        <v>3.4000000000000002E-2</v>
      </c>
      <c r="G64" s="176">
        <v>3.4000000000000002E-2</v>
      </c>
      <c r="H64" s="176">
        <v>3.4000000000000002E-2</v>
      </c>
      <c r="I64" s="176">
        <v>3.4000000000000002E-2</v>
      </c>
      <c r="L64" t="s">
        <v>526</v>
      </c>
    </row>
    <row r="65" spans="1:12">
      <c r="A65" s="172" t="s">
        <v>221</v>
      </c>
      <c r="B65" s="186">
        <v>4</v>
      </c>
      <c r="C65" s="186">
        <v>2</v>
      </c>
      <c r="D65" s="186">
        <v>2</v>
      </c>
      <c r="E65" s="158">
        <f>D65*(1+E66)</f>
        <v>2.0010723860589814</v>
      </c>
      <c r="F65" s="158">
        <f t="shared" ref="F65" si="63">E65*(1+F66)</f>
        <v>2.0021453471238924</v>
      </c>
      <c r="G65" s="158">
        <f t="shared" ref="G65" si="64">F65*(1+G66)</f>
        <v>2.0032188835030476</v>
      </c>
      <c r="H65" s="158">
        <f t="shared" ref="H65" si="65">G65*(1+H66)</f>
        <v>2.004292995504926</v>
      </c>
      <c r="I65" s="158">
        <f t="shared" ref="I65" si="66">H65*(1+I66)</f>
        <v>2.0053676834381728</v>
      </c>
    </row>
    <row r="66" spans="1:12">
      <c r="A66" s="172"/>
      <c r="B66" s="458">
        <f>B65/B56</f>
        <v>9.5533795080009556E-4</v>
      </c>
      <c r="C66" s="458">
        <f t="shared" ref="C66:D66" si="67">C65/C56</f>
        <v>5.554012774229381E-4</v>
      </c>
      <c r="D66" s="458">
        <f t="shared" si="67"/>
        <v>5.3619302949061668E-4</v>
      </c>
      <c r="E66" s="176">
        <v>5.3619302949061668E-4</v>
      </c>
      <c r="F66" s="176">
        <v>5.3619302949061668E-4</v>
      </c>
      <c r="G66" s="176">
        <v>5.3619302949061668E-4</v>
      </c>
      <c r="H66" s="176">
        <v>5.3619302949061668E-4</v>
      </c>
      <c r="I66" s="176">
        <v>5.3619302949061668E-4</v>
      </c>
      <c r="L66" t="s">
        <v>526</v>
      </c>
    </row>
    <row r="67" spans="1:12">
      <c r="A67" s="172" t="s">
        <v>500</v>
      </c>
      <c r="B67" s="186">
        <v>127</v>
      </c>
      <c r="C67" s="186">
        <v>113</v>
      </c>
      <c r="D67" s="186">
        <v>114</v>
      </c>
      <c r="E67" s="158">
        <f>D67*(1+E68)</f>
        <v>117.48418230563003</v>
      </c>
      <c r="F67" s="158">
        <f t="shared" ref="F67" si="68">E67*(1+F68)</f>
        <v>121.07485168440799</v>
      </c>
      <c r="G67" s="158">
        <f t="shared" ref="G67" si="69">F67*(1+G68)</f>
        <v>124.775262701036</v>
      </c>
      <c r="H67" s="158">
        <f t="shared" ref="H67" si="70">G67*(1+H68)</f>
        <v>128.58876938948589</v>
      </c>
      <c r="I67" s="158">
        <f t="shared" ref="I67" si="71">H67*(1+I68)</f>
        <v>132.51882829307874</v>
      </c>
    </row>
    <row r="68" spans="1:12">
      <c r="A68" s="172"/>
      <c r="B68" s="456">
        <f>B67/B56</f>
        <v>3.0331979937903032E-2</v>
      </c>
      <c r="C68" s="456">
        <f t="shared" ref="C68:D68" si="72">C67/C56</f>
        <v>3.1380172174396002E-2</v>
      </c>
      <c r="D68" s="456">
        <f t="shared" si="72"/>
        <v>3.0563002680965148E-2</v>
      </c>
      <c r="E68" s="154">
        <v>3.0563002680965148E-2</v>
      </c>
      <c r="F68" s="154">
        <v>3.0563002680965148E-2</v>
      </c>
      <c r="G68" s="154">
        <v>3.0563002680965148E-2</v>
      </c>
      <c r="H68" s="154">
        <v>3.0563002680965148E-2</v>
      </c>
      <c r="I68" s="154">
        <v>3.0563002680965148E-2</v>
      </c>
      <c r="L68" t="s">
        <v>526</v>
      </c>
    </row>
    <row r="69" spans="1:12">
      <c r="A69" s="172" t="s">
        <v>505</v>
      </c>
      <c r="B69" s="186">
        <v>47</v>
      </c>
      <c r="C69" s="186"/>
      <c r="D69" s="186"/>
    </row>
    <row r="70" spans="1:12">
      <c r="A70" s="172" t="s">
        <v>502</v>
      </c>
      <c r="B70" s="186">
        <v>262</v>
      </c>
      <c r="C70" s="186">
        <v>331</v>
      </c>
      <c r="D70" s="186">
        <v>372</v>
      </c>
      <c r="E70" s="186">
        <v>250</v>
      </c>
      <c r="F70" s="186">
        <v>100</v>
      </c>
      <c r="G70" s="186">
        <v>100</v>
      </c>
      <c r="H70" s="186">
        <v>0</v>
      </c>
      <c r="I70" s="186">
        <v>0</v>
      </c>
    </row>
    <row r="71" spans="1:12">
      <c r="A71" s="172" t="s">
        <v>503</v>
      </c>
      <c r="B71" s="186">
        <v>147</v>
      </c>
      <c r="C71" s="186">
        <v>141</v>
      </c>
      <c r="D71" s="186">
        <v>218</v>
      </c>
      <c r="E71" s="158">
        <f>D71*(1+E72)</f>
        <v>226.72</v>
      </c>
      <c r="F71" s="158">
        <f t="shared" ref="F71" si="73">E71*(1+F72)</f>
        <v>235.78880000000001</v>
      </c>
      <c r="G71" s="158">
        <f t="shared" ref="G71" si="74">F71*(1+G72)</f>
        <v>245.22035200000002</v>
      </c>
      <c r="H71" s="158">
        <f t="shared" ref="H71" si="75">G71*(1+H72)</f>
        <v>255.02916608000004</v>
      </c>
      <c r="I71" s="158">
        <f t="shared" ref="I71" si="76">H71*(1+I72)</f>
        <v>265.23033272320004</v>
      </c>
    </row>
    <row r="72" spans="1:12">
      <c r="A72" s="172"/>
      <c r="B72" s="456">
        <f>B71/B56</f>
        <v>3.5108669691903509E-2</v>
      </c>
      <c r="C72" s="456">
        <f t="shared" ref="C72" si="77">C71/C56</f>
        <v>3.9155790058317132E-2</v>
      </c>
      <c r="D72" s="456">
        <f>D71/D56</f>
        <v>5.844504021447721E-2</v>
      </c>
      <c r="E72" s="154">
        <v>0.04</v>
      </c>
      <c r="F72" s="154">
        <v>0.04</v>
      </c>
      <c r="G72" s="154">
        <v>0.04</v>
      </c>
      <c r="H72" s="154">
        <v>0.04</v>
      </c>
      <c r="I72" s="154">
        <v>0.04</v>
      </c>
      <c r="L72" t="s">
        <v>527</v>
      </c>
    </row>
    <row r="73" spans="1:12">
      <c r="A73" s="172" t="s">
        <v>148</v>
      </c>
      <c r="B73" s="186">
        <v>775</v>
      </c>
      <c r="C73" s="186">
        <v>392</v>
      </c>
      <c r="D73" s="186">
        <v>371</v>
      </c>
      <c r="E73" s="158">
        <f>D73*(1+E74)</f>
        <v>408.1</v>
      </c>
      <c r="F73" s="158">
        <f t="shared" ref="F73" si="78">E73*(1+F74)</f>
        <v>448.91000000000008</v>
      </c>
      <c r="G73" s="158">
        <f t="shared" ref="G73" si="79">F73*(1+G74)</f>
        <v>493.80100000000016</v>
      </c>
      <c r="H73" s="158">
        <f t="shared" ref="H73" si="80">G73*(1+H74)</f>
        <v>543.18110000000024</v>
      </c>
      <c r="I73" s="158">
        <f t="shared" ref="I73" si="81">H73*(1+I74)</f>
        <v>597.49921000000029</v>
      </c>
    </row>
    <row r="74" spans="1:12">
      <c r="A74" s="172"/>
      <c r="B74" s="456">
        <f>B73/B56</f>
        <v>0.1850967279675185</v>
      </c>
      <c r="C74" s="456">
        <f t="shared" ref="C74" si="82">C73/C56</f>
        <v>0.10885865037489587</v>
      </c>
      <c r="D74" s="456">
        <f>D73/D56</f>
        <v>9.9463806970509383E-2</v>
      </c>
      <c r="E74" s="154">
        <v>0.1</v>
      </c>
      <c r="F74" s="154">
        <v>0.1</v>
      </c>
      <c r="G74" s="154">
        <v>0.1</v>
      </c>
      <c r="H74" s="154">
        <v>0.1</v>
      </c>
      <c r="I74" s="154">
        <v>0.1</v>
      </c>
      <c r="L74" t="s">
        <v>526</v>
      </c>
    </row>
    <row r="75" spans="1:12">
      <c r="A75" s="454" t="s">
        <v>504</v>
      </c>
      <c r="B75" s="455">
        <f>SUM(B57:B73)</f>
        <v>5405.0317649868639</v>
      </c>
      <c r="C75" s="455">
        <f t="shared" ref="C75:D75" si="83">SUM(C57:C73)</f>
        <v>4683.0994168286579</v>
      </c>
      <c r="D75" s="455">
        <f t="shared" si="83"/>
        <v>4888.1109919571045</v>
      </c>
      <c r="E75" s="455">
        <f t="shared" ref="E75" si="84">SUM(E57:E73)</f>
        <v>4634.7183753351219</v>
      </c>
      <c r="F75" s="455">
        <f t="shared" ref="F75" si="85">SUM(F57:F73)</f>
        <v>4685.0981653623203</v>
      </c>
      <c r="G75" s="455">
        <f t="shared" ref="G75" si="86">SUM(G57:G73)</f>
        <v>4898.5724829864921</v>
      </c>
      <c r="H75" s="455">
        <f t="shared" ref="H75" si="87">SUM(H57:H73)</f>
        <v>5026.276593267592</v>
      </c>
      <c r="I75" s="455">
        <f t="shared" ref="I75" si="88">SUM(I57:I73)</f>
        <v>5269.4583162054978</v>
      </c>
      <c r="L75">
        <f>I75/$I$90</f>
        <v>5.9276582890504192E-2</v>
      </c>
    </row>
    <row r="78" spans="1:12">
      <c r="A78" s="340" t="s">
        <v>496</v>
      </c>
      <c r="B78" s="453">
        <v>2023</v>
      </c>
      <c r="C78" s="453">
        <v>2024</v>
      </c>
      <c r="D78" s="453">
        <v>2025</v>
      </c>
      <c r="E78" s="453">
        <v>2026</v>
      </c>
      <c r="F78" s="453">
        <v>2027</v>
      </c>
      <c r="G78" s="453">
        <v>2028</v>
      </c>
      <c r="H78" s="453">
        <v>2029</v>
      </c>
      <c r="I78" s="453">
        <v>2030</v>
      </c>
    </row>
    <row r="79" spans="1:12">
      <c r="A79" t="s">
        <v>217</v>
      </c>
      <c r="B79" s="189">
        <f>B5+B34+B57</f>
        <v>31019</v>
      </c>
      <c r="C79" s="189">
        <f t="shared" ref="C79:I79" si="89">C5+C34+C57</f>
        <v>30961</v>
      </c>
      <c r="D79" s="189">
        <f t="shared" si="89"/>
        <v>31232</v>
      </c>
      <c r="E79" s="189">
        <f t="shared" si="89"/>
        <v>30770.008027551223</v>
      </c>
      <c r="F79" s="189">
        <f t="shared" si="89"/>
        <v>30565.170527190654</v>
      </c>
      <c r="G79" s="189">
        <f t="shared" si="89"/>
        <v>31259.894861954483</v>
      </c>
      <c r="H79" s="189">
        <f t="shared" si="89"/>
        <v>31934.966483098731</v>
      </c>
      <c r="I79" s="189">
        <f t="shared" si="89"/>
        <v>32628.07053374068</v>
      </c>
      <c r="K79" s="448"/>
    </row>
    <row r="80" spans="1:12">
      <c r="A80" t="s">
        <v>218</v>
      </c>
      <c r="B80" s="189">
        <f>B10+B36+B59</f>
        <v>21790</v>
      </c>
      <c r="C80" s="189">
        <f t="shared" ref="C80:I80" si="90">C10+C36+C59</f>
        <v>20921</v>
      </c>
      <c r="D80" s="189">
        <f t="shared" si="90"/>
        <v>21768</v>
      </c>
      <c r="E80" s="189">
        <f t="shared" si="90"/>
        <v>21827.31806922135</v>
      </c>
      <c r="F80" s="189">
        <f t="shared" si="90"/>
        <v>22224.878436611809</v>
      </c>
      <c r="G80" s="189">
        <f t="shared" si="90"/>
        <v>22704.681171968641</v>
      </c>
      <c r="H80" s="189">
        <f t="shared" si="90"/>
        <v>23164.898102707433</v>
      </c>
      <c r="I80" s="189">
        <f t="shared" si="90"/>
        <v>23637.04252909356</v>
      </c>
      <c r="K80" s="448"/>
    </row>
    <row r="81" spans="1:11">
      <c r="A81" t="s">
        <v>219</v>
      </c>
      <c r="B81" s="189">
        <f>B15+B38+B61</f>
        <v>4738</v>
      </c>
      <c r="C81" s="189">
        <f t="shared" ref="C81:I81" si="91">C15+C38+C61</f>
        <v>4571</v>
      </c>
      <c r="D81" s="189">
        <f t="shared" si="91"/>
        <v>4647</v>
      </c>
      <c r="E81" s="189">
        <f t="shared" si="91"/>
        <v>4802.0229049207901</v>
      </c>
      <c r="F81" s="189">
        <f t="shared" si="91"/>
        <v>5071.275683785866</v>
      </c>
      <c r="G81" s="189">
        <f t="shared" si="91"/>
        <v>5359.9382876206082</v>
      </c>
      <c r="H81" s="189">
        <f t="shared" si="91"/>
        <v>5666.7947806794109</v>
      </c>
      <c r="I81" s="189">
        <f t="shared" si="91"/>
        <v>5993.1529894377773</v>
      </c>
      <c r="K81" s="448"/>
    </row>
    <row r="82" spans="1:11">
      <c r="A82" t="s">
        <v>220</v>
      </c>
      <c r="B82" s="189">
        <f>B17+B40+B63</f>
        <v>4176</v>
      </c>
      <c r="C82" s="189">
        <f t="shared" ref="C82:I82" si="92">C17+C40+C63</f>
        <v>4287</v>
      </c>
      <c r="D82" s="189">
        <f t="shared" si="92"/>
        <v>4264</v>
      </c>
      <c r="E82" s="189">
        <f t="shared" si="92"/>
        <v>4361.6470393780701</v>
      </c>
      <c r="F82" s="189">
        <f t="shared" si="92"/>
        <v>4333.2817135293235</v>
      </c>
      <c r="G82" s="189">
        <f t="shared" si="92"/>
        <v>4349.0181750900065</v>
      </c>
      <c r="H82" s="189">
        <f t="shared" si="92"/>
        <v>4430.4429629108799</v>
      </c>
      <c r="I82" s="189">
        <f t="shared" si="92"/>
        <v>4523.7068484238343</v>
      </c>
      <c r="K82" s="448"/>
    </row>
    <row r="83" spans="1:11">
      <c r="A83" t="s">
        <v>221</v>
      </c>
      <c r="B83" s="189">
        <f>B19+B42+B65</f>
        <v>5909</v>
      </c>
      <c r="C83" s="189">
        <f t="shared" ref="C83:I83" si="93">C19+C42+C65</f>
        <v>4710</v>
      </c>
      <c r="D83" s="189">
        <f t="shared" si="93"/>
        <v>3775</v>
      </c>
      <c r="E83" s="189">
        <f t="shared" si="93"/>
        <v>3868.2323199498696</v>
      </c>
      <c r="F83" s="189">
        <f t="shared" si="93"/>
        <v>3937.9222622672119</v>
      </c>
      <c r="G83" s="189">
        <f t="shared" si="93"/>
        <v>4024.4012153290005</v>
      </c>
      <c r="H83" s="189">
        <f t="shared" si="93"/>
        <v>4107.7213812113305</v>
      </c>
      <c r="I83" s="189">
        <f t="shared" si="93"/>
        <v>4193.2248107260393</v>
      </c>
      <c r="K83" s="448"/>
    </row>
    <row r="84" spans="1:11">
      <c r="A84" t="s">
        <v>222</v>
      </c>
      <c r="B84" s="189">
        <f>B21+B44+B67</f>
        <v>3357</v>
      </c>
      <c r="C84" s="189">
        <f t="shared" ref="C84:I84" si="94">C21+C44+C67</f>
        <v>3291</v>
      </c>
      <c r="D84" s="189">
        <f t="shared" si="94"/>
        <v>3245</v>
      </c>
      <c r="E84" s="189">
        <f t="shared" si="94"/>
        <v>3236.3170649111844</v>
      </c>
      <c r="F84" s="189">
        <f t="shared" si="94"/>
        <v>3205.0393327359229</v>
      </c>
      <c r="G84" s="189">
        <f t="shared" si="94"/>
        <v>3276.1332193068265</v>
      </c>
      <c r="H84" s="189">
        <f t="shared" si="94"/>
        <v>3253.1752096302848</v>
      </c>
      <c r="I84" s="189">
        <f t="shared" si="94"/>
        <v>3321.7484764778892</v>
      </c>
      <c r="K84" s="448"/>
    </row>
    <row r="85" spans="1:11">
      <c r="A85" t="s">
        <v>223</v>
      </c>
      <c r="B85" s="186">
        <f>B23+B46+B69</f>
        <v>117</v>
      </c>
      <c r="C85" s="186">
        <f t="shared" ref="C85:I85" si="95">C23+C46+C69</f>
        <v>157</v>
      </c>
      <c r="D85" s="186">
        <f t="shared" si="95"/>
        <v>21</v>
      </c>
      <c r="E85" s="186">
        <f t="shared" si="95"/>
        <v>21</v>
      </c>
      <c r="F85" s="186">
        <f t="shared" si="95"/>
        <v>21</v>
      </c>
      <c r="G85" s="186">
        <f t="shared" si="95"/>
        <v>21</v>
      </c>
      <c r="H85" s="186">
        <f t="shared" si="95"/>
        <v>21</v>
      </c>
      <c r="I85" s="186">
        <f t="shared" si="95"/>
        <v>21</v>
      </c>
      <c r="K85" s="448"/>
    </row>
    <row r="86" spans="1:11">
      <c r="A86" t="s">
        <v>224</v>
      </c>
      <c r="B86" s="186">
        <f>B24+B47+B70</f>
        <v>309</v>
      </c>
      <c r="C86" s="186">
        <f t="shared" ref="C86:I86" si="96">C24+C47+C70</f>
        <v>582</v>
      </c>
      <c r="D86" s="186">
        <f t="shared" si="96"/>
        <v>756</v>
      </c>
      <c r="E86" s="186">
        <f t="shared" si="96"/>
        <v>500</v>
      </c>
      <c r="F86" s="186">
        <f t="shared" si="96"/>
        <v>200</v>
      </c>
      <c r="G86" s="186">
        <f t="shared" si="96"/>
        <v>100</v>
      </c>
      <c r="H86" s="186">
        <f t="shared" si="96"/>
        <v>0</v>
      </c>
      <c r="I86" s="186">
        <f t="shared" si="96"/>
        <v>0</v>
      </c>
      <c r="K86" s="448"/>
    </row>
    <row r="87" spans="1:11">
      <c r="A87" t="s">
        <v>148</v>
      </c>
      <c r="B87" s="189">
        <f>B73+B50+B27</f>
        <v>13828</v>
      </c>
      <c r="C87" s="189">
        <f t="shared" ref="C87:I87" si="97">C73+C50+C27</f>
        <v>12654</v>
      </c>
      <c r="D87" s="189">
        <f t="shared" si="97"/>
        <v>13001</v>
      </c>
      <c r="E87" s="189">
        <f t="shared" si="97"/>
        <v>13354.807173069039</v>
      </c>
      <c r="F87" s="189">
        <f t="shared" si="97"/>
        <v>13535.083585959212</v>
      </c>
      <c r="G87" s="189">
        <f t="shared" si="97"/>
        <v>13924.897348213954</v>
      </c>
      <c r="H87" s="189">
        <f t="shared" si="97"/>
        <v>14229.398073654902</v>
      </c>
      <c r="I87" s="189">
        <f t="shared" si="97"/>
        <v>14544.991993516547</v>
      </c>
      <c r="K87" s="448"/>
    </row>
    <row r="88" spans="1:11">
      <c r="A88" s="171"/>
      <c r="B88" s="187"/>
      <c r="C88" s="187"/>
      <c r="D88" s="187"/>
    </row>
    <row r="89" spans="1:11">
      <c r="A89" s="171"/>
      <c r="B89" s="187"/>
      <c r="C89" s="187"/>
      <c r="D89" s="187"/>
    </row>
    <row r="90" spans="1:11">
      <c r="A90" s="454" t="s">
        <v>504</v>
      </c>
      <c r="B90" s="455">
        <f>B29+B52+B75</f>
        <v>85245.546734143427</v>
      </c>
      <c r="C90" s="455">
        <f>C29+C52+C75</f>
        <v>82136.609039718242</v>
      </c>
      <c r="D90" s="455">
        <f>D29+D52+D75</f>
        <v>82711.639514665658</v>
      </c>
      <c r="E90" s="455">
        <f t="shared" ref="E90:I90" si="98">E29+E52+E75</f>
        <v>82733.636396369155</v>
      </c>
      <c r="F90" s="455">
        <f t="shared" si="98"/>
        <v>83093.090356396817</v>
      </c>
      <c r="G90" s="455">
        <f t="shared" si="98"/>
        <v>85029.297033983748</v>
      </c>
      <c r="H90" s="455">
        <f t="shared" si="98"/>
        <v>86829.389577583788</v>
      </c>
      <c r="I90" s="455">
        <f t="shared" si="98"/>
        <v>88896.121524738541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8A5B-449F-4AA5-8A12-CDFF647489F3}">
  <dimension ref="A2:P37"/>
  <sheetViews>
    <sheetView zoomScale="70" workbookViewId="0">
      <selection activeCell="L9" sqref="L9"/>
    </sheetView>
  </sheetViews>
  <sheetFormatPr defaultColWidth="8.6640625" defaultRowHeight="14.4"/>
  <cols>
    <col min="1" max="1" width="26.6640625" bestFit="1" customWidth="1"/>
    <col min="8" max="8" width="8.44140625" bestFit="1" customWidth="1"/>
  </cols>
  <sheetData>
    <row r="2" spans="1:16">
      <c r="F2" s="156"/>
      <c r="G2" s="156"/>
    </row>
    <row r="3" spans="1:16">
      <c r="C3" s="462" t="s">
        <v>267</v>
      </c>
      <c r="D3" s="462"/>
      <c r="E3" s="462"/>
      <c r="I3" s="2" t="s">
        <v>268</v>
      </c>
    </row>
    <row r="4" spans="1:16">
      <c r="I4" s="169"/>
    </row>
    <row r="5" spans="1:16">
      <c r="I5" s="169"/>
    </row>
    <row r="6" spans="1:16">
      <c r="A6" s="328" t="s">
        <v>269</v>
      </c>
      <c r="B6" s="328">
        <v>2021</v>
      </c>
      <c r="C6" s="328">
        <v>2022</v>
      </c>
      <c r="D6" s="328">
        <v>2023</v>
      </c>
      <c r="E6" s="328">
        <v>2024</v>
      </c>
      <c r="F6" s="328">
        <v>2025</v>
      </c>
      <c r="G6" s="328">
        <v>2026</v>
      </c>
      <c r="H6" s="328">
        <v>2027</v>
      </c>
      <c r="I6" s="328">
        <v>2028</v>
      </c>
      <c r="J6" s="328">
        <v>2029</v>
      </c>
      <c r="K6" s="328">
        <v>2030</v>
      </c>
      <c r="M6" s="169"/>
    </row>
    <row r="7" spans="1:16">
      <c r="A7" t="s">
        <v>270</v>
      </c>
      <c r="C7" s="158">
        <f t="shared" ref="C7:K7" si="0">B10</f>
        <v>20733</v>
      </c>
      <c r="D7" s="158">
        <f t="shared" si="0"/>
        <v>20182</v>
      </c>
      <c r="E7" s="158">
        <f t="shared" si="0"/>
        <v>20453</v>
      </c>
      <c r="F7" s="158">
        <f t="shared" si="0"/>
        <v>20135</v>
      </c>
      <c r="G7" s="158">
        <f t="shared" si="0"/>
        <v>19151</v>
      </c>
      <c r="H7">
        <f t="shared" si="0"/>
        <v>21780</v>
      </c>
      <c r="I7">
        <f t="shared" si="0"/>
        <v>24304</v>
      </c>
      <c r="J7">
        <f t="shared" si="0"/>
        <v>27752</v>
      </c>
      <c r="K7">
        <f t="shared" si="0"/>
        <v>29617</v>
      </c>
      <c r="M7" s="169"/>
    </row>
    <row r="8" spans="1:16">
      <c r="A8" t="s">
        <v>271</v>
      </c>
      <c r="F8">
        <v>0</v>
      </c>
      <c r="G8">
        <v>1371</v>
      </c>
      <c r="H8">
        <v>1476</v>
      </c>
      <c r="I8">
        <v>552</v>
      </c>
      <c r="J8">
        <v>1135</v>
      </c>
      <c r="K8">
        <v>1802</v>
      </c>
      <c r="M8" s="169"/>
      <c r="P8" s="443" t="s">
        <v>272</v>
      </c>
    </row>
    <row r="9" spans="1:16">
      <c r="A9" t="s">
        <v>521</v>
      </c>
      <c r="G9">
        <v>4000</v>
      </c>
      <c r="H9">
        <v>4000</v>
      </c>
      <c r="I9">
        <v>4000</v>
      </c>
      <c r="J9">
        <v>3000</v>
      </c>
      <c r="K9">
        <v>3000</v>
      </c>
      <c r="M9" s="169"/>
      <c r="P9" s="443"/>
    </row>
    <row r="10" spans="1:16">
      <c r="A10" s="347" t="s">
        <v>273</v>
      </c>
      <c r="B10" s="447">
        <f>'Balance sheet'!B34</f>
        <v>20733</v>
      </c>
      <c r="C10" s="447">
        <f>'Balance sheet'!C34</f>
        <v>20182</v>
      </c>
      <c r="D10" s="447">
        <f>'Balance sheet'!D34</f>
        <v>20453</v>
      </c>
      <c r="E10" s="447">
        <f>'Balance sheet'!E34</f>
        <v>20135</v>
      </c>
      <c r="F10" s="447">
        <f>'Balance sheet'!F34</f>
        <v>19151</v>
      </c>
      <c r="G10" s="447">
        <f>G7-G8+G9</f>
        <v>21780</v>
      </c>
      <c r="H10" s="447">
        <f t="shared" ref="H10:K10" si="1">H7-H8+H9</f>
        <v>24304</v>
      </c>
      <c r="I10" s="447">
        <f t="shared" si="1"/>
        <v>27752</v>
      </c>
      <c r="J10" s="447">
        <f t="shared" si="1"/>
        <v>29617</v>
      </c>
      <c r="K10" s="447">
        <f t="shared" si="1"/>
        <v>30815</v>
      </c>
      <c r="M10" s="169"/>
    </row>
    <row r="11" spans="1:16">
      <c r="A11" t="s">
        <v>274</v>
      </c>
      <c r="B11">
        <f>AVERAGE(B10,B7)</f>
        <v>20733</v>
      </c>
      <c r="C11">
        <f>AVERAGE(C10,C7)</f>
        <v>20457.5</v>
      </c>
      <c r="D11">
        <f>AVERAGE(D10,D7)</f>
        <v>20317.5</v>
      </c>
      <c r="E11">
        <f>AVERAGE(E10,E7)</f>
        <v>20294</v>
      </c>
      <c r="F11">
        <f>AVERAGE(F10,F7)</f>
        <v>19643</v>
      </c>
      <c r="G11">
        <f t="shared" ref="G11:K11" si="2">AVERAGE(G10,G7)</f>
        <v>20465.5</v>
      </c>
      <c r="H11">
        <f t="shared" si="2"/>
        <v>23042</v>
      </c>
      <c r="I11">
        <f t="shared" si="2"/>
        <v>26028</v>
      </c>
      <c r="J11">
        <f t="shared" si="2"/>
        <v>28684.5</v>
      </c>
      <c r="K11">
        <f t="shared" si="2"/>
        <v>30216</v>
      </c>
      <c r="M11" s="169"/>
    </row>
    <row r="12" spans="1:16">
      <c r="A12" t="s">
        <v>228</v>
      </c>
      <c r="B12" s="158">
        <f>-'Income statement'!B19</f>
        <v>793</v>
      </c>
      <c r="C12" s="158">
        <f>-'Income statement'!C19</f>
        <v>689</v>
      </c>
      <c r="D12" s="158">
        <f>-'Income statement'!D19</f>
        <v>694</v>
      </c>
      <c r="E12" s="158">
        <f>-'Income statement'!E19</f>
        <v>745</v>
      </c>
      <c r="F12" s="158">
        <f>-'Income statement'!F19</f>
        <v>789</v>
      </c>
      <c r="G12" s="386">
        <f>G11*0.042</f>
        <v>859.55100000000004</v>
      </c>
      <c r="H12" s="386">
        <f>H11*0.042</f>
        <v>967.76400000000001</v>
      </c>
      <c r="I12" s="386">
        <f>I11*0.042</f>
        <v>1093.1760000000002</v>
      </c>
      <c r="J12">
        <f>J11*0.04</f>
        <v>1147.3800000000001</v>
      </c>
      <c r="K12">
        <f>K11*0.04</f>
        <v>1208.6400000000001</v>
      </c>
      <c r="M12" s="169"/>
      <c r="P12" s="443" t="s">
        <v>275</v>
      </c>
    </row>
    <row r="13" spans="1:16">
      <c r="A13" t="s">
        <v>495</v>
      </c>
      <c r="B13" s="162">
        <f t="shared" ref="B13:G13" si="3">B12/B11</f>
        <v>3.8248203347320694E-2</v>
      </c>
      <c r="C13" s="162">
        <f t="shared" si="3"/>
        <v>3.3679579616277648E-2</v>
      </c>
      <c r="D13" s="162">
        <f t="shared" si="3"/>
        <v>3.4157745785652761E-2</v>
      </c>
      <c r="E13" s="162">
        <f t="shared" si="3"/>
        <v>3.6710357741204298E-2</v>
      </c>
      <c r="F13" s="162">
        <f t="shared" si="3"/>
        <v>4.0166980603777429E-2</v>
      </c>
      <c r="G13" s="162">
        <f t="shared" si="3"/>
        <v>4.2000000000000003E-2</v>
      </c>
      <c r="H13" s="162">
        <f t="shared" ref="H13:K13" si="4">H12/H11</f>
        <v>4.2000000000000003E-2</v>
      </c>
      <c r="I13" s="162">
        <f t="shared" si="4"/>
        <v>4.200000000000001E-2</v>
      </c>
      <c r="J13" s="162">
        <f t="shared" si="4"/>
        <v>0.04</v>
      </c>
      <c r="K13" s="162">
        <f t="shared" si="4"/>
        <v>0.04</v>
      </c>
    </row>
    <row r="14" spans="1:16">
      <c r="I14" s="169"/>
    </row>
    <row r="15" spans="1:16">
      <c r="A15" s="328" t="s">
        <v>276</v>
      </c>
      <c r="B15" s="328" t="s">
        <v>277</v>
      </c>
      <c r="C15" s="328" t="s">
        <v>278</v>
      </c>
      <c r="D15" s="328" t="s">
        <v>122</v>
      </c>
      <c r="E15" s="328" t="s">
        <v>123</v>
      </c>
      <c r="F15" s="328" t="s">
        <v>124</v>
      </c>
      <c r="G15" s="328" t="s">
        <v>125</v>
      </c>
      <c r="H15" s="328" t="s">
        <v>126</v>
      </c>
    </row>
    <row r="16" spans="1:16">
      <c r="A16" t="s">
        <v>279</v>
      </c>
      <c r="L16" s="443" t="s">
        <v>280</v>
      </c>
    </row>
    <row r="17" spans="1:12">
      <c r="A17" t="s">
        <v>281</v>
      </c>
      <c r="B17">
        <v>1251</v>
      </c>
      <c r="C17">
        <v>60</v>
      </c>
      <c r="D17">
        <v>889</v>
      </c>
      <c r="E17">
        <v>1114</v>
      </c>
      <c r="F17">
        <v>989</v>
      </c>
      <c r="G17">
        <v>410</v>
      </c>
      <c r="H17">
        <v>204</v>
      </c>
    </row>
    <row r="18" spans="1:12">
      <c r="A18" t="s">
        <v>282</v>
      </c>
      <c r="B18">
        <v>935</v>
      </c>
      <c r="C18">
        <v>205</v>
      </c>
      <c r="D18">
        <v>1200</v>
      </c>
      <c r="E18">
        <v>1250</v>
      </c>
      <c r="F18">
        <v>1300</v>
      </c>
      <c r="G18">
        <v>1200</v>
      </c>
      <c r="H18">
        <v>1100</v>
      </c>
    </row>
    <row r="19" spans="1:12">
      <c r="A19" t="s">
        <v>283</v>
      </c>
      <c r="B19">
        <v>504</v>
      </c>
      <c r="C19">
        <v>118</v>
      </c>
      <c r="D19">
        <v>600</v>
      </c>
      <c r="E19">
        <v>550</v>
      </c>
      <c r="F19">
        <v>525</v>
      </c>
      <c r="G19">
        <v>500</v>
      </c>
      <c r="H19">
        <v>475</v>
      </c>
    </row>
    <row r="20" spans="1:12">
      <c r="A20" t="s">
        <v>284</v>
      </c>
      <c r="B20">
        <v>434</v>
      </c>
      <c r="C20">
        <v>47</v>
      </c>
      <c r="D20">
        <v>650</v>
      </c>
      <c r="E20">
        <v>600</v>
      </c>
      <c r="F20">
        <v>575</v>
      </c>
      <c r="G20">
        <v>550</v>
      </c>
      <c r="H20">
        <v>525</v>
      </c>
    </row>
    <row r="21" spans="1:12">
      <c r="A21" t="s">
        <v>285</v>
      </c>
      <c r="B21">
        <v>931</v>
      </c>
      <c r="C21">
        <v>193</v>
      </c>
      <c r="D21">
        <v>1161</v>
      </c>
      <c r="E21">
        <v>1000</v>
      </c>
      <c r="F21">
        <v>950</v>
      </c>
      <c r="G21">
        <v>900</v>
      </c>
      <c r="H21">
        <v>850</v>
      </c>
    </row>
    <row r="22" spans="1:12">
      <c r="A22" s="347" t="s">
        <v>131</v>
      </c>
      <c r="B22" s="348">
        <v>4055</v>
      </c>
      <c r="C22" s="348">
        <v>623</v>
      </c>
      <c r="D22" s="348">
        <v>4500</v>
      </c>
      <c r="E22" s="348">
        <v>4514</v>
      </c>
      <c r="F22" s="348">
        <v>4339</v>
      </c>
      <c r="G22" s="348">
        <v>3560</v>
      </c>
      <c r="H22" s="348">
        <v>3154</v>
      </c>
      <c r="L22" s="443" t="s">
        <v>286</v>
      </c>
    </row>
    <row r="23" spans="1:12">
      <c r="C23" s="462" t="s">
        <v>287</v>
      </c>
      <c r="D23" s="462"/>
      <c r="E23" s="462"/>
      <c r="I23" s="169"/>
    </row>
    <row r="24" spans="1:12">
      <c r="I24" s="169"/>
    </row>
    <row r="25" spans="1:12">
      <c r="I25" s="169"/>
    </row>
    <row r="26" spans="1:12">
      <c r="A26" s="328" t="s">
        <v>269</v>
      </c>
      <c r="B26" s="328">
        <v>2025</v>
      </c>
      <c r="C26" s="328">
        <v>2026</v>
      </c>
      <c r="D26" s="328">
        <v>2027</v>
      </c>
      <c r="E26" s="328">
        <v>2028</v>
      </c>
      <c r="F26" s="328">
        <v>2029</v>
      </c>
      <c r="G26" s="328">
        <v>2030</v>
      </c>
      <c r="I26" s="169"/>
    </row>
    <row r="27" spans="1:12">
      <c r="A27" t="s">
        <v>288</v>
      </c>
      <c r="B27">
        <v>243</v>
      </c>
      <c r="C27">
        <f>B29</f>
        <v>232.1</v>
      </c>
      <c r="D27">
        <f>C29</f>
        <v>222.09</v>
      </c>
      <c r="E27">
        <f>D29</f>
        <v>212.56</v>
      </c>
      <c r="F27">
        <f>E29</f>
        <v>203.48</v>
      </c>
      <c r="G27">
        <f>F29</f>
        <v>194.83</v>
      </c>
      <c r="I27" s="169"/>
    </row>
    <row r="28" spans="1:12">
      <c r="A28" t="s">
        <v>289</v>
      </c>
      <c r="B28">
        <v>10.9</v>
      </c>
      <c r="C28">
        <f>C37</f>
        <v>10.007786057552776</v>
      </c>
      <c r="D28">
        <f t="shared" ref="D28:G28" si="5">D37</f>
        <v>9.5312248167169304</v>
      </c>
      <c r="E28">
        <f t="shared" si="5"/>
        <v>9.0773569683018387</v>
      </c>
      <c r="F28">
        <f t="shared" si="5"/>
        <v>8.6451018745731787</v>
      </c>
      <c r="G28">
        <f t="shared" si="5"/>
        <v>8.2334303567363598</v>
      </c>
      <c r="I28" s="169"/>
      <c r="L28" s="443" t="s">
        <v>290</v>
      </c>
    </row>
    <row r="29" spans="1:12">
      <c r="A29" s="347" t="s">
        <v>291</v>
      </c>
      <c r="B29" s="347">
        <f t="shared" ref="B29:G29" si="6">ROUND(B27-B28,2)</f>
        <v>232.1</v>
      </c>
      <c r="C29" s="347">
        <f t="shared" si="6"/>
        <v>222.09</v>
      </c>
      <c r="D29" s="347">
        <f t="shared" si="6"/>
        <v>212.56</v>
      </c>
      <c r="E29" s="347">
        <f t="shared" si="6"/>
        <v>203.48</v>
      </c>
      <c r="F29" s="347">
        <f t="shared" si="6"/>
        <v>194.83</v>
      </c>
      <c r="G29" s="347">
        <f t="shared" si="6"/>
        <v>186.6</v>
      </c>
      <c r="I29" s="169"/>
    </row>
    <row r="30" spans="1:12">
      <c r="A30" t="s">
        <v>292</v>
      </c>
      <c r="B30">
        <f>(B27+B29)/2</f>
        <v>237.55</v>
      </c>
      <c r="C30">
        <f>ROUND(AVERAGE(C27,C29),2)</f>
        <v>227.1</v>
      </c>
      <c r="D30">
        <f>ROUND(AVERAGE(D27,D29),2)</f>
        <v>217.33</v>
      </c>
      <c r="E30">
        <f>ROUND(AVERAGE(E27,E29),2)</f>
        <v>208.02</v>
      </c>
      <c r="F30">
        <f>ROUND(AVERAGE(F27,F29),2)</f>
        <v>199.16</v>
      </c>
      <c r="G30">
        <f>ROUND(AVERAGE(G27,G29),2)</f>
        <v>190.72</v>
      </c>
      <c r="I30" s="169"/>
    </row>
    <row r="31" spans="1:12">
      <c r="A31" t="s">
        <v>293</v>
      </c>
      <c r="B31">
        <f>'Income statement'!F27</f>
        <v>4092</v>
      </c>
      <c r="C31" s="158">
        <f>'Income statement'!H27</f>
        <v>4912.214417088323</v>
      </c>
      <c r="D31" s="158">
        <f>'Income statement'!I27</f>
        <v>5798.957783050444</v>
      </c>
      <c r="E31" s="158">
        <f>'Income statement'!J27</f>
        <v>5787.2821787065695</v>
      </c>
      <c r="F31" s="158">
        <f>'Income statement'!K27</f>
        <v>5883.6479534875252</v>
      </c>
      <c r="G31" s="158">
        <f>'Income statement'!L27</f>
        <v>5814.1306532332665</v>
      </c>
      <c r="I31" s="169"/>
    </row>
    <row r="32" spans="1:12">
      <c r="A32" t="s">
        <v>294</v>
      </c>
      <c r="B32">
        <f>B31/B30</f>
        <v>17.225847190065249</v>
      </c>
      <c r="C32">
        <f t="shared" ref="C32:G32" si="7">C31/C30</f>
        <v>21.630182373792703</v>
      </c>
      <c r="D32">
        <f t="shared" si="7"/>
        <v>26.68273033198566</v>
      </c>
      <c r="E32">
        <f t="shared" si="7"/>
        <v>27.820796936383854</v>
      </c>
      <c r="F32">
        <f t="shared" si="7"/>
        <v>29.542317500941582</v>
      </c>
      <c r="G32">
        <f t="shared" si="7"/>
        <v>30.485164918379123</v>
      </c>
      <c r="I32" s="169"/>
    </row>
    <row r="35" spans="2:7">
      <c r="B35">
        <v>2500</v>
      </c>
      <c r="C35">
        <v>2500</v>
      </c>
      <c r="D35">
        <v>2500</v>
      </c>
      <c r="E35">
        <v>2500</v>
      </c>
      <c r="F35">
        <v>2500</v>
      </c>
      <c r="G35">
        <v>2500</v>
      </c>
    </row>
    <row r="36" spans="2:7">
      <c r="B36">
        <v>237.91</v>
      </c>
      <c r="C36">
        <f>B36*(1+0.05)</f>
        <v>249.80549999999999</v>
      </c>
      <c r="D36">
        <f t="shared" ref="D36:G36" si="8">C36*(1+0.05)</f>
        <v>262.29577499999999</v>
      </c>
      <c r="E36">
        <f t="shared" si="8"/>
        <v>275.41056374999999</v>
      </c>
      <c r="F36">
        <f t="shared" si="8"/>
        <v>289.18109193750001</v>
      </c>
      <c r="G36">
        <f t="shared" si="8"/>
        <v>303.64014653437505</v>
      </c>
    </row>
    <row r="37" spans="2:7">
      <c r="B37">
        <f>B35/B36</f>
        <v>10.508175360430416</v>
      </c>
      <c r="C37">
        <f t="shared" ref="C37:G37" si="9">C35/C36</f>
        <v>10.007786057552776</v>
      </c>
      <c r="D37">
        <f t="shared" si="9"/>
        <v>9.5312248167169304</v>
      </c>
      <c r="E37">
        <f t="shared" si="9"/>
        <v>9.0773569683018387</v>
      </c>
      <c r="F37">
        <f t="shared" si="9"/>
        <v>8.6451018745731787</v>
      </c>
      <c r="G37">
        <f t="shared" si="9"/>
        <v>8.2334303567363598</v>
      </c>
    </row>
  </sheetData>
  <mergeCells count="2">
    <mergeCell ref="C3:E3"/>
    <mergeCell ref="C23:E23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DD36-5830-41E0-8254-B38A5783A786}">
  <dimension ref="A3:N32"/>
  <sheetViews>
    <sheetView zoomScale="69" workbookViewId="0">
      <selection activeCell="H19" sqref="H19"/>
    </sheetView>
  </sheetViews>
  <sheetFormatPr defaultColWidth="24.33203125" defaultRowHeight="14.4"/>
  <cols>
    <col min="1" max="1" width="30.33203125" customWidth="1"/>
    <col min="2" max="4" width="7.5546875" bestFit="1" customWidth="1"/>
    <col min="5" max="5" width="7.44140625" customWidth="1"/>
    <col min="6" max="6" width="7.33203125" bestFit="1" customWidth="1"/>
    <col min="7" max="10" width="7.6640625" bestFit="1" customWidth="1"/>
    <col min="11" max="11" width="6.109375" bestFit="1" customWidth="1"/>
  </cols>
  <sheetData>
    <row r="3" spans="1:14" ht="21">
      <c r="A3" s="465" t="s">
        <v>295</v>
      </c>
      <c r="B3" s="465"/>
      <c r="C3" s="465"/>
      <c r="D3" s="465"/>
      <c r="E3" s="465"/>
      <c r="F3" s="359"/>
      <c r="G3" s="359"/>
      <c r="H3" s="359"/>
      <c r="I3" s="359"/>
      <c r="J3" s="359"/>
      <c r="K3" s="359"/>
      <c r="L3" s="359"/>
      <c r="M3" s="359"/>
      <c r="N3" s="359"/>
    </row>
    <row r="4" spans="1:14" ht="21">
      <c r="A4" s="465" t="s">
        <v>296</v>
      </c>
      <c r="B4" s="465"/>
      <c r="C4" s="465"/>
      <c r="D4" s="465"/>
      <c r="E4" s="465"/>
      <c r="F4" s="359"/>
      <c r="G4" s="359"/>
      <c r="H4" s="359"/>
      <c r="I4" s="359"/>
      <c r="J4" s="359"/>
      <c r="K4" s="359"/>
      <c r="L4" s="359"/>
      <c r="M4" s="359"/>
      <c r="N4" s="359"/>
    </row>
    <row r="5" spans="1:14">
      <c r="A5" s="361" t="s">
        <v>297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</row>
    <row r="6" spans="1:14">
      <c r="A6" s="361" t="s">
        <v>298</v>
      </c>
      <c r="B6" s="359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</row>
    <row r="7" spans="1:14">
      <c r="A7" s="361"/>
      <c r="B7" s="359"/>
      <c r="C7" s="359"/>
      <c r="D7" s="359"/>
      <c r="E7" s="365" t="s">
        <v>299</v>
      </c>
      <c r="F7" s="359"/>
      <c r="G7" s="359"/>
      <c r="H7" s="359"/>
      <c r="I7" s="359"/>
      <c r="J7" s="359"/>
      <c r="K7" s="359"/>
      <c r="L7" s="359"/>
      <c r="M7" s="359"/>
      <c r="N7" s="359"/>
    </row>
    <row r="8" spans="1:14">
      <c r="A8" s="360"/>
      <c r="B8" s="366" t="s">
        <v>300</v>
      </c>
      <c r="C8" s="366" t="s">
        <v>301</v>
      </c>
      <c r="D8" s="366" t="s">
        <v>277</v>
      </c>
      <c r="E8" s="366" t="s">
        <v>278</v>
      </c>
      <c r="F8" s="367" t="s">
        <v>122</v>
      </c>
      <c r="G8" s="367" t="s">
        <v>123</v>
      </c>
      <c r="H8" s="367" t="s">
        <v>124</v>
      </c>
      <c r="I8" s="367" t="s">
        <v>125</v>
      </c>
      <c r="J8" s="367" t="s">
        <v>126</v>
      </c>
      <c r="K8" s="359"/>
      <c r="L8" s="359"/>
      <c r="M8" s="359"/>
      <c r="N8" s="359"/>
    </row>
    <row r="9" spans="1:14">
      <c r="A9" s="362" t="s">
        <v>279</v>
      </c>
      <c r="B9" s="368"/>
      <c r="C9" s="368"/>
      <c r="D9" s="368"/>
      <c r="E9" s="368"/>
      <c r="F9" s="359"/>
      <c r="G9" s="359"/>
      <c r="H9" s="359"/>
      <c r="I9" s="359"/>
      <c r="J9" s="359"/>
      <c r="K9" s="359"/>
      <c r="L9" s="359"/>
      <c r="M9" s="359"/>
      <c r="N9" s="359"/>
    </row>
    <row r="10" spans="1:14">
      <c r="A10" s="361" t="s">
        <v>281</v>
      </c>
      <c r="B10" s="369">
        <v>1684</v>
      </c>
      <c r="C10" s="369">
        <v>1627</v>
      </c>
      <c r="D10" s="369">
        <v>1251</v>
      </c>
      <c r="E10" s="369">
        <v>60</v>
      </c>
      <c r="F10" s="369">
        <v>889</v>
      </c>
      <c r="G10" s="369">
        <v>1114</v>
      </c>
      <c r="H10" s="369">
        <v>1114</v>
      </c>
      <c r="I10" s="369">
        <v>1114</v>
      </c>
      <c r="J10" s="369">
        <v>1114</v>
      </c>
      <c r="K10" s="359"/>
      <c r="L10" t="s">
        <v>302</v>
      </c>
      <c r="M10" s="359"/>
      <c r="N10" s="359"/>
    </row>
    <row r="11" spans="1:14" ht="28.8">
      <c r="A11" s="361" t="s">
        <v>282</v>
      </c>
      <c r="B11" s="370">
        <v>1851</v>
      </c>
      <c r="C11" s="370">
        <v>974</v>
      </c>
      <c r="D11" s="370">
        <v>935</v>
      </c>
      <c r="E11" s="370">
        <v>205</v>
      </c>
      <c r="F11" s="370">
        <v>1200</v>
      </c>
      <c r="G11" s="370">
        <v>1250</v>
      </c>
      <c r="H11" s="370">
        <v>1300</v>
      </c>
      <c r="I11" s="370">
        <v>1250</v>
      </c>
      <c r="J11" s="370">
        <v>1250</v>
      </c>
      <c r="K11" s="359"/>
      <c r="L11" t="s">
        <v>303</v>
      </c>
      <c r="M11" s="359"/>
      <c r="N11" s="359"/>
    </row>
    <row r="12" spans="1:14">
      <c r="A12" s="361" t="s">
        <v>283</v>
      </c>
      <c r="B12" s="370">
        <v>802</v>
      </c>
      <c r="C12" s="370">
        <v>656</v>
      </c>
      <c r="D12" s="370">
        <v>504</v>
      </c>
      <c r="E12" s="370">
        <v>118</v>
      </c>
      <c r="F12" s="370">
        <v>600</v>
      </c>
      <c r="G12" s="370">
        <v>550</v>
      </c>
      <c r="H12" s="370">
        <v>525</v>
      </c>
      <c r="I12" s="370">
        <v>500</v>
      </c>
      <c r="J12" s="370">
        <v>475</v>
      </c>
      <c r="K12" s="359"/>
      <c r="L12" t="s">
        <v>304</v>
      </c>
      <c r="M12" s="359"/>
      <c r="N12" s="359"/>
    </row>
    <row r="13" spans="1:14">
      <c r="A13" s="361" t="s">
        <v>284</v>
      </c>
      <c r="B13" s="370">
        <v>719</v>
      </c>
      <c r="C13" s="370">
        <v>709</v>
      </c>
      <c r="D13" s="370">
        <v>434</v>
      </c>
      <c r="E13" s="370">
        <v>47</v>
      </c>
      <c r="F13" s="370">
        <v>650</v>
      </c>
      <c r="G13" s="370">
        <v>600</v>
      </c>
      <c r="H13" s="370">
        <v>575</v>
      </c>
      <c r="I13" s="370">
        <v>550</v>
      </c>
      <c r="J13" s="370">
        <v>525</v>
      </c>
      <c r="K13" s="359"/>
      <c r="L13" t="s">
        <v>305</v>
      </c>
      <c r="M13" s="359"/>
      <c r="N13" s="359"/>
    </row>
    <row r="14" spans="1:14">
      <c r="A14" s="361" t="s">
        <v>285</v>
      </c>
      <c r="B14" s="371">
        <v>1118</v>
      </c>
      <c r="C14" s="371">
        <v>1210</v>
      </c>
      <c r="D14" s="371">
        <v>931</v>
      </c>
      <c r="E14" s="371">
        <v>193</v>
      </c>
      <c r="F14" s="370">
        <v>1161</v>
      </c>
      <c r="G14" s="370">
        <v>1000</v>
      </c>
      <c r="H14" s="370">
        <v>950</v>
      </c>
      <c r="I14" s="370">
        <v>950</v>
      </c>
      <c r="J14" s="370">
        <v>950</v>
      </c>
      <c r="K14" s="359"/>
      <c r="L14" t="s">
        <v>306</v>
      </c>
      <c r="M14" s="359"/>
      <c r="N14" s="359"/>
    </row>
    <row r="15" spans="1:14" ht="15" thickBot="1">
      <c r="A15" s="363" t="s">
        <v>131</v>
      </c>
      <c r="B15" s="372">
        <v>6174</v>
      </c>
      <c r="C15" s="372">
        <v>5176</v>
      </c>
      <c r="D15" s="372">
        <v>4055</v>
      </c>
      <c r="E15" s="372">
        <v>623</v>
      </c>
      <c r="F15" s="373">
        <f>SUM(F10:F14)</f>
        <v>4500</v>
      </c>
      <c r="G15" s="373">
        <f t="shared" ref="G15:J15" si="0">SUM(G10:G14)</f>
        <v>4514</v>
      </c>
      <c r="H15" s="373">
        <f t="shared" si="0"/>
        <v>4464</v>
      </c>
      <c r="I15" s="373">
        <f t="shared" si="0"/>
        <v>4364</v>
      </c>
      <c r="J15" s="373">
        <f t="shared" si="0"/>
        <v>4314</v>
      </c>
      <c r="K15" s="359"/>
      <c r="L15" t="s">
        <v>307</v>
      </c>
      <c r="M15" s="359"/>
      <c r="N15" s="359"/>
    </row>
    <row r="16" spans="1:14" ht="15" thickTop="1">
      <c r="A16" s="359"/>
      <c r="B16" s="374"/>
      <c r="C16" s="374"/>
      <c r="D16" s="374"/>
      <c r="E16" s="374"/>
      <c r="F16" s="359"/>
      <c r="G16" s="359"/>
      <c r="H16" s="359"/>
      <c r="I16" s="359"/>
      <c r="J16" s="359"/>
      <c r="K16" s="359"/>
      <c r="L16" s="359"/>
      <c r="M16" s="359"/>
      <c r="N16" s="359"/>
    </row>
    <row r="17" spans="1:14">
      <c r="A17" s="362" t="s">
        <v>308</v>
      </c>
      <c r="B17" s="359"/>
      <c r="C17" s="359"/>
      <c r="D17" s="359"/>
      <c r="E17" s="359"/>
      <c r="F17" s="359"/>
      <c r="G17" s="359"/>
      <c r="H17" s="359"/>
      <c r="I17" s="359"/>
      <c r="J17" s="359"/>
      <c r="K17" s="359"/>
      <c r="L17" s="359"/>
      <c r="M17" s="359"/>
      <c r="N17" s="359"/>
    </row>
    <row r="18" spans="1:14">
      <c r="A18" s="361" t="s">
        <v>309</v>
      </c>
      <c r="B18" s="369">
        <v>5480</v>
      </c>
      <c r="C18" s="369">
        <v>4591</v>
      </c>
      <c r="D18" s="369">
        <v>3505</v>
      </c>
      <c r="E18" s="369">
        <v>568</v>
      </c>
      <c r="F18" s="359"/>
      <c r="G18" s="359"/>
      <c r="H18" s="359"/>
      <c r="I18" s="359"/>
      <c r="J18" s="359"/>
      <c r="K18" s="359"/>
      <c r="L18" s="445" t="s">
        <v>310</v>
      </c>
      <c r="M18" s="359"/>
      <c r="N18" s="359"/>
    </row>
    <row r="19" spans="1:14">
      <c r="A19" s="361" t="s">
        <v>311</v>
      </c>
      <c r="B19" s="370">
        <v>557</v>
      </c>
      <c r="C19" s="370">
        <v>461</v>
      </c>
      <c r="D19" s="370">
        <v>437</v>
      </c>
      <c r="E19" s="370">
        <v>32</v>
      </c>
      <c r="F19" s="359"/>
      <c r="G19" s="359"/>
      <c r="H19" s="359"/>
      <c r="I19" s="359"/>
      <c r="J19" s="359"/>
      <c r="K19" s="359"/>
      <c r="L19" t="s">
        <v>312</v>
      </c>
      <c r="M19" s="359"/>
      <c r="N19" s="359"/>
    </row>
    <row r="20" spans="1:14">
      <c r="A20" s="361" t="s">
        <v>148</v>
      </c>
      <c r="B20" s="371">
        <v>137</v>
      </c>
      <c r="C20" s="371">
        <v>124</v>
      </c>
      <c r="D20" s="371">
        <v>113</v>
      </c>
      <c r="E20" s="371">
        <v>23</v>
      </c>
      <c r="F20" s="359"/>
      <c r="G20" s="359"/>
      <c r="H20" s="359"/>
      <c r="I20" s="359"/>
      <c r="J20" s="359"/>
      <c r="K20" s="359"/>
      <c r="L20" t="s">
        <v>313</v>
      </c>
      <c r="M20" s="359"/>
      <c r="N20" s="359"/>
    </row>
    <row r="21" spans="1:14" ht="15" thickBot="1">
      <c r="A21" s="364" t="s">
        <v>131</v>
      </c>
      <c r="B21" s="375">
        <v>6174</v>
      </c>
      <c r="C21" s="375">
        <v>5176</v>
      </c>
      <c r="D21" s="375">
        <v>4055</v>
      </c>
      <c r="E21" s="375">
        <v>623</v>
      </c>
      <c r="F21" s="359"/>
      <c r="G21" s="359"/>
      <c r="H21" s="359"/>
      <c r="I21" s="359"/>
      <c r="J21" s="359"/>
      <c r="K21" s="359"/>
      <c r="L21" t="s">
        <v>314</v>
      </c>
      <c r="M21" s="359"/>
      <c r="N21" s="359"/>
    </row>
    <row r="22" spans="1:14" ht="15" thickTop="1">
      <c r="A22" s="359"/>
      <c r="B22" s="359"/>
      <c r="C22" s="359"/>
      <c r="D22" s="359"/>
      <c r="E22" s="359"/>
      <c r="F22" s="359"/>
      <c r="G22" s="359"/>
      <c r="H22" s="359"/>
      <c r="I22" s="359"/>
      <c r="J22" s="359"/>
      <c r="K22" s="359"/>
      <c r="L22" t="s">
        <v>315</v>
      </c>
      <c r="M22" s="359"/>
      <c r="N22" s="359"/>
    </row>
    <row r="23" spans="1:14">
      <c r="L23" t="s">
        <v>316</v>
      </c>
    </row>
    <row r="26" spans="1:14">
      <c r="D26" s="171"/>
      <c r="E26" s="171"/>
      <c r="F26" s="171"/>
      <c r="G26" s="171"/>
      <c r="H26" s="171"/>
      <c r="I26" s="171"/>
      <c r="J26" s="171"/>
      <c r="K26" s="171"/>
      <c r="L26" s="171"/>
    </row>
    <row r="27" spans="1:14">
      <c r="D27" s="172"/>
      <c r="E27" s="173"/>
      <c r="F27" s="173"/>
      <c r="G27" s="173"/>
      <c r="H27" s="175"/>
      <c r="I27" s="174"/>
      <c r="J27" s="175"/>
      <c r="K27" s="175"/>
      <c r="L27" s="175"/>
    </row>
    <row r="28" spans="1:14" ht="53.7" customHeight="1">
      <c r="D28" s="444" t="s">
        <v>305</v>
      </c>
      <c r="E28" s="173"/>
      <c r="F28" s="172"/>
      <c r="G28" s="172"/>
      <c r="H28" s="174"/>
      <c r="I28" s="174"/>
      <c r="J28" s="174"/>
      <c r="K28" s="174"/>
      <c r="L28" s="174"/>
    </row>
    <row r="29" spans="1:14" ht="12.45" customHeight="1">
      <c r="D29" s="172"/>
      <c r="E29" s="172"/>
      <c r="F29" s="172"/>
      <c r="G29" s="172"/>
      <c r="H29" s="175"/>
      <c r="I29" s="175"/>
      <c r="J29" s="175"/>
      <c r="K29" s="175"/>
      <c r="L29" s="175"/>
    </row>
    <row r="30" spans="1:14">
      <c r="D30" s="172"/>
      <c r="E30" s="172"/>
      <c r="F30" s="172"/>
      <c r="G30" s="172"/>
      <c r="H30" s="175"/>
      <c r="I30" s="175"/>
      <c r="J30" s="175"/>
      <c r="K30" s="175"/>
      <c r="L30" s="175"/>
    </row>
    <row r="31" spans="1:14">
      <c r="D31" s="172"/>
      <c r="E31" s="173"/>
      <c r="F31" s="173"/>
      <c r="G31" s="172"/>
      <c r="H31" s="174"/>
      <c r="I31" s="174"/>
      <c r="J31" s="175"/>
      <c r="K31" s="175"/>
      <c r="L31" s="175"/>
    </row>
    <row r="32" spans="1:14">
      <c r="D32" s="175"/>
      <c r="E32" s="174"/>
      <c r="F32" s="174"/>
      <c r="G32" s="174"/>
      <c r="H32" s="174"/>
      <c r="I32" s="174"/>
      <c r="J32" s="174"/>
      <c r="K32" s="174"/>
      <c r="L32" s="174"/>
    </row>
  </sheetData>
  <mergeCells count="2">
    <mergeCell ref="A3:E3"/>
    <mergeCell ref="A4:E4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DB57-A6A7-49E6-9C2D-2D7DAE114A08}">
  <dimension ref="A1:BH18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2" sqref="M12"/>
    </sheetView>
  </sheetViews>
  <sheetFormatPr defaultColWidth="8.6640625" defaultRowHeight="14.4"/>
  <cols>
    <col min="1" max="1" width="46.44140625" customWidth="1"/>
    <col min="2" max="2" width="9.6640625" bestFit="1" customWidth="1"/>
    <col min="6" max="7" width="12" bestFit="1" customWidth="1"/>
    <col min="8" max="8" width="9.6640625" bestFit="1" customWidth="1"/>
    <col min="9" max="9" width="8.6640625" customWidth="1"/>
    <col min="10" max="11" width="9.6640625" bestFit="1" customWidth="1"/>
    <col min="13" max="13" width="11.6640625" bestFit="1" customWidth="1"/>
  </cols>
  <sheetData>
    <row r="1" spans="1:14">
      <c r="A1" s="1" t="s">
        <v>317</v>
      </c>
    </row>
    <row r="2" spans="1:14">
      <c r="A2" s="1" t="s">
        <v>318</v>
      </c>
    </row>
    <row r="3" spans="1:14">
      <c r="A3" s="329"/>
      <c r="B3" s="331">
        <v>2021</v>
      </c>
      <c r="C3" s="331">
        <v>2022</v>
      </c>
      <c r="D3" s="331">
        <v>2023</v>
      </c>
      <c r="E3" s="331">
        <v>2024</v>
      </c>
      <c r="F3" s="331">
        <v>2025</v>
      </c>
      <c r="G3" s="331" t="s">
        <v>122</v>
      </c>
      <c r="H3" s="331" t="s">
        <v>123</v>
      </c>
      <c r="I3" s="331" t="s">
        <v>124</v>
      </c>
      <c r="J3" s="331" t="s">
        <v>125</v>
      </c>
      <c r="K3" s="331" t="s">
        <v>126</v>
      </c>
    </row>
    <row r="4" spans="1:14">
      <c r="A4" s="446" t="s">
        <v>319</v>
      </c>
    </row>
    <row r="5" spans="1:14">
      <c r="A5" s="446" t="s">
        <v>320</v>
      </c>
    </row>
    <row r="6" spans="1:14">
      <c r="A6" t="s">
        <v>321</v>
      </c>
      <c r="B6">
        <v>7087</v>
      </c>
      <c r="C6">
        <v>6897</v>
      </c>
      <c r="D6">
        <v>6856</v>
      </c>
      <c r="E6">
        <v>6501</v>
      </c>
      <c r="F6">
        <v>5502</v>
      </c>
      <c r="G6" s="158">
        <f>'Derived cash flow'!C57</f>
        <v>6308.2146834742471</v>
      </c>
      <c r="H6" s="158">
        <f>'Derived cash flow'!D57</f>
        <v>9169.929239096371</v>
      </c>
      <c r="I6" s="158">
        <f>'Derived cash flow'!E57</f>
        <v>12178.583307084713</v>
      </c>
      <c r="J6" s="158">
        <f>'Derived cash flow'!F57</f>
        <v>15202.020062041405</v>
      </c>
      <c r="K6" s="158">
        <f>'Derived cash flow'!G57</f>
        <v>17608.292200726111</v>
      </c>
      <c r="N6" s="158"/>
    </row>
    <row r="7" spans="1:14">
      <c r="A7" t="s">
        <v>322</v>
      </c>
      <c r="B7">
        <v>12069</v>
      </c>
      <c r="C7">
        <v>11863</v>
      </c>
      <c r="D7">
        <v>10188</v>
      </c>
      <c r="E7">
        <v>10087</v>
      </c>
      <c r="F7">
        <v>11368</v>
      </c>
      <c r="G7" s="158">
        <f>(G66*'Income statement'!H5)/365</f>
        <v>11207.474340738368</v>
      </c>
      <c r="H7" s="158">
        <f>(H66*'Income statement'!I5)/365</f>
        <v>11413.93753477783</v>
      </c>
      <c r="I7" s="158">
        <f>(I66*'Income statement'!J5)/365</f>
        <v>11666.902724768546</v>
      </c>
      <c r="J7" s="158">
        <f>(J66*'Income statement'!K5)/365</f>
        <v>11911.780627131486</v>
      </c>
      <c r="K7" s="158">
        <f>(K66*'Income statement'!L5)/365</f>
        <v>12163.11631085829</v>
      </c>
    </row>
    <row r="8" spans="1:14">
      <c r="A8" t="s">
        <v>323</v>
      </c>
      <c r="B8">
        <v>587</v>
      </c>
      <c r="C8">
        <v>637</v>
      </c>
      <c r="D8">
        <v>604</v>
      </c>
      <c r="E8">
        <v>614</v>
      </c>
      <c r="F8">
        <v>602</v>
      </c>
      <c r="G8" s="158">
        <f>'Income statement'!H12*'Balance sheet'!G67</f>
        <v>593.7341018563211</v>
      </c>
      <c r="H8" s="158">
        <f>'Income statement'!I12*'Balance sheet'!H67</f>
        <v>587.99589516992182</v>
      </c>
      <c r="I8" s="158">
        <f>'Income statement'!J12*'Balance sheet'!I67</f>
        <v>601.03876582938517</v>
      </c>
      <c r="J8" s="158">
        <f>'Income statement'!K12*'Balance sheet'!J67</f>
        <v>596.82689382107685</v>
      </c>
      <c r="K8" s="158">
        <f>'Income statement'!L12*'Balance sheet'!K67</f>
        <v>609.40733207434585</v>
      </c>
    </row>
    <row r="9" spans="1:14">
      <c r="A9" t="s">
        <v>324</v>
      </c>
      <c r="B9">
        <v>837</v>
      </c>
      <c r="C9">
        <v>968</v>
      </c>
      <c r="D9">
        <v>962</v>
      </c>
      <c r="E9">
        <v>1005</v>
      </c>
      <c r="F9">
        <v>914</v>
      </c>
      <c r="G9" s="158">
        <f>G68*'Income statement'!H16</f>
        <v>933.01512734168466</v>
      </c>
      <c r="H9" s="158">
        <f>H68*'Income statement'!I16</f>
        <v>936.98775085959721</v>
      </c>
      <c r="I9" s="158">
        <f>I68*'Income statement'!J16</f>
        <v>958.70940354635957</v>
      </c>
      <c r="J9" s="158">
        <f>J68*'Income statement'!K16</f>
        <v>978.87628170779919</v>
      </c>
      <c r="K9" s="158">
        <f>K68*'Income statement'!L16</f>
        <v>1002.04387502714</v>
      </c>
    </row>
    <row r="10" spans="1:14" s="194" customFormat="1">
      <c r="A10" s="194" t="s">
        <v>325</v>
      </c>
      <c r="B10" s="194">
        <f>SUM(B6:B9)</f>
        <v>20580</v>
      </c>
      <c r="C10" s="194">
        <f t="shared" ref="C10:K10" si="0">SUM(C6:C9)</f>
        <v>20365</v>
      </c>
      <c r="D10" s="194">
        <f t="shared" si="0"/>
        <v>18610</v>
      </c>
      <c r="E10" s="194">
        <f t="shared" si="0"/>
        <v>18207</v>
      </c>
      <c r="F10" s="194">
        <f t="shared" si="0"/>
        <v>18386</v>
      </c>
      <c r="G10" s="411">
        <f>SUM(G6:G9)</f>
        <v>19042.438253410623</v>
      </c>
      <c r="H10" s="411">
        <f t="shared" si="0"/>
        <v>22108.85041990372</v>
      </c>
      <c r="I10" s="411">
        <f t="shared" si="0"/>
        <v>25405.234201229003</v>
      </c>
      <c r="J10" s="411">
        <f>SUM(J6:J9)</f>
        <v>28689.503864701768</v>
      </c>
      <c r="K10" s="411">
        <f t="shared" si="0"/>
        <v>31382.859718685882</v>
      </c>
    </row>
    <row r="11" spans="1:14">
      <c r="A11" s="446" t="s">
        <v>326</v>
      </c>
      <c r="G11" s="158"/>
      <c r="H11" s="158"/>
      <c r="I11" s="158"/>
      <c r="J11" s="158"/>
      <c r="K11" s="158"/>
    </row>
    <row r="12" spans="1:14">
      <c r="A12" t="s">
        <v>281</v>
      </c>
      <c r="B12">
        <v>26268</v>
      </c>
      <c r="C12">
        <v>27874</v>
      </c>
      <c r="D12">
        <v>29108</v>
      </c>
      <c r="E12">
        <v>30525</v>
      </c>
      <c r="F12">
        <v>31584</v>
      </c>
      <c r="G12" s="158">
        <f>G71</f>
        <v>32473</v>
      </c>
      <c r="H12" s="158">
        <f t="shared" ref="H12:K12" si="1">H71</f>
        <v>33587</v>
      </c>
      <c r="I12" s="158">
        <f t="shared" si="1"/>
        <v>34701</v>
      </c>
      <c r="J12" s="158">
        <f t="shared" si="1"/>
        <v>35815</v>
      </c>
      <c r="K12" s="158">
        <f t="shared" si="1"/>
        <v>36929</v>
      </c>
      <c r="M12" s="158"/>
    </row>
    <row r="13" spans="1:14">
      <c r="A13" t="s">
        <v>282</v>
      </c>
      <c r="B13">
        <v>13012</v>
      </c>
      <c r="C13">
        <v>14930</v>
      </c>
      <c r="D13">
        <v>16839</v>
      </c>
      <c r="E13">
        <v>17880</v>
      </c>
      <c r="F13">
        <v>18878</v>
      </c>
      <c r="G13" s="158">
        <f>G72</f>
        <v>20078</v>
      </c>
      <c r="H13" s="158">
        <f t="shared" ref="H13:K13" si="2">H72</f>
        <v>21328</v>
      </c>
      <c r="I13" s="158">
        <f t="shared" si="2"/>
        <v>22628</v>
      </c>
      <c r="J13" s="158">
        <f t="shared" si="2"/>
        <v>23878</v>
      </c>
      <c r="K13" s="158">
        <f t="shared" si="2"/>
        <v>25128</v>
      </c>
      <c r="M13" s="158"/>
    </row>
    <row r="14" spans="1:14">
      <c r="A14" t="s">
        <v>283</v>
      </c>
      <c r="B14">
        <v>7486</v>
      </c>
      <c r="C14">
        <v>8098</v>
      </c>
      <c r="D14">
        <v>8792</v>
      </c>
      <c r="E14">
        <v>9203</v>
      </c>
      <c r="F14">
        <v>9706</v>
      </c>
      <c r="G14" s="158">
        <f t="shared" ref="G14:K16" si="3">G73</f>
        <v>10306</v>
      </c>
      <c r="H14" s="158">
        <f t="shared" si="3"/>
        <v>10856</v>
      </c>
      <c r="I14" s="158">
        <f t="shared" si="3"/>
        <v>11381</v>
      </c>
      <c r="J14" s="158">
        <f t="shared" si="3"/>
        <v>11881</v>
      </c>
      <c r="K14" s="158">
        <f t="shared" si="3"/>
        <v>12356</v>
      </c>
      <c r="M14" s="158"/>
    </row>
    <row r="15" spans="1:14">
      <c r="A15" t="s">
        <v>284</v>
      </c>
      <c r="B15">
        <v>9282</v>
      </c>
      <c r="C15">
        <v>9806</v>
      </c>
      <c r="D15">
        <v>10191</v>
      </c>
      <c r="E15">
        <v>10568</v>
      </c>
      <c r="F15">
        <v>10949</v>
      </c>
      <c r="G15" s="158">
        <f t="shared" si="3"/>
        <v>11599</v>
      </c>
      <c r="H15" s="158">
        <f t="shared" si="3"/>
        <v>12199</v>
      </c>
      <c r="I15" s="158">
        <f t="shared" si="3"/>
        <v>12774</v>
      </c>
      <c r="J15" s="158">
        <f t="shared" si="3"/>
        <v>13324</v>
      </c>
      <c r="K15" s="158">
        <f t="shared" si="3"/>
        <v>13849</v>
      </c>
      <c r="M15" s="158"/>
    </row>
    <row r="16" spans="1:14">
      <c r="A16" t="s">
        <v>285</v>
      </c>
      <c r="B16">
        <v>14029</v>
      </c>
      <c r="C16">
        <v>14567</v>
      </c>
      <c r="D16">
        <v>15694</v>
      </c>
      <c r="E16">
        <v>16215</v>
      </c>
      <c r="F16">
        <v>16505</v>
      </c>
      <c r="G16" s="158">
        <f t="shared" si="3"/>
        <v>17666</v>
      </c>
      <c r="H16" s="158">
        <f t="shared" si="3"/>
        <v>18666</v>
      </c>
      <c r="I16" s="158">
        <f t="shared" si="3"/>
        <v>19616</v>
      </c>
      <c r="J16" s="158">
        <f t="shared" si="3"/>
        <v>20566</v>
      </c>
      <c r="K16" s="158">
        <f t="shared" si="3"/>
        <v>21516</v>
      </c>
      <c r="M16" s="158"/>
    </row>
    <row r="17" spans="1:15" s="195" customFormat="1">
      <c r="A17" s="195" t="s">
        <v>327</v>
      </c>
      <c r="B17" s="195">
        <f>SUM(B12:B16)</f>
        <v>70077</v>
      </c>
      <c r="C17" s="195">
        <f t="shared" ref="C17:K17" si="4">SUM(C12:C16)</f>
        <v>75275</v>
      </c>
      <c r="D17" s="195">
        <f t="shared" si="4"/>
        <v>80624</v>
      </c>
      <c r="E17" s="195">
        <f t="shared" si="4"/>
        <v>84391</v>
      </c>
      <c r="F17" s="195">
        <f t="shared" si="4"/>
        <v>87622</v>
      </c>
      <c r="G17" s="197">
        <f>SUM(G12:G16)</f>
        <v>92122</v>
      </c>
      <c r="H17" s="197">
        <f t="shared" si="4"/>
        <v>96636</v>
      </c>
      <c r="I17" s="197">
        <f t="shared" si="4"/>
        <v>101100</v>
      </c>
      <c r="J17" s="197">
        <f t="shared" si="4"/>
        <v>105464</v>
      </c>
      <c r="K17" s="197">
        <f t="shared" si="4"/>
        <v>109778</v>
      </c>
      <c r="M17" s="197"/>
    </row>
    <row r="18" spans="1:15">
      <c r="A18" t="s">
        <v>328</v>
      </c>
      <c r="B18">
        <v>-34325</v>
      </c>
      <c r="C18">
        <v>-37184</v>
      </c>
      <c r="D18">
        <v>-39926</v>
      </c>
      <c r="E18">
        <v>-42900</v>
      </c>
      <c r="F18">
        <v>-45980</v>
      </c>
      <c r="G18" s="158">
        <f>G17*G77</f>
        <v>-46284.086571378473</v>
      </c>
      <c r="H18" s="158">
        <f t="shared" ref="H18:K18" si="5">H17*H77</f>
        <v>-48552.017866652153</v>
      </c>
      <c r="I18" s="158">
        <f t="shared" si="5"/>
        <v>-50794.828079789448</v>
      </c>
      <c r="J18" s="158">
        <f t="shared" si="5"/>
        <v>-52987.396128653949</v>
      </c>
      <c r="K18" s="158">
        <f t="shared" si="5"/>
        <v>-55154.843095382057</v>
      </c>
    </row>
    <row r="19" spans="1:15" s="194" customFormat="1">
      <c r="A19" s="194" t="s">
        <v>329</v>
      </c>
      <c r="B19" s="194">
        <f>B17+B18</f>
        <v>35752</v>
      </c>
      <c r="C19" s="194">
        <f t="shared" ref="C19:K19" si="6">C17+C18</f>
        <v>38091</v>
      </c>
      <c r="D19" s="194">
        <f t="shared" si="6"/>
        <v>40698</v>
      </c>
      <c r="E19" s="194">
        <f t="shared" si="6"/>
        <v>41491</v>
      </c>
      <c r="F19" s="194">
        <f t="shared" si="6"/>
        <v>41642</v>
      </c>
      <c r="G19" s="411">
        <f>G17+G18</f>
        <v>45837.913428621527</v>
      </c>
      <c r="H19" s="411">
        <f t="shared" si="6"/>
        <v>48083.982133347847</v>
      </c>
      <c r="I19" s="411">
        <f t="shared" si="6"/>
        <v>50305.171920210552</v>
      </c>
      <c r="J19" s="411">
        <f t="shared" si="6"/>
        <v>52476.603871346051</v>
      </c>
      <c r="K19" s="411">
        <f t="shared" si="6"/>
        <v>54623.156904617943</v>
      </c>
    </row>
    <row r="20" spans="1:15">
      <c r="A20" s="446" t="s">
        <v>330</v>
      </c>
      <c r="E20">
        <f>E18-D18</f>
        <v>-2974</v>
      </c>
      <c r="G20" s="158"/>
      <c r="H20" s="158"/>
      <c r="I20" s="158"/>
      <c r="J20" s="158"/>
      <c r="K20" s="158"/>
    </row>
    <row r="21" spans="1:15">
      <c r="A21" t="s">
        <v>331</v>
      </c>
      <c r="B21">
        <v>15383</v>
      </c>
      <c r="C21">
        <v>16613</v>
      </c>
      <c r="D21">
        <v>17347</v>
      </c>
      <c r="E21">
        <v>17115</v>
      </c>
      <c r="F21">
        <v>16453</v>
      </c>
      <c r="G21" s="158">
        <f>G80</f>
        <v>15753</v>
      </c>
      <c r="H21" s="158">
        <f t="shared" ref="H21:J21" si="7">H80</f>
        <v>15103</v>
      </c>
      <c r="I21" s="158">
        <f t="shared" si="7"/>
        <v>14503</v>
      </c>
      <c r="J21" s="158">
        <f t="shared" si="7"/>
        <v>14003</v>
      </c>
      <c r="K21" s="158">
        <f>K80</f>
        <v>13603</v>
      </c>
    </row>
    <row r="22" spans="1:15">
      <c r="A22" t="s">
        <v>332</v>
      </c>
      <c r="B22">
        <v>6992</v>
      </c>
      <c r="C22">
        <v>6544</v>
      </c>
      <c r="D22">
        <v>6435</v>
      </c>
      <c r="E22">
        <v>6423</v>
      </c>
      <c r="F22">
        <v>6603</v>
      </c>
      <c r="G22" s="158">
        <v>6603</v>
      </c>
      <c r="H22" s="158">
        <v>6603</v>
      </c>
      <c r="I22" s="158">
        <v>6603</v>
      </c>
      <c r="J22" s="158">
        <v>6603</v>
      </c>
      <c r="K22" s="158">
        <v>6603</v>
      </c>
    </row>
    <row r="23" spans="1:15">
      <c r="A23" t="s">
        <v>333</v>
      </c>
      <c r="B23">
        <v>4070</v>
      </c>
      <c r="C23">
        <v>4381</v>
      </c>
      <c r="D23">
        <v>4053</v>
      </c>
      <c r="E23">
        <v>3771</v>
      </c>
      <c r="F23">
        <v>4543</v>
      </c>
      <c r="G23" s="158">
        <f>G82*'Income statement'!H5</f>
        <v>4193.4846770459535</v>
      </c>
      <c r="H23" s="158">
        <f>H82*'Income statement'!I5</f>
        <v>4270.7367156637283</v>
      </c>
      <c r="I23" s="158">
        <f>I82*'Income statement'!J5</f>
        <v>4365.3883397317968</v>
      </c>
      <c r="J23" s="158">
        <f>J82*'Income statement'!K5</f>
        <v>4457.0139549315982</v>
      </c>
      <c r="K23" s="158">
        <f>K82*'Income statement'!L5</f>
        <v>4551.0558689667805</v>
      </c>
      <c r="O23" s="158"/>
    </row>
    <row r="24" spans="1:15" s="194" customFormat="1">
      <c r="A24" s="194" t="s">
        <v>334</v>
      </c>
      <c r="B24" s="194">
        <f>SUM(B21:B23)</f>
        <v>26445</v>
      </c>
      <c r="C24" s="194">
        <f t="shared" ref="C24:K24" si="8">SUM(C21:C23)</f>
        <v>27538</v>
      </c>
      <c r="D24" s="194">
        <f t="shared" si="8"/>
        <v>27835</v>
      </c>
      <c r="E24" s="194">
        <f t="shared" si="8"/>
        <v>27309</v>
      </c>
      <c r="F24" s="194">
        <f t="shared" si="8"/>
        <v>27599</v>
      </c>
      <c r="G24" s="411">
        <f>SUM(G21:G23)</f>
        <v>26549.484677045955</v>
      </c>
      <c r="H24" s="411">
        <f t="shared" si="8"/>
        <v>25976.736715663726</v>
      </c>
      <c r="I24" s="411">
        <f t="shared" si="8"/>
        <v>25471.388339731799</v>
      </c>
      <c r="J24" s="411">
        <f t="shared" si="8"/>
        <v>25063.013954931597</v>
      </c>
      <c r="K24" s="411">
        <f t="shared" si="8"/>
        <v>24757.055868966781</v>
      </c>
    </row>
    <row r="25" spans="1:15">
      <c r="A25" s="344" t="s">
        <v>335</v>
      </c>
      <c r="B25" s="344">
        <f>B24+B19+B10</f>
        <v>82777</v>
      </c>
      <c r="C25" s="344">
        <f t="shared" ref="C25:E25" si="9">C24+C19+C10</f>
        <v>85994</v>
      </c>
      <c r="D25" s="344">
        <f t="shared" si="9"/>
        <v>87143</v>
      </c>
      <c r="E25" s="344">
        <f t="shared" si="9"/>
        <v>87007</v>
      </c>
      <c r="F25" s="344">
        <f t="shared" ref="F25:K25" si="10">F24+F19+F10</f>
        <v>87627</v>
      </c>
      <c r="G25" s="346">
        <f t="shared" si="10"/>
        <v>91429.836359078108</v>
      </c>
      <c r="H25" s="346">
        <f t="shared" si="10"/>
        <v>96169.569268915307</v>
      </c>
      <c r="I25" s="346">
        <f t="shared" si="10"/>
        <v>101181.79446117135</v>
      </c>
      <c r="J25" s="346">
        <f t="shared" si="10"/>
        <v>106229.12169097942</v>
      </c>
      <c r="K25" s="346">
        <f t="shared" si="10"/>
        <v>110763.07249227061</v>
      </c>
    </row>
    <row r="26" spans="1:15">
      <c r="A26" s="446" t="s">
        <v>336</v>
      </c>
      <c r="G26" s="158"/>
      <c r="H26" s="158"/>
      <c r="I26" s="158"/>
      <c r="J26" s="158"/>
      <c r="K26" s="158"/>
      <c r="O26" s="158"/>
    </row>
    <row r="27" spans="1:15">
      <c r="A27" s="446" t="s">
        <v>337</v>
      </c>
      <c r="G27" s="158"/>
      <c r="H27" s="158"/>
      <c r="I27" s="158"/>
      <c r="J27" s="158"/>
      <c r="K27" s="158"/>
    </row>
    <row r="28" spans="1:15">
      <c r="A28" t="s">
        <v>338</v>
      </c>
      <c r="B28">
        <v>146</v>
      </c>
      <c r="C28">
        <v>82</v>
      </c>
      <c r="D28">
        <v>126</v>
      </c>
      <c r="E28">
        <v>68</v>
      </c>
      <c r="F28">
        <v>1428</v>
      </c>
      <c r="G28" s="158">
        <f>'Debt schedule'!G8</f>
        <v>1371</v>
      </c>
      <c r="H28" s="158">
        <f>'Debt schedule'!H8</f>
        <v>1476</v>
      </c>
      <c r="I28" s="158">
        <f>'Debt schedule'!I8</f>
        <v>552</v>
      </c>
      <c r="J28" s="158">
        <f>'Debt schedule'!J8</f>
        <v>1135</v>
      </c>
      <c r="K28" s="158">
        <f>'Debt schedule'!K8</f>
        <v>1802</v>
      </c>
    </row>
    <row r="29" spans="1:15">
      <c r="A29" t="s">
        <v>339</v>
      </c>
      <c r="B29">
        <v>2903</v>
      </c>
      <c r="C29">
        <v>2531</v>
      </c>
      <c r="D29">
        <v>2475</v>
      </c>
      <c r="E29">
        <v>2673</v>
      </c>
      <c r="F29">
        <v>2731</v>
      </c>
      <c r="G29" s="158">
        <f>'Income statement'!H7*G88</f>
        <v>2638.3995127691896</v>
      </c>
      <c r="H29" s="158">
        <f>'Income statement'!I7*H88</f>
        <v>2620.8355537132065</v>
      </c>
      <c r="I29" s="158">
        <f>'Income statement'!J7*I88</f>
        <v>2680.4052601854492</v>
      </c>
      <c r="J29" s="158">
        <f>'Income statement'!K7*J88</f>
        <v>2738.289828649536</v>
      </c>
      <c r="K29" s="158">
        <f>'Income statement'!L7*K88</f>
        <v>2797.7206025341152</v>
      </c>
    </row>
    <row r="30" spans="1:15">
      <c r="A30" t="s">
        <v>340</v>
      </c>
      <c r="B30">
        <v>3841</v>
      </c>
      <c r="C30">
        <v>4030</v>
      </c>
      <c r="D30">
        <v>3848</v>
      </c>
      <c r="E30">
        <v>3189</v>
      </c>
      <c r="F30">
        <v>3692</v>
      </c>
      <c r="G30" s="158">
        <f>G89*'Income statement'!H16</f>
        <v>3723.360866955069</v>
      </c>
      <c r="H30" s="158">
        <f>H89*'Income statement'!I16</f>
        <v>3739.214319393599</v>
      </c>
      <c r="I30" s="158">
        <f>I89*'Income statement'!J16</f>
        <v>3825.8983925767579</v>
      </c>
      <c r="J30" s="158">
        <f>J89*'Income statement'!K16</f>
        <v>3906.3778647251834</v>
      </c>
      <c r="K30" s="158">
        <f>K89*'Income statement'!L16</f>
        <v>3998.832218163735</v>
      </c>
    </row>
    <row r="31" spans="1:15">
      <c r="A31" t="s">
        <v>341</v>
      </c>
      <c r="B31">
        <v>2208</v>
      </c>
      <c r="C31">
        <v>2443</v>
      </c>
      <c r="D31">
        <v>2390</v>
      </c>
      <c r="E31">
        <v>2463</v>
      </c>
      <c r="F31">
        <v>2565</v>
      </c>
      <c r="G31" s="158">
        <f>G90*C147</f>
        <v>2362.9499999999998</v>
      </c>
      <c r="H31" s="158">
        <f>H90*D147</f>
        <v>2265.4499999999998</v>
      </c>
      <c r="I31" s="158">
        <f>I90*E147</f>
        <v>2175.4499999999998</v>
      </c>
      <c r="J31" s="158">
        <f>J90*F147</f>
        <v>2100.4499999999998</v>
      </c>
      <c r="K31" s="158">
        <f>K90*G147</f>
        <v>2040.4499999999998</v>
      </c>
    </row>
    <row r="32" spans="1:15">
      <c r="A32" t="s">
        <v>342</v>
      </c>
      <c r="B32">
        <v>4562</v>
      </c>
      <c r="C32">
        <v>5188</v>
      </c>
      <c r="D32">
        <v>4747</v>
      </c>
      <c r="E32">
        <v>4962</v>
      </c>
      <c r="F32">
        <v>4995</v>
      </c>
      <c r="G32" s="158">
        <f>G91*'Income statement'!H16</f>
        <v>4871.0548980032445</v>
      </c>
      <c r="H32" s="158">
        <f>H91*'Income statement'!I16</f>
        <v>4891.7950410917965</v>
      </c>
      <c r="I32" s="158">
        <f>I91*'Income statement'!J16</f>
        <v>5005.1987358572205</v>
      </c>
      <c r="J32" s="158">
        <f>J91*'Income statement'!K16</f>
        <v>5110.4853145706866</v>
      </c>
      <c r="K32" s="158">
        <f>K91*'Income statement'!L16</f>
        <v>5231.4379289561066</v>
      </c>
    </row>
    <row r="33" spans="1:60" s="194" customFormat="1">
      <c r="A33" s="194" t="s">
        <v>343</v>
      </c>
      <c r="B33" s="194">
        <f t="shared" ref="B33:E33" si="11">SUM(B28:B32)</f>
        <v>13660</v>
      </c>
      <c r="C33" s="194">
        <f t="shared" si="11"/>
        <v>14274</v>
      </c>
      <c r="D33" s="194">
        <f t="shared" si="11"/>
        <v>13586</v>
      </c>
      <c r="E33" s="194">
        <f t="shared" si="11"/>
        <v>13355</v>
      </c>
      <c r="F33" s="194">
        <f>SUM(F28:F32)</f>
        <v>15411</v>
      </c>
      <c r="G33" s="411">
        <f>SUM(G28:G32)</f>
        <v>14966.765277727503</v>
      </c>
      <c r="H33" s="411">
        <f t="shared" ref="H33:K33" si="12">SUM(H28:H32)</f>
        <v>14993.294914198601</v>
      </c>
      <c r="I33" s="411">
        <f t="shared" si="12"/>
        <v>14238.952388619427</v>
      </c>
      <c r="J33" s="411">
        <f t="shared" si="12"/>
        <v>14990.603007945407</v>
      </c>
      <c r="K33" s="411">
        <f t="shared" si="12"/>
        <v>15870.440749653957</v>
      </c>
      <c r="O33" s="161"/>
      <c r="P33" s="161"/>
      <c r="Q33" s="161"/>
      <c r="R33" s="161"/>
    </row>
    <row r="34" spans="1:60">
      <c r="A34" s="2" t="s">
        <v>344</v>
      </c>
      <c r="B34" s="2">
        <v>20733</v>
      </c>
      <c r="C34" s="2">
        <v>20182</v>
      </c>
      <c r="D34" s="2">
        <v>20453</v>
      </c>
      <c r="E34" s="2">
        <v>20135</v>
      </c>
      <c r="F34" s="2">
        <v>19151</v>
      </c>
      <c r="G34" s="161">
        <f>'Debt schedule'!G10</f>
        <v>21780</v>
      </c>
      <c r="H34" s="161">
        <f>'Debt schedule'!H10</f>
        <v>24304</v>
      </c>
      <c r="I34" s="161">
        <f>'Debt schedule'!I10</f>
        <v>27752</v>
      </c>
      <c r="J34" s="161">
        <f>'Debt schedule'!J10</f>
        <v>29617</v>
      </c>
      <c r="K34" s="161">
        <f>'Debt schedule'!K10</f>
        <v>30815</v>
      </c>
    </row>
    <row r="35" spans="1:60">
      <c r="A35" s="446" t="s">
        <v>345</v>
      </c>
      <c r="G35" s="158"/>
      <c r="H35" s="158"/>
      <c r="I35" s="158"/>
      <c r="J35" s="158"/>
      <c r="K35" s="158"/>
    </row>
    <row r="36" spans="1:60">
      <c r="A36" t="s">
        <v>346</v>
      </c>
      <c r="B36">
        <v>3927</v>
      </c>
      <c r="C36">
        <v>4093</v>
      </c>
      <c r="D36">
        <v>4489</v>
      </c>
      <c r="E36">
        <v>4482</v>
      </c>
      <c r="F36">
        <v>4205</v>
      </c>
      <c r="G36" s="158">
        <f>G19*G95</f>
        <v>4919.2944361918153</v>
      </c>
      <c r="H36" s="158">
        <f t="shared" ref="H36:K36" si="13">H19*H95</f>
        <v>5136.1002404514375</v>
      </c>
      <c r="I36" s="158">
        <f t="shared" si="13"/>
        <v>5366.9381083039934</v>
      </c>
      <c r="J36" s="158">
        <f t="shared" si="13"/>
        <v>5560.6869536342292</v>
      </c>
      <c r="K36" s="158">
        <f t="shared" si="13"/>
        <v>5765.659794936897</v>
      </c>
    </row>
    <row r="37" spans="1:60">
      <c r="A37" t="s">
        <v>347</v>
      </c>
      <c r="B37">
        <v>3501</v>
      </c>
      <c r="C37">
        <v>4448</v>
      </c>
      <c r="D37">
        <v>3130</v>
      </c>
      <c r="E37">
        <v>2010</v>
      </c>
      <c r="F37">
        <v>1698</v>
      </c>
      <c r="G37" s="158">
        <f>G96</f>
        <v>1897</v>
      </c>
      <c r="H37" s="158">
        <f t="shared" ref="H37:K37" si="14">H96</f>
        <v>1939</v>
      </c>
      <c r="I37" s="158">
        <f t="shared" si="14"/>
        <v>2000</v>
      </c>
      <c r="J37" s="158">
        <f t="shared" si="14"/>
        <v>2063</v>
      </c>
      <c r="K37" s="158">
        <f t="shared" si="14"/>
        <v>2137</v>
      </c>
      <c r="O37" s="158"/>
    </row>
    <row r="38" spans="1:60">
      <c r="A38" t="s">
        <v>348</v>
      </c>
      <c r="B38">
        <v>2430</v>
      </c>
      <c r="C38">
        <v>2889</v>
      </c>
      <c r="D38">
        <v>3339</v>
      </c>
      <c r="E38">
        <v>3701</v>
      </c>
      <c r="F38">
        <v>4033</v>
      </c>
      <c r="G38" s="158">
        <f>G97*'Income statement'!H16</f>
        <v>4340.7874924623311</v>
      </c>
      <c r="H38" s="158">
        <f>H97*'Income statement'!I16</f>
        <v>4666.78357308264</v>
      </c>
      <c r="I38" s="158">
        <f>I97*'Income statement'!J16</f>
        <v>5089.6135988073138</v>
      </c>
      <c r="J38" s="158">
        <f>J97*'Income statement'!K16</f>
        <v>5517.9371729335289</v>
      </c>
      <c r="K38" s="158">
        <f>K97*'Income statement'!L16</f>
        <v>5977.3979260366077</v>
      </c>
      <c r="O38" s="158"/>
    </row>
    <row r="39" spans="1:60">
      <c r="A39" t="s">
        <v>341</v>
      </c>
      <c r="B39">
        <v>13375</v>
      </c>
      <c r="C39">
        <v>14487</v>
      </c>
      <c r="D39">
        <v>15363</v>
      </c>
      <c r="E39">
        <v>15053</v>
      </c>
      <c r="F39">
        <v>14272</v>
      </c>
      <c r="G39" s="158">
        <f>G98*C147</f>
        <v>13390.05</v>
      </c>
      <c r="H39" s="158">
        <f>H98*D147</f>
        <v>12837.55</v>
      </c>
      <c r="I39" s="158">
        <f>I98*E147</f>
        <v>12327.55</v>
      </c>
      <c r="J39" s="158">
        <f>J98*F147</f>
        <v>11902.55</v>
      </c>
      <c r="K39" s="158">
        <f>K98*G147</f>
        <v>11562.55</v>
      </c>
    </row>
    <row r="40" spans="1:60">
      <c r="A40" t="s">
        <v>349</v>
      </c>
      <c r="B40">
        <v>983</v>
      </c>
      <c r="C40">
        <v>682</v>
      </c>
      <c r="D40">
        <v>695</v>
      </c>
      <c r="E40">
        <v>689</v>
      </c>
      <c r="F40">
        <v>783</v>
      </c>
      <c r="G40" s="158">
        <f>G99*'Income statement'!H5</f>
        <v>775.90567847322097</v>
      </c>
      <c r="H40" s="158">
        <f>H99*'Income statement'!I5</f>
        <v>790.19935069414532</v>
      </c>
      <c r="I40" s="158">
        <f>I99*'Income statement'!J5</f>
        <v>807.71240683886481</v>
      </c>
      <c r="J40" s="158">
        <f>J99*'Income statement'!K5</f>
        <v>824.66557123607186</v>
      </c>
      <c r="K40" s="158">
        <f>K99*'Income statement'!L5</f>
        <v>842.06581488398444</v>
      </c>
    </row>
    <row r="41" spans="1:60" s="194" customFormat="1">
      <c r="A41" s="194" t="s">
        <v>350</v>
      </c>
      <c r="B41" s="194">
        <f t="shared" ref="B41:G41" si="15">SUM(B36:B40)</f>
        <v>24216</v>
      </c>
      <c r="C41" s="194">
        <f t="shared" si="15"/>
        <v>26599</v>
      </c>
      <c r="D41" s="194">
        <f t="shared" si="15"/>
        <v>27016</v>
      </c>
      <c r="E41" s="194">
        <f t="shared" si="15"/>
        <v>25935</v>
      </c>
      <c r="F41" s="194">
        <f t="shared" si="15"/>
        <v>24991</v>
      </c>
      <c r="G41" s="411">
        <f t="shared" si="15"/>
        <v>25323.037607127368</v>
      </c>
      <c r="H41" s="411">
        <f t="shared" ref="H41:K41" si="16">SUM(H36:H40)</f>
        <v>25369.633164228224</v>
      </c>
      <c r="I41" s="411">
        <f t="shared" si="16"/>
        <v>25591.814113950171</v>
      </c>
      <c r="J41" s="411">
        <f t="shared" si="16"/>
        <v>25868.839697803829</v>
      </c>
      <c r="K41" s="411">
        <f t="shared" si="16"/>
        <v>26284.673535857488</v>
      </c>
    </row>
    <row r="42" spans="1:60">
      <c r="A42" s="446" t="s">
        <v>351</v>
      </c>
      <c r="G42" s="158"/>
      <c r="H42" s="158"/>
      <c r="I42" s="158"/>
      <c r="J42" s="158"/>
      <c r="K42" s="158"/>
    </row>
    <row r="43" spans="1:60">
      <c r="A43" t="s">
        <v>352</v>
      </c>
      <c r="B43">
        <v>32</v>
      </c>
      <c r="C43">
        <v>32</v>
      </c>
      <c r="D43">
        <v>32</v>
      </c>
      <c r="E43">
        <v>32</v>
      </c>
      <c r="F43">
        <v>32</v>
      </c>
      <c r="G43" s="158">
        <v>32</v>
      </c>
      <c r="H43" s="158">
        <v>32</v>
      </c>
      <c r="I43" s="158">
        <v>32</v>
      </c>
      <c r="J43" s="158">
        <v>32</v>
      </c>
      <c r="K43" s="158">
        <v>32</v>
      </c>
    </row>
    <row r="44" spans="1:60">
      <c r="A44" t="s">
        <v>353</v>
      </c>
      <c r="B44">
        <v>3481</v>
      </c>
      <c r="C44">
        <v>3712</v>
      </c>
      <c r="D44">
        <v>3769</v>
      </c>
      <c r="E44">
        <v>3988</v>
      </c>
      <c r="F44">
        <v>4290</v>
      </c>
      <c r="G44" s="158">
        <f>F44+G103</f>
        <v>4492.25</v>
      </c>
      <c r="H44" s="158">
        <f t="shared" ref="H44:K44" si="17">G44+H103</f>
        <v>4694.5</v>
      </c>
      <c r="I44" s="158">
        <f t="shared" si="17"/>
        <v>4896.75</v>
      </c>
      <c r="J44" s="158">
        <f t="shared" si="17"/>
        <v>5099</v>
      </c>
      <c r="K44" s="158">
        <f t="shared" si="17"/>
        <v>5301.25</v>
      </c>
    </row>
    <row r="45" spans="1:60">
      <c r="A45" t="s">
        <v>354</v>
      </c>
      <c r="B45">
        <v>29817</v>
      </c>
      <c r="C45">
        <v>32782</v>
      </c>
      <c r="D45">
        <v>35259</v>
      </c>
      <c r="E45">
        <v>38649</v>
      </c>
      <c r="F45">
        <v>41402</v>
      </c>
      <c r="G45" s="158">
        <f>G161</f>
        <v>44985.783474223237</v>
      </c>
      <c r="H45" s="158">
        <f t="shared" ref="H45:J45" si="18">H161</f>
        <v>49426.141190488474</v>
      </c>
      <c r="I45" s="158">
        <f t="shared" si="18"/>
        <v>53820.277958601757</v>
      </c>
      <c r="J45" s="158">
        <f t="shared" si="18"/>
        <v>58271.678985230188</v>
      </c>
      <c r="K45" s="158">
        <f>K161</f>
        <v>62609.708206759169</v>
      </c>
      <c r="M45" s="158"/>
      <c r="O45" s="158"/>
      <c r="P45" s="158"/>
      <c r="Q45" s="158"/>
      <c r="R45" s="158"/>
    </row>
    <row r="46" spans="1:60">
      <c r="A46" t="s">
        <v>355</v>
      </c>
      <c r="B46">
        <v>-732</v>
      </c>
      <c r="C46">
        <v>-1103</v>
      </c>
      <c r="D46">
        <v>-1327</v>
      </c>
      <c r="E46">
        <v>-1359</v>
      </c>
      <c r="F46">
        <v>-1362</v>
      </c>
      <c r="G46" s="158">
        <v>-1362</v>
      </c>
      <c r="H46" s="158">
        <v>-1362</v>
      </c>
      <c r="I46" s="158">
        <v>-1362</v>
      </c>
      <c r="J46" s="158">
        <v>-1362</v>
      </c>
      <c r="K46" s="158">
        <v>-1362</v>
      </c>
      <c r="O46" s="158"/>
    </row>
    <row r="47" spans="1:60">
      <c r="A47" t="s">
        <v>356</v>
      </c>
      <c r="B47">
        <v>-8430</v>
      </c>
      <c r="C47">
        <v>-10484</v>
      </c>
      <c r="D47">
        <v>-11645</v>
      </c>
      <c r="E47">
        <v>-13728</v>
      </c>
      <c r="F47">
        <v>-16288</v>
      </c>
      <c r="G47" s="158">
        <f>F47-G165</f>
        <v>-18788</v>
      </c>
      <c r="H47" s="158">
        <f>G47-H165</f>
        <v>-21288</v>
      </c>
      <c r="I47" s="158">
        <f>H47-I165</f>
        <v>-23788</v>
      </c>
      <c r="J47" s="158">
        <f>I47-J165</f>
        <v>-26288</v>
      </c>
      <c r="K47" s="158">
        <f>J47-K165</f>
        <v>-28788</v>
      </c>
    </row>
    <row r="48" spans="1:60" s="194" customFormat="1">
      <c r="A48" s="194" t="s">
        <v>357</v>
      </c>
      <c r="B48" s="194">
        <v>24168</v>
      </c>
      <c r="C48" s="194">
        <v>24939</v>
      </c>
      <c r="D48" s="194">
        <v>26088</v>
      </c>
      <c r="E48" s="194">
        <f>SUM(E43:E47)</f>
        <v>27582</v>
      </c>
      <c r="F48" s="194">
        <f>SUM(F43:F47)</f>
        <v>28074</v>
      </c>
      <c r="G48" s="411">
        <f>SUM(G43:G47)</f>
        <v>29360.033474223237</v>
      </c>
      <c r="H48" s="411">
        <f t="shared" ref="H48:K48" si="19">SUM(H43:H47)</f>
        <v>31502.641190488474</v>
      </c>
      <c r="I48" s="411">
        <f t="shared" si="19"/>
        <v>33599.027958601757</v>
      </c>
      <c r="J48" s="411">
        <f t="shared" si="19"/>
        <v>35752.678985230188</v>
      </c>
      <c r="K48" s="411">
        <f t="shared" si="19"/>
        <v>37792.958206759169</v>
      </c>
      <c r="N48" s="158"/>
      <c r="AY48"/>
      <c r="AZ48"/>
      <c r="BA48"/>
      <c r="BB48"/>
      <c r="BC48"/>
      <c r="BD48"/>
      <c r="BE48"/>
      <c r="BF48"/>
      <c r="BG48"/>
      <c r="BH48"/>
    </row>
    <row r="49" spans="1:60">
      <c r="A49" s="344" t="s">
        <v>358</v>
      </c>
      <c r="B49" s="344">
        <f t="shared" ref="B49:E49" si="20">B48+B41+B33+B34</f>
        <v>82777</v>
      </c>
      <c r="C49" s="344">
        <f t="shared" si="20"/>
        <v>85994</v>
      </c>
      <c r="D49" s="344">
        <f t="shared" si="20"/>
        <v>87143</v>
      </c>
      <c r="E49" s="344">
        <f t="shared" si="20"/>
        <v>87007</v>
      </c>
      <c r="F49" s="344">
        <f>F48+F41+F33+F34</f>
        <v>87627</v>
      </c>
      <c r="G49" s="346">
        <f>G48+G41+G33+G34</f>
        <v>91429.836359078108</v>
      </c>
      <c r="H49" s="346">
        <f t="shared" ref="H49:K49" si="21">H48+H41+H33+H34</f>
        <v>96169.569268915293</v>
      </c>
      <c r="I49" s="346">
        <f t="shared" si="21"/>
        <v>101181.79446117135</v>
      </c>
      <c r="J49" s="346">
        <f t="shared" si="21"/>
        <v>106229.12169097943</v>
      </c>
      <c r="K49" s="346">
        <f t="shared" si="21"/>
        <v>110763.07249227061</v>
      </c>
      <c r="N49" s="158"/>
    </row>
    <row r="51" spans="1:60">
      <c r="A51" t="s">
        <v>359</v>
      </c>
      <c r="G51" s="158">
        <f>G49-G25</f>
        <v>0</v>
      </c>
      <c r="H51" s="158">
        <f t="shared" ref="H51:K51" si="22">H49-H25</f>
        <v>0</v>
      </c>
      <c r="I51" s="158">
        <f t="shared" si="22"/>
        <v>0</v>
      </c>
      <c r="J51" s="158">
        <f t="shared" si="22"/>
        <v>0</v>
      </c>
      <c r="K51" s="158">
        <f t="shared" si="22"/>
        <v>0</v>
      </c>
    </row>
    <row r="52" spans="1:60">
      <c r="I52" s="158"/>
      <c r="J52" s="158"/>
      <c r="K52" s="158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</row>
    <row r="53" spans="1:60">
      <c r="G53" s="158"/>
      <c r="I53" s="158"/>
      <c r="J53" s="158"/>
      <c r="K53" s="158"/>
    </row>
    <row r="54" spans="1:60">
      <c r="I54" s="158"/>
      <c r="J54" s="158"/>
      <c r="K54" s="158"/>
    </row>
    <row r="55" spans="1:60">
      <c r="I55" s="158"/>
      <c r="J55" s="158"/>
      <c r="K55" s="158"/>
    </row>
    <row r="57" spans="1:60">
      <c r="A57" s="2" t="s">
        <v>182</v>
      </c>
    </row>
    <row r="61" spans="1:60">
      <c r="A61" s="329"/>
      <c r="B61" s="328">
        <v>2021</v>
      </c>
      <c r="C61" s="328">
        <v>2022</v>
      </c>
      <c r="D61" s="328">
        <v>2023</v>
      </c>
      <c r="E61" s="328">
        <v>2024</v>
      </c>
      <c r="F61" s="328">
        <v>2025</v>
      </c>
      <c r="G61" s="328" t="s">
        <v>122</v>
      </c>
      <c r="H61" s="328" t="s">
        <v>123</v>
      </c>
      <c r="I61" s="328" t="s">
        <v>124</v>
      </c>
      <c r="J61" s="328" t="s">
        <v>125</v>
      </c>
      <c r="K61" s="328" t="s">
        <v>244</v>
      </c>
    </row>
    <row r="63" spans="1:60">
      <c r="A63" t="s">
        <v>319</v>
      </c>
    </row>
    <row r="64" spans="1:60">
      <c r="A64" t="s">
        <v>320</v>
      </c>
    </row>
    <row r="65" spans="1:14">
      <c r="A65" t="s">
        <v>321</v>
      </c>
    </row>
    <row r="66" spans="1:14">
      <c r="A66" t="s">
        <v>322</v>
      </c>
      <c r="B66" s="168">
        <f>(B7/'Income statement'!B5)*365</f>
        <v>52.468288092997774</v>
      </c>
      <c r="C66" s="168">
        <f>(C7/'Income statement'!C5)*365</f>
        <v>46.304164171443233</v>
      </c>
      <c r="D66" s="168">
        <f>(D7/'Income statement'!D5)*365</f>
        <v>41.246963562753038</v>
      </c>
      <c r="E66" s="168">
        <f>(E7/'Income statement'!E5)*365</f>
        <v>41.984593981275587</v>
      </c>
      <c r="F66" s="168">
        <f>(F7/'Income statement'!F5)*365</f>
        <v>47.191047016809591</v>
      </c>
      <c r="G66">
        <f>AVERAGE(B66:F66)</f>
        <v>45.839011365055846</v>
      </c>
      <c r="H66">
        <v>45.839011365055846</v>
      </c>
      <c r="I66">
        <v>45.839011365055846</v>
      </c>
      <c r="J66">
        <v>45.839011365055846</v>
      </c>
      <c r="K66">
        <v>45.839011365055846</v>
      </c>
      <c r="N66" s="163" t="s">
        <v>360</v>
      </c>
    </row>
    <row r="67" spans="1:14">
      <c r="A67" t="s">
        <v>323</v>
      </c>
      <c r="B67" s="154">
        <f>B8/'Income statement'!B12</f>
        <v>0.17638221153846154</v>
      </c>
      <c r="C67" s="154">
        <f>C8/'Income statement'!C12</f>
        <v>0.18890865954922895</v>
      </c>
      <c r="D67" s="154">
        <f>D8/'Income statement'!D12</f>
        <v>0.17992254989574025</v>
      </c>
      <c r="E67" s="154">
        <f>E8/'Income statement'!E12</f>
        <v>0.18656943178365237</v>
      </c>
      <c r="F67" s="154">
        <f>F8/'Income statement'!F12</f>
        <v>0.18551617873651771</v>
      </c>
      <c r="G67" s="155">
        <f>AVERAGE(B67:F67)</f>
        <v>0.18345980630072017</v>
      </c>
      <c r="H67" s="154">
        <v>0.18345980630072017</v>
      </c>
      <c r="I67" s="154">
        <v>0.18345980630072017</v>
      </c>
      <c r="J67" s="154">
        <v>0.18345980630072017</v>
      </c>
      <c r="K67" s="154">
        <v>0.18345980630072017</v>
      </c>
      <c r="N67" s="163" t="s">
        <v>361</v>
      </c>
    </row>
    <row r="68" spans="1:14">
      <c r="A68" t="s">
        <v>324</v>
      </c>
      <c r="B68" s="162">
        <f>B9/'Income statement'!B16</f>
        <v>1.0716755012675732E-2</v>
      </c>
      <c r="C68" s="162">
        <f>C9/'Income statement'!C16</f>
        <v>1.1092394605062623E-2</v>
      </c>
      <c r="D68" s="162">
        <f>D9/'Income statement'!D16</f>
        <v>1.1285384137113897E-2</v>
      </c>
      <c r="E68" s="162">
        <f>E9/'Income statement'!E16</f>
        <v>1.2236101979691723E-2</v>
      </c>
      <c r="F68" s="162">
        <f>F9/'Income statement'!F16</f>
        <v>1.1050792537692391E-2</v>
      </c>
      <c r="G68">
        <f>AVERAGE(B68:F68)</f>
        <v>1.1276285654447275E-2</v>
      </c>
      <c r="H68">
        <f>+$G$68</f>
        <v>1.1276285654447275E-2</v>
      </c>
      <c r="I68">
        <f>+$G$68</f>
        <v>1.1276285654447275E-2</v>
      </c>
      <c r="J68">
        <f>+$G$68</f>
        <v>1.1276285654447275E-2</v>
      </c>
      <c r="K68">
        <f>+$G$68</f>
        <v>1.1276285654447275E-2</v>
      </c>
      <c r="N68" s="163" t="s">
        <v>362</v>
      </c>
    </row>
    <row r="69" spans="1:14">
      <c r="A69" s="3" t="s">
        <v>325</v>
      </c>
      <c r="N69" s="163"/>
    </row>
    <row r="70" spans="1:14">
      <c r="A70" t="s">
        <v>326</v>
      </c>
      <c r="N70" s="163"/>
    </row>
    <row r="71" spans="1:14">
      <c r="A71" t="s">
        <v>281</v>
      </c>
      <c r="B71">
        <f>B12</f>
        <v>26268</v>
      </c>
      <c r="C71">
        <f t="shared" ref="C71:E71" si="23">C12</f>
        <v>27874</v>
      </c>
      <c r="D71">
        <f t="shared" si="23"/>
        <v>29108</v>
      </c>
      <c r="E71">
        <f t="shared" si="23"/>
        <v>30525</v>
      </c>
      <c r="F71" s="170">
        <f>B119</f>
        <v>31584</v>
      </c>
      <c r="G71" s="170">
        <f>C119</f>
        <v>32473</v>
      </c>
      <c r="H71" s="170">
        <f>D119</f>
        <v>33587</v>
      </c>
      <c r="I71" s="170">
        <f>E119</f>
        <v>34701</v>
      </c>
      <c r="J71" s="170">
        <f>F119</f>
        <v>35815</v>
      </c>
      <c r="K71" s="170">
        <f t="shared" ref="K71" si="24">G119</f>
        <v>36929</v>
      </c>
      <c r="N71" s="163" t="s">
        <v>363</v>
      </c>
    </row>
    <row r="72" spans="1:14">
      <c r="A72" t="s">
        <v>282</v>
      </c>
      <c r="B72">
        <f>B13</f>
        <v>13012</v>
      </c>
      <c r="C72">
        <f t="shared" ref="C72:F72" si="25">C13</f>
        <v>14930</v>
      </c>
      <c r="D72">
        <f t="shared" si="25"/>
        <v>16839</v>
      </c>
      <c r="E72">
        <f t="shared" si="25"/>
        <v>17880</v>
      </c>
      <c r="F72">
        <f t="shared" si="25"/>
        <v>18878</v>
      </c>
      <c r="G72" s="170">
        <f>C125</f>
        <v>20078</v>
      </c>
      <c r="H72" s="170">
        <f>D125</f>
        <v>21328</v>
      </c>
      <c r="I72" s="170">
        <f>E125</f>
        <v>22628</v>
      </c>
      <c r="J72" s="170">
        <f>F125</f>
        <v>23878</v>
      </c>
      <c r="K72" s="170">
        <f t="shared" ref="K72" si="26">G125</f>
        <v>25128</v>
      </c>
      <c r="N72" s="163" t="s">
        <v>364</v>
      </c>
    </row>
    <row r="73" spans="1:14">
      <c r="A73" t="s">
        <v>283</v>
      </c>
      <c r="B73">
        <f>B14</f>
        <v>7486</v>
      </c>
      <c r="C73">
        <f t="shared" ref="C73:F73" si="27">C14</f>
        <v>8098</v>
      </c>
      <c r="D73">
        <f t="shared" si="27"/>
        <v>8792</v>
      </c>
      <c r="E73">
        <f t="shared" si="27"/>
        <v>9203</v>
      </c>
      <c r="F73">
        <f t="shared" si="27"/>
        <v>9706</v>
      </c>
      <c r="G73" s="170">
        <f>C131</f>
        <v>10306</v>
      </c>
      <c r="H73" s="170">
        <f>D131</f>
        <v>10856</v>
      </c>
      <c r="I73" s="170">
        <f>E131</f>
        <v>11381</v>
      </c>
      <c r="J73" s="170">
        <f>F131</f>
        <v>11881</v>
      </c>
      <c r="K73" s="170">
        <f t="shared" ref="K73" si="28">G131</f>
        <v>12356</v>
      </c>
      <c r="N73" s="163" t="s">
        <v>365</v>
      </c>
    </row>
    <row r="74" spans="1:14">
      <c r="A74" t="s">
        <v>284</v>
      </c>
      <c r="B74">
        <f t="shared" ref="B74:F75" si="29">B15</f>
        <v>9282</v>
      </c>
      <c r="C74">
        <f t="shared" si="29"/>
        <v>9806</v>
      </c>
      <c r="D74">
        <f t="shared" si="29"/>
        <v>10191</v>
      </c>
      <c r="E74">
        <f t="shared" si="29"/>
        <v>10568</v>
      </c>
      <c r="F74">
        <f t="shared" si="29"/>
        <v>10949</v>
      </c>
      <c r="G74" s="170">
        <f>C136</f>
        <v>11599</v>
      </c>
      <c r="H74" s="170">
        <f>D136</f>
        <v>12199</v>
      </c>
      <c r="I74" s="170">
        <f>E136</f>
        <v>12774</v>
      </c>
      <c r="J74" s="170">
        <f>F136</f>
        <v>13324</v>
      </c>
      <c r="K74" s="170">
        <f t="shared" ref="K74" si="30">G136</f>
        <v>13849</v>
      </c>
      <c r="N74" s="163" t="s">
        <v>366</v>
      </c>
    </row>
    <row r="75" spans="1:14">
      <c r="A75" t="s">
        <v>285</v>
      </c>
      <c r="B75">
        <f t="shared" si="29"/>
        <v>14029</v>
      </c>
      <c r="C75">
        <f t="shared" si="29"/>
        <v>14567</v>
      </c>
      <c r="D75">
        <f t="shared" si="29"/>
        <v>15694</v>
      </c>
      <c r="E75">
        <f t="shared" si="29"/>
        <v>16215</v>
      </c>
      <c r="F75">
        <f t="shared" si="29"/>
        <v>16505</v>
      </c>
      <c r="G75" s="170">
        <f>C141</f>
        <v>17666</v>
      </c>
      <c r="H75" s="170">
        <f>D141</f>
        <v>18666</v>
      </c>
      <c r="I75" s="170">
        <f>E141</f>
        <v>19616</v>
      </c>
      <c r="J75" s="170">
        <f>F141</f>
        <v>20566</v>
      </c>
      <c r="K75" s="170">
        <f t="shared" ref="K75" si="31">G141</f>
        <v>21516</v>
      </c>
      <c r="N75" s="163" t="s">
        <v>367</v>
      </c>
    </row>
    <row r="76" spans="1:14">
      <c r="A76" s="3" t="s">
        <v>327</v>
      </c>
      <c r="N76" s="163"/>
    </row>
    <row r="77" spans="1:14">
      <c r="A77" t="s">
        <v>328</v>
      </c>
      <c r="B77" s="154">
        <f>B18/B17</f>
        <v>-0.48981834268019464</v>
      </c>
      <c r="C77" s="154">
        <f t="shared" ref="C77:F77" si="32">C18/C17</f>
        <v>-0.49397542344735967</v>
      </c>
      <c r="D77" s="154">
        <f t="shared" si="32"/>
        <v>-0.49521234371899187</v>
      </c>
      <c r="E77" s="154">
        <f t="shared" si="32"/>
        <v>-0.5083480465926461</v>
      </c>
      <c r="F77" s="154">
        <f t="shared" si="32"/>
        <v>-0.52475405720024648</v>
      </c>
      <c r="G77" s="154">
        <f>AVERAGE(B77:F77)</f>
        <v>-0.5024216427278877</v>
      </c>
      <c r="H77" s="154">
        <v>-0.5024216427278877</v>
      </c>
      <c r="I77" s="154">
        <v>-0.5024216427278877</v>
      </c>
      <c r="J77" s="154">
        <v>-0.5024216427278877</v>
      </c>
      <c r="K77" s="154">
        <v>-0.5024216427278877</v>
      </c>
      <c r="N77" s="163" t="s">
        <v>368</v>
      </c>
    </row>
    <row r="78" spans="1:14">
      <c r="A78" s="3" t="s">
        <v>329</v>
      </c>
      <c r="N78" s="163"/>
    </row>
    <row r="79" spans="1:14">
      <c r="A79" t="s">
        <v>330</v>
      </c>
      <c r="N79" s="163"/>
    </row>
    <row r="80" spans="1:14">
      <c r="A80" t="s">
        <v>331</v>
      </c>
      <c r="B80">
        <f>B21</f>
        <v>15383</v>
      </c>
      <c r="C80">
        <f t="shared" ref="C80:F80" si="33">C21</f>
        <v>16613</v>
      </c>
      <c r="D80">
        <f t="shared" si="33"/>
        <v>17347</v>
      </c>
      <c r="E80">
        <f t="shared" si="33"/>
        <v>17115</v>
      </c>
      <c r="F80">
        <f t="shared" si="33"/>
        <v>16453</v>
      </c>
      <c r="G80" s="170">
        <f>C147</f>
        <v>15753</v>
      </c>
      <c r="H80" s="170">
        <f>D147</f>
        <v>15103</v>
      </c>
      <c r="I80" s="170">
        <f>E147</f>
        <v>14503</v>
      </c>
      <c r="J80" s="170">
        <f>F147</f>
        <v>14003</v>
      </c>
      <c r="K80" s="170">
        <f>G147</f>
        <v>13603</v>
      </c>
      <c r="N80" s="163" t="s">
        <v>369</v>
      </c>
    </row>
    <row r="81" spans="1:14">
      <c r="A81" t="s">
        <v>332</v>
      </c>
      <c r="N81" s="164" t="s">
        <v>370</v>
      </c>
    </row>
    <row r="82" spans="1:14">
      <c r="A82" t="s">
        <v>333</v>
      </c>
      <c r="B82" s="154">
        <f>B23/'Income statement'!B5</f>
        <v>4.8476041877583108E-2</v>
      </c>
      <c r="C82" s="154">
        <f>C23/'Income statement'!C5</f>
        <v>4.6849602190093251E-2</v>
      </c>
      <c r="D82" s="154">
        <f>D23/'Income statement'!D5</f>
        <v>4.4955909267372855E-2</v>
      </c>
      <c r="E82" s="154">
        <f>E23/'Income statement'!E5</f>
        <v>4.3002292087167736E-2</v>
      </c>
      <c r="F82" s="154">
        <f>F23/'Income statement'!F5</f>
        <v>5.1668448468029933E-2</v>
      </c>
      <c r="G82" s="155">
        <f>AVERAGE(B82:F82)</f>
        <v>4.6990458778049374E-2</v>
      </c>
      <c r="H82" s="155">
        <f>$G$82</f>
        <v>4.6990458778049374E-2</v>
      </c>
      <c r="I82" s="155">
        <f t="shared" ref="I82:K82" si="34">$G$82</f>
        <v>4.6990458778049374E-2</v>
      </c>
      <c r="J82" s="155">
        <f t="shared" si="34"/>
        <v>4.6990458778049374E-2</v>
      </c>
      <c r="K82" s="155">
        <f t="shared" si="34"/>
        <v>4.6990458778049374E-2</v>
      </c>
      <c r="N82" s="164" t="s">
        <v>494</v>
      </c>
    </row>
    <row r="83" spans="1:14">
      <c r="A83" s="3" t="s">
        <v>334</v>
      </c>
      <c r="N83" s="163"/>
    </row>
    <row r="84" spans="1:14">
      <c r="A84" s="4" t="s">
        <v>335</v>
      </c>
      <c r="N84" s="163"/>
    </row>
    <row r="85" spans="1:14">
      <c r="A85" t="s">
        <v>336</v>
      </c>
      <c r="N85" s="163"/>
    </row>
    <row r="86" spans="1:14">
      <c r="A86" t="s">
        <v>337</v>
      </c>
      <c r="N86" s="163"/>
    </row>
    <row r="87" spans="1:14">
      <c r="A87" t="s">
        <v>338</v>
      </c>
      <c r="B87" s="168">
        <v>146</v>
      </c>
      <c r="C87" s="168">
        <v>82</v>
      </c>
      <c r="D87" s="168">
        <v>126</v>
      </c>
      <c r="E87" s="168">
        <v>68</v>
      </c>
      <c r="F87" s="168">
        <v>1428</v>
      </c>
      <c r="G87" s="168">
        <f>'Debt schedule'!G8</f>
        <v>1371</v>
      </c>
      <c r="H87" s="168">
        <f>'Debt schedule'!H8</f>
        <v>1476</v>
      </c>
      <c r="I87" s="168">
        <f>'Debt schedule'!I8</f>
        <v>552</v>
      </c>
      <c r="J87" s="168">
        <f>'Debt schedule'!J8</f>
        <v>1135</v>
      </c>
      <c r="K87" s="168">
        <f>'Debt schedule'!K8</f>
        <v>1802</v>
      </c>
      <c r="N87" s="163" t="s">
        <v>371</v>
      </c>
    </row>
    <row r="88" spans="1:14">
      <c r="A88" t="s">
        <v>339</v>
      </c>
      <c r="B88" s="176">
        <f>B29/'Income statement'!B7</f>
        <v>9.6211845027010898E-2</v>
      </c>
      <c r="C88" s="176">
        <f>C29/'Income statement'!C7</f>
        <v>7.895065194335267E-2</v>
      </c>
      <c r="D88" s="176">
        <f>D29/'Income statement'!D7</f>
        <v>7.9789806247783618E-2</v>
      </c>
      <c r="E88" s="176">
        <f>E29/'Income statement'!E7</f>
        <v>8.6334420722844876E-2</v>
      </c>
      <c r="F88" s="176">
        <f>F29/'Income statement'!F7</f>
        <v>8.7442366803278687E-2</v>
      </c>
      <c r="G88" s="177">
        <f>AVERAGE(B88:F88)</f>
        <v>8.5745818148854153E-2</v>
      </c>
      <c r="H88" s="177">
        <f>+$G$88</f>
        <v>8.5745818148854153E-2</v>
      </c>
      <c r="I88" s="177">
        <f>+$G$88</f>
        <v>8.5745818148854153E-2</v>
      </c>
      <c r="J88" s="177">
        <f>+$G$88</f>
        <v>8.5745818148854153E-2</v>
      </c>
      <c r="K88" s="177">
        <f>+$G$88</f>
        <v>8.5745818148854153E-2</v>
      </c>
      <c r="N88" s="163" t="s">
        <v>372</v>
      </c>
    </row>
    <row r="89" spans="1:14">
      <c r="A89" t="s">
        <v>340</v>
      </c>
      <c r="B89" s="176">
        <f>B30/'Income statement'!B16</f>
        <v>4.9179278379554943E-2</v>
      </c>
      <c r="C89" s="176">
        <f>C30/'Income statement'!C16</f>
        <v>4.6180113903308236E-2</v>
      </c>
      <c r="D89" s="176">
        <f>D30/'Income statement'!D16</f>
        <v>4.5141536548455589E-2</v>
      </c>
      <c r="E89" s="176">
        <f>E30/'Income statement'!E16</f>
        <v>3.8826795237051646E-2</v>
      </c>
      <c r="F89" s="176">
        <f>F30/'Income statement'!F16</f>
        <v>4.4638431125995963E-2</v>
      </c>
      <c r="G89" s="176">
        <v>4.4999999999999998E-2</v>
      </c>
      <c r="H89" s="176">
        <v>4.4999999999999998E-2</v>
      </c>
      <c r="I89" s="176">
        <v>4.4999999999999998E-2</v>
      </c>
      <c r="J89" s="176">
        <v>4.4999999999999998E-2</v>
      </c>
      <c r="K89" s="176">
        <v>4.4999999999999998E-2</v>
      </c>
      <c r="N89" s="164" t="s">
        <v>373</v>
      </c>
    </row>
    <row r="90" spans="1:14">
      <c r="A90" t="s">
        <v>341</v>
      </c>
      <c r="B90" s="176">
        <f>B31/(B31+B39)</f>
        <v>0.14169287043573126</v>
      </c>
      <c r="C90" s="176">
        <f t="shared" ref="C90:F90" si="35">C31/(C31+C39)</f>
        <v>0.14430005906674542</v>
      </c>
      <c r="D90" s="176">
        <f t="shared" si="35"/>
        <v>0.13462513378020616</v>
      </c>
      <c r="E90" s="176">
        <f t="shared" si="35"/>
        <v>0.14061429550125598</v>
      </c>
      <c r="F90" s="176">
        <f t="shared" si="35"/>
        <v>0.15234305398824019</v>
      </c>
      <c r="G90" s="154">
        <f>0.15</f>
        <v>0.15</v>
      </c>
      <c r="H90" s="154">
        <f t="shared" ref="H90:K90" si="36">0.15</f>
        <v>0.15</v>
      </c>
      <c r="I90" s="154">
        <f t="shared" si="36"/>
        <v>0.15</v>
      </c>
      <c r="J90" s="154">
        <f t="shared" si="36"/>
        <v>0.15</v>
      </c>
      <c r="K90" s="154">
        <f t="shared" si="36"/>
        <v>0.15</v>
      </c>
      <c r="N90" s="164" t="s">
        <v>374</v>
      </c>
    </row>
    <row r="91" spans="1:14">
      <c r="A91" t="s">
        <v>342</v>
      </c>
      <c r="B91" s="176">
        <f>B32/'Income statement'!B16</f>
        <v>5.8410796138383139E-2</v>
      </c>
      <c r="C91" s="176">
        <f>C32/'Income statement'!C16</f>
        <v>5.9449734722174477E-2</v>
      </c>
      <c r="D91" s="176">
        <f>D32/'Income statement'!D16</f>
        <v>5.5687857067442489E-2</v>
      </c>
      <c r="E91" s="176">
        <f>E32/'Income statement'!E16</f>
        <v>6.0413470669880925E-2</v>
      </c>
      <c r="F91" s="176">
        <f>F32/'Income statement'!F16</f>
        <v>6.0392460312662467E-2</v>
      </c>
      <c r="G91" s="177">
        <f>AVERAGE(B91:F91)</f>
        <v>5.8870863782108693E-2</v>
      </c>
      <c r="H91" s="176">
        <v>5.8870863782108693E-2</v>
      </c>
      <c r="I91" s="176">
        <v>5.8870863782108693E-2</v>
      </c>
      <c r="J91" s="176">
        <v>5.8870863782108693E-2</v>
      </c>
      <c r="K91" s="176">
        <v>5.8870863782108693E-2</v>
      </c>
      <c r="N91" s="164" t="s">
        <v>375</v>
      </c>
    </row>
    <row r="92" spans="1:14">
      <c r="A92" s="3" t="s">
        <v>343</v>
      </c>
      <c r="N92" s="163"/>
    </row>
    <row r="93" spans="1:14">
      <c r="A93" t="s">
        <v>376</v>
      </c>
      <c r="B93">
        <f>B34</f>
        <v>20733</v>
      </c>
      <c r="C93">
        <f t="shared" ref="C93:F93" si="37">C34</f>
        <v>20182</v>
      </c>
      <c r="D93">
        <f t="shared" si="37"/>
        <v>20453</v>
      </c>
      <c r="E93">
        <f t="shared" si="37"/>
        <v>20135</v>
      </c>
      <c r="F93">
        <f t="shared" si="37"/>
        <v>19151</v>
      </c>
      <c r="G93" s="158">
        <f>SUM(G7:G9,G19,G21:G23)*G175</f>
        <v>23834.05406916908</v>
      </c>
      <c r="H93" s="158">
        <f>SUM(H7:H9,H19,H21:H23)*H175</f>
        <v>25229.895608647486</v>
      </c>
      <c r="I93" s="158">
        <f>SUM(I7:I9,I19,I21:I23)*I175</f>
        <v>26700.963346225992</v>
      </c>
      <c r="J93" s="158">
        <f>SUM(J7:J9,J19,J21:J23)*J175</f>
        <v>27308.1304886814</v>
      </c>
      <c r="K93" s="158">
        <f>SUM(K7:K9,K19,K21:K23)*K175</f>
        <v>27946.434087463353</v>
      </c>
      <c r="N93" s="163"/>
    </row>
    <row r="94" spans="1:14">
      <c r="A94" t="s">
        <v>345</v>
      </c>
      <c r="N94" s="163"/>
    </row>
    <row r="95" spans="1:14">
      <c r="A95" t="s">
        <v>346</v>
      </c>
      <c r="B95" s="176">
        <f>B36/B19</f>
        <v>0.10984000895054823</v>
      </c>
      <c r="C95" s="176">
        <f t="shared" ref="C95:F95" si="38">C36/C19</f>
        <v>0.1074532041689638</v>
      </c>
      <c r="D95" s="176">
        <f t="shared" si="38"/>
        <v>0.11030026045505922</v>
      </c>
      <c r="E95" s="176">
        <f t="shared" si="38"/>
        <v>0.10802342676725073</v>
      </c>
      <c r="F95" s="176">
        <f t="shared" si="38"/>
        <v>0.10097978002977763</v>
      </c>
      <c r="G95" s="177">
        <f>AVERAGE(B95:F95)</f>
        <v>0.10731933607431991</v>
      </c>
      <c r="H95" s="177">
        <f>AVERAGE(C95:G95)</f>
        <v>0.10681520149907427</v>
      </c>
      <c r="I95" s="177">
        <f>AVERAGE(D95:H95)</f>
        <v>0.10668760096509636</v>
      </c>
      <c r="J95" s="177">
        <f>AVERAGE(E95:I95)</f>
        <v>0.10596506906710376</v>
      </c>
      <c r="K95" s="177">
        <f>AVERAGE(F95:J95)</f>
        <v>0.10555339752707441</v>
      </c>
      <c r="N95" s="163" t="s">
        <v>377</v>
      </c>
    </row>
    <row r="96" spans="1:14">
      <c r="A96" t="s">
        <v>347</v>
      </c>
      <c r="B96">
        <f>B37</f>
        <v>3501</v>
      </c>
      <c r="C96">
        <f t="shared" ref="C96:F96" si="39">C37</f>
        <v>4448</v>
      </c>
      <c r="D96">
        <f t="shared" si="39"/>
        <v>3130</v>
      </c>
      <c r="E96">
        <f t="shared" si="39"/>
        <v>2010</v>
      </c>
      <c r="F96">
        <f t="shared" si="39"/>
        <v>1698</v>
      </c>
      <c r="G96">
        <f>1897</f>
        <v>1897</v>
      </c>
      <c r="H96">
        <v>1939</v>
      </c>
      <c r="I96">
        <v>2000</v>
      </c>
      <c r="J96">
        <v>2063</v>
      </c>
      <c r="K96">
        <v>2137</v>
      </c>
      <c r="N96" s="164" t="s">
        <v>378</v>
      </c>
    </row>
    <row r="97" spans="1:14">
      <c r="A97" t="s">
        <v>348</v>
      </c>
      <c r="B97" s="176">
        <f>B38/'Income statement'!B16</f>
        <v>3.1113159714219865E-2</v>
      </c>
      <c r="C97" s="176">
        <f>C38/'Income statement'!C16</f>
        <v>3.3105297535150742E-2</v>
      </c>
      <c r="D97" s="176">
        <f>D38/'Income statement'!D16</f>
        <v>3.9170371760731085E-2</v>
      </c>
      <c r="E97" s="176">
        <f>E38/'Income statement'!E16</f>
        <v>4.5060510872476686E-2</v>
      </c>
      <c r="F97" s="176">
        <f>F38/'Income statement'!F16</f>
        <v>4.8761319808001545E-2</v>
      </c>
      <c r="G97" s="177">
        <f>F97-E97+F97</f>
        <v>5.2462128743526404E-2</v>
      </c>
      <c r="H97" s="177">
        <f>G97-F97+G97</f>
        <v>5.6162937679051263E-2</v>
      </c>
      <c r="I97" s="177">
        <f t="shared" ref="I97:K97" si="40">H97-G97+H97</f>
        <v>5.9863746614576122E-2</v>
      </c>
      <c r="J97" s="177">
        <f t="shared" si="40"/>
        <v>6.3564555550100987E-2</v>
      </c>
      <c r="K97" s="177">
        <f t="shared" si="40"/>
        <v>6.7265364485625853E-2</v>
      </c>
      <c r="N97" s="164" t="s">
        <v>379</v>
      </c>
    </row>
    <row r="98" spans="1:14">
      <c r="A98" t="s">
        <v>341</v>
      </c>
      <c r="B98" s="154">
        <f>B39/(B39+B31)</f>
        <v>0.8583071295642688</v>
      </c>
      <c r="C98" s="154">
        <f t="shared" ref="C98:F98" si="41">C39/(C39+C31)</f>
        <v>0.85569994093325463</v>
      </c>
      <c r="D98" s="154">
        <f t="shared" si="41"/>
        <v>0.86537486621979387</v>
      </c>
      <c r="E98" s="154">
        <f t="shared" si="41"/>
        <v>0.85938570449874396</v>
      </c>
      <c r="F98" s="154">
        <f t="shared" si="41"/>
        <v>0.84765694601175978</v>
      </c>
      <c r="G98" s="154">
        <v>0.85</v>
      </c>
      <c r="H98" s="154">
        <v>0.85</v>
      </c>
      <c r="I98" s="154">
        <v>0.85</v>
      </c>
      <c r="J98" s="154">
        <v>0.85</v>
      </c>
      <c r="K98" s="154">
        <v>0.85</v>
      </c>
      <c r="N98" s="164" t="s">
        <v>380</v>
      </c>
    </row>
    <row r="99" spans="1:14">
      <c r="A99" t="s">
        <v>349</v>
      </c>
      <c r="B99" s="154">
        <f>B40/'Income statement'!B5</f>
        <v>1.170809561809931E-2</v>
      </c>
      <c r="C99" s="154">
        <f>C40/'Income statement'!C5</f>
        <v>7.2931816237488236E-3</v>
      </c>
      <c r="D99" s="154">
        <f>D40/'Income statement'!D5</f>
        <v>7.7089457046198217E-3</v>
      </c>
      <c r="E99" s="154">
        <f>E40/'Income statement'!E5</f>
        <v>7.8569555152634765E-3</v>
      </c>
      <c r="F99" s="154">
        <f>F40/'Income statement'!F5</f>
        <v>8.9052157496076253E-3</v>
      </c>
      <c r="G99" s="155">
        <f>AVERAGE(B99:F99)</f>
        <v>8.6944788422678131E-3</v>
      </c>
      <c r="H99" s="155">
        <f>$G$99</f>
        <v>8.6944788422678131E-3</v>
      </c>
      <c r="I99" s="155">
        <f t="shared" ref="I99:K99" si="42">$G$99</f>
        <v>8.6944788422678131E-3</v>
      </c>
      <c r="J99" s="155">
        <f t="shared" si="42"/>
        <v>8.6944788422678131E-3</v>
      </c>
      <c r="K99" s="155">
        <f t="shared" si="42"/>
        <v>8.6944788422678131E-3</v>
      </c>
      <c r="N99" s="164" t="s">
        <v>494</v>
      </c>
    </row>
    <row r="100" spans="1:14">
      <c r="A100" t="s">
        <v>350</v>
      </c>
      <c r="N100" s="163"/>
    </row>
    <row r="101" spans="1:14">
      <c r="A101" t="s">
        <v>351</v>
      </c>
      <c r="N101" s="163"/>
    </row>
    <row r="102" spans="1:14">
      <c r="A102" t="s">
        <v>352</v>
      </c>
      <c r="N102" s="164" t="s">
        <v>381</v>
      </c>
    </row>
    <row r="103" spans="1:14">
      <c r="A103" t="s">
        <v>353</v>
      </c>
      <c r="C103">
        <f>C44-B44</f>
        <v>231</v>
      </c>
      <c r="D103">
        <f t="shared" ref="D103:F103" si="43">D44-C44</f>
        <v>57</v>
      </c>
      <c r="E103">
        <f t="shared" si="43"/>
        <v>219</v>
      </c>
      <c r="F103">
        <f t="shared" si="43"/>
        <v>302</v>
      </c>
      <c r="G103">
        <f>AVERAGE(C103:F103)</f>
        <v>202.25</v>
      </c>
      <c r="H103">
        <f>+$G$103</f>
        <v>202.25</v>
      </c>
      <c r="I103">
        <f>+$G$103</f>
        <v>202.25</v>
      </c>
      <c r="J103">
        <f>+$G$103</f>
        <v>202.25</v>
      </c>
      <c r="K103">
        <f>+$G$103</f>
        <v>202.25</v>
      </c>
      <c r="N103" s="164" t="s">
        <v>382</v>
      </c>
    </row>
    <row r="104" spans="1:14">
      <c r="A104" t="s">
        <v>354</v>
      </c>
      <c r="N104" s="163"/>
    </row>
    <row r="105" spans="1:14">
      <c r="A105" t="s">
        <v>355</v>
      </c>
      <c r="N105" s="164" t="s">
        <v>383</v>
      </c>
    </row>
    <row r="106" spans="1:14">
      <c r="A106" t="s">
        <v>356</v>
      </c>
      <c r="N106" s="164" t="s">
        <v>384</v>
      </c>
    </row>
    <row r="107" spans="1:14">
      <c r="A107" t="s">
        <v>357</v>
      </c>
    </row>
    <row r="108" spans="1:14">
      <c r="A108" s="4" t="s">
        <v>358</v>
      </c>
    </row>
    <row r="115" spans="1:19">
      <c r="A115" s="2" t="s">
        <v>281</v>
      </c>
    </row>
    <row r="116" spans="1:19">
      <c r="A116" s="332" t="s">
        <v>269</v>
      </c>
      <c r="B116" s="333" t="s">
        <v>385</v>
      </c>
      <c r="C116" s="333" t="s">
        <v>122</v>
      </c>
      <c r="D116" s="333" t="s">
        <v>123</v>
      </c>
      <c r="E116" s="333" t="s">
        <v>124</v>
      </c>
      <c r="F116" s="333" t="s">
        <v>125</v>
      </c>
      <c r="G116" s="334" t="s">
        <v>126</v>
      </c>
    </row>
    <row r="117" spans="1:19">
      <c r="A117" s="338" t="s">
        <v>386</v>
      </c>
      <c r="B117" s="172" t="s">
        <v>387</v>
      </c>
      <c r="C117" s="173">
        <v>31584</v>
      </c>
      <c r="D117" s="173">
        <f>C119</f>
        <v>32473</v>
      </c>
      <c r="E117" s="173">
        <f t="shared" ref="E117:F117" si="44">D119</f>
        <v>33587</v>
      </c>
      <c r="F117" s="173">
        <f t="shared" si="44"/>
        <v>34701</v>
      </c>
      <c r="G117" s="182">
        <f>F119</f>
        <v>35815</v>
      </c>
    </row>
    <row r="118" spans="1:19">
      <c r="A118" s="338" t="s">
        <v>388</v>
      </c>
      <c r="B118" s="172" t="s">
        <v>387</v>
      </c>
      <c r="C118" s="172">
        <f>CapEx!F10</f>
        <v>889</v>
      </c>
      <c r="D118" s="172">
        <f>CapEx!G10</f>
        <v>1114</v>
      </c>
      <c r="E118" s="172">
        <f>CapEx!H10</f>
        <v>1114</v>
      </c>
      <c r="F118" s="172">
        <f>CapEx!I10</f>
        <v>1114</v>
      </c>
      <c r="G118" s="183">
        <f>CapEx!J10</f>
        <v>1114</v>
      </c>
      <c r="H118" t="s">
        <v>389</v>
      </c>
      <c r="M118" s="467" t="s">
        <v>269</v>
      </c>
      <c r="N118" s="466" t="s">
        <v>509</v>
      </c>
      <c r="O118" s="464"/>
    </row>
    <row r="119" spans="1:19">
      <c r="A119" s="355" t="s">
        <v>390</v>
      </c>
      <c r="B119" s="350">
        <v>31584</v>
      </c>
      <c r="C119" s="350">
        <f>SUM(C117:C118)</f>
        <v>32473</v>
      </c>
      <c r="D119" s="350">
        <f>SUM(D117:D118)</f>
        <v>33587</v>
      </c>
      <c r="E119" s="350">
        <f>SUM(E117:E118)</f>
        <v>34701</v>
      </c>
      <c r="F119" s="350">
        <f>SUM(F117:F118)</f>
        <v>35815</v>
      </c>
      <c r="G119" s="351">
        <f>SUM(G117:G118)</f>
        <v>36929</v>
      </c>
      <c r="M119" s="467"/>
      <c r="N119" s="466"/>
      <c r="O119" s="464"/>
    </row>
    <row r="120" spans="1:19">
      <c r="A120" s="184"/>
      <c r="B120" s="173"/>
      <c r="C120" s="172"/>
      <c r="D120" s="172"/>
      <c r="E120" s="173"/>
      <c r="F120" s="174"/>
      <c r="G120" s="178"/>
      <c r="J120" s="170"/>
      <c r="M120" s="450" t="s">
        <v>385</v>
      </c>
      <c r="N120" s="451" t="s">
        <v>510</v>
      </c>
      <c r="O120" s="451" t="s">
        <v>511</v>
      </c>
    </row>
    <row r="121" spans="1:19">
      <c r="A121" s="2" t="s">
        <v>282</v>
      </c>
      <c r="G121" s="178"/>
      <c r="M121" s="450" t="s">
        <v>122</v>
      </c>
      <c r="N121" s="451" t="s">
        <v>512</v>
      </c>
      <c r="O121" s="451" t="s">
        <v>513</v>
      </c>
    </row>
    <row r="122" spans="1:19">
      <c r="A122" s="335" t="s">
        <v>269</v>
      </c>
      <c r="B122" s="336" t="s">
        <v>385</v>
      </c>
      <c r="C122" s="336" t="s">
        <v>122</v>
      </c>
      <c r="D122" s="336" t="s">
        <v>123</v>
      </c>
      <c r="E122" s="336" t="s">
        <v>124</v>
      </c>
      <c r="F122" s="336" t="s">
        <v>125</v>
      </c>
      <c r="G122" s="337" t="s">
        <v>126</v>
      </c>
      <c r="M122" s="450" t="s">
        <v>123</v>
      </c>
      <c r="N122" s="451" t="s">
        <v>519</v>
      </c>
      <c r="O122" s="451" t="s">
        <v>515</v>
      </c>
      <c r="P122" s="171"/>
      <c r="Q122" s="171"/>
      <c r="R122" s="171"/>
      <c r="S122" s="171"/>
    </row>
    <row r="123" spans="1:19">
      <c r="A123" s="338" t="s">
        <v>386</v>
      </c>
      <c r="B123" s="173">
        <v>18878</v>
      </c>
      <c r="C123" s="173">
        <v>18878</v>
      </c>
      <c r="D123" s="173">
        <f>C125</f>
        <v>20078</v>
      </c>
      <c r="E123" s="173">
        <f t="shared" ref="E123:F123" si="45">D125</f>
        <v>21328</v>
      </c>
      <c r="F123" s="173">
        <f t="shared" si="45"/>
        <v>22628</v>
      </c>
      <c r="G123" s="182">
        <f>F125</f>
        <v>23878</v>
      </c>
      <c r="M123" s="450" t="s">
        <v>124</v>
      </c>
      <c r="N123" s="451" t="s">
        <v>514</v>
      </c>
      <c r="O123" s="451" t="s">
        <v>516</v>
      </c>
      <c r="P123" s="172"/>
      <c r="Q123" s="172"/>
      <c r="R123" s="172"/>
      <c r="S123" s="174"/>
    </row>
    <row r="124" spans="1:19">
      <c r="A124" s="338" t="s">
        <v>391</v>
      </c>
      <c r="B124" s="172" t="s">
        <v>387</v>
      </c>
      <c r="C124" s="173">
        <f>CapEx!F11</f>
        <v>1200</v>
      </c>
      <c r="D124" s="173">
        <f>CapEx!G11</f>
        <v>1250</v>
      </c>
      <c r="E124" s="173">
        <f>CapEx!H11</f>
        <v>1300</v>
      </c>
      <c r="F124" s="173">
        <f>CapEx!I11</f>
        <v>1250</v>
      </c>
      <c r="G124" s="182">
        <f>CapEx!J11</f>
        <v>1250</v>
      </c>
      <c r="M124" s="450" t="s">
        <v>125</v>
      </c>
      <c r="N124" s="451" t="s">
        <v>520</v>
      </c>
      <c r="O124" s="451" t="s">
        <v>517</v>
      </c>
      <c r="P124" s="173"/>
      <c r="Q124" s="172"/>
      <c r="R124" s="173"/>
      <c r="S124" s="174"/>
    </row>
    <row r="125" spans="1:19">
      <c r="A125" s="355" t="s">
        <v>390</v>
      </c>
      <c r="B125" s="350">
        <v>18878</v>
      </c>
      <c r="C125" s="350">
        <f>SUM(C123:C124)</f>
        <v>20078</v>
      </c>
      <c r="D125" s="350">
        <f>SUM(D123:D124)</f>
        <v>21328</v>
      </c>
      <c r="E125" s="350">
        <f>SUM(E123:E124)</f>
        <v>22628</v>
      </c>
      <c r="F125" s="350">
        <f>SUM(F123:F124)</f>
        <v>23878</v>
      </c>
      <c r="G125" s="351">
        <f>SUM(G123:G124)</f>
        <v>25128</v>
      </c>
      <c r="M125" s="450" t="s">
        <v>126</v>
      </c>
      <c r="N125" s="451" t="s">
        <v>520</v>
      </c>
      <c r="O125" s="451" t="s">
        <v>518</v>
      </c>
      <c r="P125" s="173"/>
      <c r="Q125" s="172"/>
      <c r="R125" s="173"/>
      <c r="S125" s="174"/>
    </row>
    <row r="126" spans="1:19">
      <c r="A126" s="163"/>
      <c r="G126" s="178"/>
      <c r="I126" s="170"/>
      <c r="N126" s="172"/>
      <c r="O126" s="173"/>
      <c r="P126" s="173"/>
      <c r="Q126" s="172"/>
      <c r="R126" s="173"/>
      <c r="S126" s="174"/>
    </row>
    <row r="127" spans="1:19">
      <c r="A127" s="2" t="s">
        <v>283</v>
      </c>
      <c r="G127" s="178"/>
    </row>
    <row r="128" spans="1:19">
      <c r="A128" s="335" t="s">
        <v>269</v>
      </c>
      <c r="B128" s="336" t="s">
        <v>385</v>
      </c>
      <c r="C128" s="336" t="s">
        <v>122</v>
      </c>
      <c r="D128" s="336" t="s">
        <v>123</v>
      </c>
      <c r="E128" s="336" t="s">
        <v>124</v>
      </c>
      <c r="F128" s="336" t="s">
        <v>125</v>
      </c>
      <c r="G128" s="337" t="s">
        <v>126</v>
      </c>
    </row>
    <row r="129" spans="1:18">
      <c r="A129" s="338" t="s">
        <v>386</v>
      </c>
      <c r="B129" s="173">
        <v>9706</v>
      </c>
      <c r="C129" s="173">
        <f>B131</f>
        <v>9706</v>
      </c>
      <c r="D129" s="173">
        <f t="shared" ref="D129:F129" si="46">C131</f>
        <v>10306</v>
      </c>
      <c r="E129" s="173">
        <f t="shared" si="46"/>
        <v>10856</v>
      </c>
      <c r="F129" s="173">
        <f t="shared" si="46"/>
        <v>11381</v>
      </c>
      <c r="G129" s="182">
        <f>F131</f>
        <v>11881</v>
      </c>
      <c r="N129" s="171"/>
      <c r="O129" s="171"/>
      <c r="P129" s="171"/>
      <c r="Q129" s="171"/>
      <c r="R129" s="171"/>
    </row>
    <row r="130" spans="1:18">
      <c r="A130" s="338" t="s">
        <v>388</v>
      </c>
      <c r="B130" s="172" t="s">
        <v>387</v>
      </c>
      <c r="C130" s="172">
        <f>CapEx!F12</f>
        <v>600</v>
      </c>
      <c r="D130" s="172">
        <f>CapEx!G12</f>
        <v>550</v>
      </c>
      <c r="E130" s="172">
        <f>CapEx!H12</f>
        <v>525</v>
      </c>
      <c r="F130" s="172">
        <f>CapEx!I12</f>
        <v>500</v>
      </c>
      <c r="G130" s="183">
        <f>CapEx!J12</f>
        <v>475</v>
      </c>
      <c r="N130" s="172"/>
      <c r="O130" s="173"/>
      <c r="P130" s="172"/>
      <c r="Q130" s="172"/>
      <c r="R130" s="174"/>
    </row>
    <row r="131" spans="1:18">
      <c r="A131" s="355" t="s">
        <v>390</v>
      </c>
      <c r="B131" s="350">
        <v>9706</v>
      </c>
      <c r="C131" s="350">
        <f>SUM(C129:C130)</f>
        <v>10306</v>
      </c>
      <c r="D131" s="350">
        <f>SUM(D129:D130)</f>
        <v>10856</v>
      </c>
      <c r="E131" s="350">
        <f>SUM(E129:E130)</f>
        <v>11381</v>
      </c>
      <c r="F131" s="350">
        <f>SUM(F129:F130)</f>
        <v>11881</v>
      </c>
      <c r="G131" s="351">
        <f>SUM(G129:G130)</f>
        <v>12356</v>
      </c>
      <c r="I131" s="170">
        <f>C118+C124+C130+C135+C140</f>
        <v>4500</v>
      </c>
      <c r="J131" s="170">
        <f t="shared" ref="J131:M131" si="47">D118+D124+D130+D135+D140</f>
        <v>4514</v>
      </c>
      <c r="K131" s="170">
        <f t="shared" si="47"/>
        <v>4464</v>
      </c>
      <c r="L131" s="170">
        <f t="shared" si="47"/>
        <v>4364</v>
      </c>
      <c r="M131" s="170">
        <f t="shared" si="47"/>
        <v>4314</v>
      </c>
      <c r="N131" s="170"/>
      <c r="O131" s="173"/>
      <c r="P131" s="172"/>
      <c r="Q131" s="172"/>
      <c r="R131" s="174"/>
    </row>
    <row r="132" spans="1:18">
      <c r="A132" s="2" t="s">
        <v>284</v>
      </c>
      <c r="G132" s="178"/>
      <c r="L132" s="171"/>
      <c r="M132" s="171"/>
      <c r="N132" s="171"/>
      <c r="O132" s="171"/>
      <c r="P132" s="172"/>
      <c r="Q132" s="172"/>
      <c r="R132" s="174"/>
    </row>
    <row r="133" spans="1:18">
      <c r="A133" s="335" t="s">
        <v>269</v>
      </c>
      <c r="B133" s="336" t="s">
        <v>385</v>
      </c>
      <c r="C133" s="336" t="s">
        <v>122</v>
      </c>
      <c r="D133" s="336" t="s">
        <v>123</v>
      </c>
      <c r="E133" s="336" t="s">
        <v>124</v>
      </c>
      <c r="F133" s="336" t="s">
        <v>125</v>
      </c>
      <c r="G133" s="337" t="s">
        <v>126</v>
      </c>
      <c r="L133" s="173"/>
      <c r="M133" s="172"/>
      <c r="N133" s="172"/>
      <c r="O133" s="174"/>
      <c r="P133" s="172"/>
      <c r="Q133" s="172"/>
      <c r="R133" s="174"/>
    </row>
    <row r="134" spans="1:18">
      <c r="A134" s="338" t="s">
        <v>386</v>
      </c>
      <c r="B134" s="173">
        <v>10949</v>
      </c>
      <c r="C134" s="173">
        <f>B136</f>
        <v>10949</v>
      </c>
      <c r="D134" s="173">
        <f t="shared" ref="D134:F134" si="48">C136</f>
        <v>11599</v>
      </c>
      <c r="E134" s="173">
        <f t="shared" si="48"/>
        <v>12199</v>
      </c>
      <c r="F134" s="173">
        <f t="shared" si="48"/>
        <v>12774</v>
      </c>
      <c r="G134" s="182">
        <f>F136</f>
        <v>13324</v>
      </c>
      <c r="L134" s="173"/>
      <c r="M134" s="172"/>
      <c r="N134" s="173"/>
      <c r="O134" s="174"/>
      <c r="P134" s="172"/>
      <c r="Q134" s="172"/>
      <c r="R134" s="174"/>
    </row>
    <row r="135" spans="1:18">
      <c r="A135" s="338" t="s">
        <v>388</v>
      </c>
      <c r="B135" s="172" t="s">
        <v>387</v>
      </c>
      <c r="C135" s="172">
        <f>CapEx!F13</f>
        <v>650</v>
      </c>
      <c r="D135" s="172">
        <f>CapEx!G13</f>
        <v>600</v>
      </c>
      <c r="E135" s="172">
        <f>CapEx!H13</f>
        <v>575</v>
      </c>
      <c r="F135" s="172">
        <f>CapEx!I13</f>
        <v>550</v>
      </c>
      <c r="G135" s="183">
        <f>CapEx!J13</f>
        <v>525</v>
      </c>
      <c r="L135" s="173"/>
      <c r="M135" s="172"/>
      <c r="N135" s="172"/>
      <c r="O135" s="174"/>
    </row>
    <row r="136" spans="1:18">
      <c r="A136" s="355" t="s">
        <v>390</v>
      </c>
      <c r="B136" s="350">
        <v>10949</v>
      </c>
      <c r="C136" s="350">
        <f>SUM(C134:C135)</f>
        <v>11599</v>
      </c>
      <c r="D136" s="350">
        <f>SUM(D134:D135)</f>
        <v>12199</v>
      </c>
      <c r="E136" s="350">
        <f>SUM(E134:E135)</f>
        <v>12774</v>
      </c>
      <c r="F136" s="350">
        <f>SUM(F134:F135)</f>
        <v>13324</v>
      </c>
      <c r="G136" s="351">
        <f>SUM(G134:G135)</f>
        <v>13849</v>
      </c>
      <c r="L136" s="173"/>
      <c r="M136" s="172"/>
      <c r="N136" s="172"/>
      <c r="O136" s="174"/>
    </row>
    <row r="137" spans="1:18">
      <c r="A137" s="2" t="s">
        <v>285</v>
      </c>
      <c r="G137" s="178"/>
      <c r="L137" s="171"/>
      <c r="M137" s="171"/>
      <c r="N137" s="171"/>
      <c r="O137" s="171"/>
      <c r="P137" s="171"/>
    </row>
    <row r="138" spans="1:18">
      <c r="A138" s="335" t="s">
        <v>269</v>
      </c>
      <c r="B138" s="336" t="s">
        <v>385</v>
      </c>
      <c r="C138" s="336" t="s">
        <v>122</v>
      </c>
      <c r="D138" s="336" t="s">
        <v>123</v>
      </c>
      <c r="E138" s="336" t="s">
        <v>124</v>
      </c>
      <c r="F138" s="336" t="s">
        <v>125</v>
      </c>
      <c r="G138" s="337" t="s">
        <v>126</v>
      </c>
      <c r="L138" s="172"/>
      <c r="M138" s="173"/>
      <c r="N138" s="172"/>
      <c r="O138" s="172"/>
      <c r="P138" s="174"/>
    </row>
    <row r="139" spans="1:18">
      <c r="A139" s="338" t="s">
        <v>386</v>
      </c>
      <c r="B139" s="173">
        <v>16505</v>
      </c>
      <c r="C139" s="173">
        <f>B141</f>
        <v>16505</v>
      </c>
      <c r="D139" s="173">
        <f t="shared" ref="D139:F139" si="49">C141</f>
        <v>17666</v>
      </c>
      <c r="E139" s="173">
        <f t="shared" si="49"/>
        <v>18666</v>
      </c>
      <c r="F139" s="173">
        <f t="shared" si="49"/>
        <v>19616</v>
      </c>
      <c r="G139" s="182">
        <f>F141</f>
        <v>20566</v>
      </c>
      <c r="L139" s="172"/>
      <c r="M139" s="173"/>
      <c r="N139" s="173"/>
      <c r="O139" s="172"/>
      <c r="P139" s="174"/>
    </row>
    <row r="140" spans="1:18">
      <c r="A140" s="338" t="s">
        <v>388</v>
      </c>
      <c r="B140" s="172" t="s">
        <v>387</v>
      </c>
      <c r="C140" s="173">
        <f>CapEx!F14</f>
        <v>1161</v>
      </c>
      <c r="D140" s="173">
        <f>CapEx!G14</f>
        <v>1000</v>
      </c>
      <c r="E140" s="173">
        <f>CapEx!H14</f>
        <v>950</v>
      </c>
      <c r="F140" s="173">
        <f>CapEx!I14</f>
        <v>950</v>
      </c>
      <c r="G140" s="182">
        <f>CapEx!J14</f>
        <v>950</v>
      </c>
      <c r="L140" s="172"/>
      <c r="M140" s="173"/>
      <c r="N140" s="173"/>
      <c r="O140" s="172"/>
      <c r="P140" s="174"/>
    </row>
    <row r="141" spans="1:18">
      <c r="A141" s="354" t="s">
        <v>390</v>
      </c>
      <c r="B141" s="352">
        <v>16505</v>
      </c>
      <c r="C141" s="352">
        <f>SUM(C139:C140)</f>
        <v>17666</v>
      </c>
      <c r="D141" s="352">
        <f>SUM(D139:D140)</f>
        <v>18666</v>
      </c>
      <c r="E141" s="352">
        <f>SUM(E139:E140)</f>
        <v>19616</v>
      </c>
      <c r="F141" s="352">
        <f>SUM(F139:F140)</f>
        <v>20566</v>
      </c>
      <c r="G141" s="353">
        <f>SUM(G139:G140)</f>
        <v>21516</v>
      </c>
      <c r="L141" s="172"/>
      <c r="M141" s="173"/>
      <c r="N141" s="172"/>
      <c r="O141" s="172"/>
      <c r="P141" s="174"/>
    </row>
    <row r="142" spans="1:18">
      <c r="A142" s="180" t="s">
        <v>392</v>
      </c>
      <c r="L142" s="172"/>
      <c r="M142" s="173"/>
      <c r="N142" s="172"/>
      <c r="O142" s="172"/>
      <c r="P142" s="174"/>
    </row>
    <row r="143" spans="1:18">
      <c r="A143" s="340" t="s">
        <v>269</v>
      </c>
      <c r="B143" s="336" t="s">
        <v>385</v>
      </c>
      <c r="C143" s="336" t="s">
        <v>122</v>
      </c>
      <c r="D143" s="336" t="s">
        <v>123</v>
      </c>
      <c r="E143" s="336" t="s">
        <v>124</v>
      </c>
      <c r="F143" s="336" t="s">
        <v>125</v>
      </c>
      <c r="G143" s="336" t="s">
        <v>126</v>
      </c>
      <c r="L143" s="171"/>
      <c r="M143" s="171"/>
      <c r="N143" s="171"/>
      <c r="O143" s="171"/>
    </row>
    <row r="144" spans="1:18">
      <c r="A144" s="339" t="s">
        <v>386</v>
      </c>
      <c r="B144" s="173">
        <v>16453</v>
      </c>
      <c r="C144" s="173">
        <f>B147</f>
        <v>16453</v>
      </c>
      <c r="D144" s="173">
        <f t="shared" ref="D144:F144" si="50">C147</f>
        <v>15753</v>
      </c>
      <c r="E144" s="173">
        <f t="shared" si="50"/>
        <v>15103</v>
      </c>
      <c r="F144" s="173">
        <f t="shared" si="50"/>
        <v>14503</v>
      </c>
      <c r="G144" s="173">
        <f>F147</f>
        <v>14003</v>
      </c>
      <c r="J144" s="2" t="s">
        <v>492</v>
      </c>
      <c r="L144" s="173"/>
      <c r="M144" s="172"/>
      <c r="N144" s="172"/>
      <c r="O144" s="174"/>
    </row>
    <row r="145" spans="1:15">
      <c r="A145" s="339" t="s">
        <v>393</v>
      </c>
      <c r="B145" s="172" t="s">
        <v>387</v>
      </c>
      <c r="C145" s="173">
        <v>1900</v>
      </c>
      <c r="D145" s="173">
        <v>1900</v>
      </c>
      <c r="E145" s="173">
        <v>1900</v>
      </c>
      <c r="F145" s="173">
        <v>1900</v>
      </c>
      <c r="G145" s="173">
        <v>1900</v>
      </c>
      <c r="J145" t="s">
        <v>489</v>
      </c>
      <c r="L145" s="173"/>
      <c r="M145" s="173"/>
      <c r="N145" s="173"/>
      <c r="O145" s="174"/>
    </row>
    <row r="146" spans="1:15">
      <c r="A146" s="339" t="s">
        <v>394</v>
      </c>
      <c r="B146" s="172" t="s">
        <v>387</v>
      </c>
      <c r="C146" s="173">
        <v>-2600</v>
      </c>
      <c r="D146" s="173">
        <v>-2550</v>
      </c>
      <c r="E146" s="173">
        <v>-2500</v>
      </c>
      <c r="F146" s="173">
        <v>-2400</v>
      </c>
      <c r="G146" s="173">
        <v>-2300</v>
      </c>
      <c r="J146" t="s">
        <v>490</v>
      </c>
      <c r="L146" s="173"/>
      <c r="M146" s="173"/>
      <c r="N146" s="173"/>
      <c r="O146" s="174"/>
    </row>
    <row r="147" spans="1:15">
      <c r="A147" s="356" t="s">
        <v>390</v>
      </c>
      <c r="B147" s="350">
        <v>16453</v>
      </c>
      <c r="C147" s="350">
        <f>SUM(C144:C146)</f>
        <v>15753</v>
      </c>
      <c r="D147" s="350">
        <f t="shared" ref="D147:G147" si="51">SUM(D144:D146)</f>
        <v>15103</v>
      </c>
      <c r="E147" s="350">
        <f t="shared" si="51"/>
        <v>14503</v>
      </c>
      <c r="F147" s="350">
        <f t="shared" si="51"/>
        <v>14003</v>
      </c>
      <c r="G147" s="350">
        <f t="shared" si="51"/>
        <v>13603</v>
      </c>
      <c r="J147" t="s">
        <v>491</v>
      </c>
      <c r="L147" s="173"/>
      <c r="M147" s="173"/>
      <c r="N147" s="173"/>
      <c r="O147" s="174"/>
    </row>
    <row r="148" spans="1:15">
      <c r="J148" t="s">
        <v>493</v>
      </c>
      <c r="L148" s="173"/>
      <c r="M148" s="173"/>
      <c r="N148" s="173"/>
      <c r="O148" s="174"/>
    </row>
    <row r="149" spans="1:15">
      <c r="L149" s="173"/>
      <c r="M149" s="173"/>
      <c r="N149" s="173"/>
      <c r="O149" s="174"/>
    </row>
    <row r="150" spans="1:15">
      <c r="A150" s="171" t="s">
        <v>395</v>
      </c>
      <c r="B150" s="172" t="s">
        <v>385</v>
      </c>
      <c r="C150" s="172" t="s">
        <v>122</v>
      </c>
      <c r="D150" s="172" t="s">
        <v>123</v>
      </c>
      <c r="E150" s="172" t="s">
        <v>124</v>
      </c>
      <c r="F150" s="172" t="s">
        <v>125</v>
      </c>
      <c r="G150" s="172" t="s">
        <v>126</v>
      </c>
    </row>
    <row r="151" spans="1:15">
      <c r="B151">
        <v>214</v>
      </c>
      <c r="C151">
        <v>214</v>
      </c>
      <c r="D151">
        <v>171</v>
      </c>
      <c r="E151">
        <v>128</v>
      </c>
      <c r="F151">
        <v>85</v>
      </c>
      <c r="G151">
        <v>42</v>
      </c>
    </row>
    <row r="153" spans="1:15">
      <c r="A153" s="2" t="s">
        <v>354</v>
      </c>
    </row>
    <row r="154" spans="1:15">
      <c r="A154" s="332" t="s">
        <v>269</v>
      </c>
      <c r="B154" s="376"/>
      <c r="C154" s="376"/>
      <c r="D154" s="376"/>
      <c r="E154" s="376"/>
      <c r="F154" s="333" t="s">
        <v>385</v>
      </c>
      <c r="G154" s="333" t="s">
        <v>122</v>
      </c>
      <c r="H154" s="333" t="s">
        <v>123</v>
      </c>
      <c r="I154" s="333" t="s">
        <v>124</v>
      </c>
      <c r="J154" s="333" t="s">
        <v>125</v>
      </c>
      <c r="K154" s="334" t="s">
        <v>126</v>
      </c>
      <c r="L154" s="171"/>
      <c r="M154" s="171"/>
      <c r="N154" s="171"/>
    </row>
    <row r="155" spans="1:15">
      <c r="A155" s="181" t="s">
        <v>386</v>
      </c>
      <c r="F155" s="173">
        <v>41402</v>
      </c>
      <c r="G155" s="173">
        <v>41402</v>
      </c>
      <c r="H155" s="173">
        <f t="shared" ref="H155:J155" si="52">G161</f>
        <v>44985.783474223237</v>
      </c>
      <c r="I155" s="173">
        <f t="shared" si="52"/>
        <v>49426.141190488474</v>
      </c>
      <c r="J155" s="173">
        <f t="shared" si="52"/>
        <v>53820.277958601757</v>
      </c>
      <c r="K155" s="182">
        <f>J161</f>
        <v>58271.678985230188</v>
      </c>
      <c r="L155" s="173"/>
      <c r="M155" s="172"/>
      <c r="N155" s="174"/>
    </row>
    <row r="156" spans="1:15">
      <c r="A156" s="181" t="s">
        <v>396</v>
      </c>
      <c r="F156" s="173">
        <v>4092</v>
      </c>
      <c r="G156" s="173">
        <f>'Income statement'!H27</f>
        <v>4912.214417088323</v>
      </c>
      <c r="H156" s="173">
        <f>'Income statement'!I27</f>
        <v>5798.957783050444</v>
      </c>
      <c r="I156" s="173">
        <f>'Income statement'!J27</f>
        <v>5787.2821787065695</v>
      </c>
      <c r="J156" s="173">
        <f>'Income statement'!K27</f>
        <v>5883.6479534875252</v>
      </c>
      <c r="K156" s="182">
        <f>'Income statement'!L27</f>
        <v>5814.1306532332665</v>
      </c>
      <c r="L156" s="173"/>
      <c r="M156" s="172"/>
      <c r="N156" s="174"/>
    </row>
    <row r="157" spans="1:15">
      <c r="A157" s="181"/>
      <c r="F157" s="173"/>
      <c r="G157" s="173"/>
      <c r="H157" s="173"/>
      <c r="I157" s="173"/>
      <c r="J157" s="173"/>
      <c r="K157" s="182"/>
      <c r="L157" s="173"/>
      <c r="M157" s="172"/>
      <c r="N157" s="174"/>
    </row>
    <row r="158" spans="1:15">
      <c r="A158" s="181" t="s">
        <v>397</v>
      </c>
      <c r="F158" s="377">
        <f t="shared" ref="F158:K158" si="53">F159*F169</f>
        <v>1302.4741447199999</v>
      </c>
      <c r="G158" s="378">
        <f t="shared" si="53"/>
        <v>1328.4309428650909</v>
      </c>
      <c r="H158" s="378">
        <f t="shared" si="53"/>
        <v>1358.6000667852052</v>
      </c>
      <c r="I158" s="378">
        <f t="shared" si="53"/>
        <v>1393.1454105932858</v>
      </c>
      <c r="J158" s="378">
        <f t="shared" si="53"/>
        <v>1432.2469268590969</v>
      </c>
      <c r="K158" s="379">
        <f t="shared" si="53"/>
        <v>1476.1014317042827</v>
      </c>
      <c r="L158" s="173"/>
      <c r="M158" s="172"/>
      <c r="N158" s="174"/>
    </row>
    <row r="159" spans="1:15">
      <c r="A159" s="380" t="s">
        <v>398</v>
      </c>
      <c r="B159">
        <v>2.6</v>
      </c>
      <c r="C159">
        <v>3</v>
      </c>
      <c r="D159">
        <v>5.86</v>
      </c>
      <c r="E159">
        <v>3.78</v>
      </c>
      <c r="F159" s="172">
        <v>5.52</v>
      </c>
      <c r="G159" s="377">
        <f>F159*(1+G160)</f>
        <v>5.7959999999999994</v>
      </c>
      <c r="H159" s="377">
        <f>G159*(1+H160)</f>
        <v>6.0857999999999999</v>
      </c>
      <c r="I159" s="377">
        <f t="shared" ref="I159:K159" si="54">H159*(1+I160)</f>
        <v>6.3900899999999998</v>
      </c>
      <c r="J159" s="377">
        <f t="shared" si="54"/>
        <v>6.7095944999999997</v>
      </c>
      <c r="K159" s="381">
        <f t="shared" si="54"/>
        <v>7.0450742249999996</v>
      </c>
      <c r="L159" s="173"/>
      <c r="M159" s="172"/>
      <c r="N159" s="174"/>
    </row>
    <row r="160" spans="1:15">
      <c r="A160" s="380" t="s">
        <v>399</v>
      </c>
      <c r="C160" s="382">
        <f>C159/B159-1</f>
        <v>0.15384615384615374</v>
      </c>
      <c r="D160" s="382">
        <f t="shared" ref="D160:F160" si="55">D159/C159-1</f>
        <v>0.95333333333333337</v>
      </c>
      <c r="E160" s="382">
        <f t="shared" si="55"/>
        <v>-0.35494880546075092</v>
      </c>
      <c r="F160" s="382">
        <f t="shared" si="55"/>
        <v>0.46031746031746024</v>
      </c>
      <c r="G160" s="383">
        <v>0.05</v>
      </c>
      <c r="H160" s="383">
        <v>0.05</v>
      </c>
      <c r="I160" s="383">
        <v>0.05</v>
      </c>
      <c r="J160" s="383">
        <v>0.05</v>
      </c>
      <c r="K160" s="384">
        <v>0.05</v>
      </c>
      <c r="L160" s="173"/>
      <c r="M160" s="193"/>
      <c r="N160" s="174"/>
    </row>
    <row r="161" spans="1:19">
      <c r="A161" s="349" t="s">
        <v>390</v>
      </c>
      <c r="B161" s="347"/>
      <c r="C161" s="347"/>
      <c r="D161" s="347"/>
      <c r="E161" s="347"/>
      <c r="F161" s="350">
        <v>44894</v>
      </c>
      <c r="G161" s="350">
        <f>G155+G156-G158</f>
        <v>44985.783474223237</v>
      </c>
      <c r="H161" s="350">
        <f t="shared" ref="H161:K161" si="56">H155+H156-H158</f>
        <v>49426.141190488474</v>
      </c>
      <c r="I161" s="350">
        <f t="shared" si="56"/>
        <v>53820.277958601757</v>
      </c>
      <c r="J161" s="350">
        <f t="shared" si="56"/>
        <v>58271.678985230188</v>
      </c>
      <c r="K161" s="351">
        <f t="shared" si="56"/>
        <v>62609.708206759169</v>
      </c>
      <c r="L161" s="173"/>
      <c r="M161" s="172"/>
      <c r="N161" s="174"/>
    </row>
    <row r="162" spans="1:19">
      <c r="A162" s="163"/>
      <c r="G162" s="170">
        <f>G161-F161</f>
        <v>91.783474223237135</v>
      </c>
      <c r="K162" s="178"/>
      <c r="L162" s="173"/>
      <c r="M162" s="172"/>
      <c r="N162" s="174"/>
    </row>
    <row r="163" spans="1:19">
      <c r="A163" s="181" t="s">
        <v>400</v>
      </c>
      <c r="G163" s="186">
        <v>1.5</v>
      </c>
      <c r="H163" s="186">
        <v>1.55</v>
      </c>
      <c r="I163" s="186">
        <v>1.6</v>
      </c>
      <c r="J163" s="186">
        <v>1.65</v>
      </c>
      <c r="K163" s="385">
        <v>1.7</v>
      </c>
      <c r="M163" s="171"/>
      <c r="N163" s="172"/>
      <c r="O163" s="172"/>
      <c r="P163" s="172"/>
      <c r="Q163" s="172"/>
      <c r="R163" s="172"/>
      <c r="S163" s="172"/>
    </row>
    <row r="164" spans="1:19">
      <c r="A164" s="163"/>
      <c r="K164" s="178"/>
      <c r="M164" s="187"/>
      <c r="N164" s="186"/>
      <c r="O164" s="186"/>
      <c r="P164" s="186"/>
      <c r="Q164" s="186"/>
      <c r="R164" s="186"/>
      <c r="S164" s="186"/>
    </row>
    <row r="165" spans="1:19">
      <c r="A165" s="181" t="s">
        <v>401</v>
      </c>
      <c r="F165">
        <v>3000</v>
      </c>
      <c r="G165">
        <v>2500</v>
      </c>
      <c r="H165">
        <v>2500</v>
      </c>
      <c r="I165">
        <v>2500</v>
      </c>
      <c r="J165">
        <v>2500</v>
      </c>
      <c r="K165" s="178">
        <v>2500</v>
      </c>
      <c r="M165" s="187"/>
      <c r="N165" s="186"/>
      <c r="O165" s="186"/>
      <c r="P165" s="186"/>
      <c r="Q165" s="186"/>
      <c r="R165" s="186"/>
      <c r="S165" s="186"/>
    </row>
    <row r="166" spans="1:19">
      <c r="A166" s="181" t="s">
        <v>402</v>
      </c>
      <c r="C166" s="386"/>
      <c r="D166" s="386"/>
      <c r="E166" s="386"/>
      <c r="F166">
        <v>10.9</v>
      </c>
      <c r="G166" s="386">
        <f>G165/G167</f>
        <v>8.2575757575757578</v>
      </c>
      <c r="H166" s="386">
        <f t="shared" ref="H166" si="57">H165/H167</f>
        <v>7.5068870523415967</v>
      </c>
      <c r="I166" s="386">
        <f t="shared" ref="I166" si="58">I165/I167</f>
        <v>6.8244427748559966</v>
      </c>
      <c r="J166" s="386">
        <f t="shared" ref="J166" si="59">J165/J167</f>
        <v>6.2040388862327234</v>
      </c>
      <c r="K166" s="387">
        <f t="shared" ref="K166" si="60">K165/K167</f>
        <v>5.6400353511206571</v>
      </c>
      <c r="M166" s="187"/>
      <c r="N166" s="186"/>
      <c r="O166" s="186"/>
      <c r="P166" s="186"/>
      <c r="Q166" s="186"/>
      <c r="R166" s="186"/>
      <c r="S166" s="186"/>
    </row>
    <row r="167" spans="1:19">
      <c r="A167" s="181" t="s">
        <v>403</v>
      </c>
      <c r="C167" s="388"/>
      <c r="D167" s="388"/>
      <c r="E167" s="388"/>
      <c r="F167" s="388">
        <f>F165/F166</f>
        <v>275.22935779816515</v>
      </c>
      <c r="G167" s="388">
        <f>F167*1.1</f>
        <v>302.75229357798167</v>
      </c>
      <c r="H167" s="388">
        <f>G167*1.1</f>
        <v>333.02752293577987</v>
      </c>
      <c r="I167" s="388">
        <f t="shared" ref="I167:K167" si="61">H167*1.1</f>
        <v>366.33027522935788</v>
      </c>
      <c r="J167" s="388">
        <f t="shared" si="61"/>
        <v>402.96330275229371</v>
      </c>
      <c r="K167" s="389">
        <f t="shared" si="61"/>
        <v>443.25963302752314</v>
      </c>
      <c r="M167" s="187"/>
      <c r="N167" s="188"/>
      <c r="O167" s="188"/>
      <c r="P167" s="188"/>
      <c r="Q167" s="188"/>
      <c r="R167" s="188"/>
      <c r="S167" s="188"/>
    </row>
    <row r="168" spans="1:19">
      <c r="A168" s="163"/>
      <c r="K168" s="178"/>
      <c r="M168" s="187"/>
      <c r="N168" s="186"/>
      <c r="O168" s="186"/>
      <c r="P168" s="186"/>
      <c r="Q168" s="186"/>
      <c r="R168" s="186"/>
      <c r="S168" s="186"/>
    </row>
    <row r="169" spans="1:19">
      <c r="A169" s="185" t="s">
        <v>404</v>
      </c>
      <c r="B169" s="390"/>
      <c r="C169" s="391"/>
      <c r="D169" s="391"/>
      <c r="E169" s="391"/>
      <c r="F169" s="391">
        <v>235.95546100000001</v>
      </c>
      <c r="G169" s="391">
        <f>F169-G166+G163</f>
        <v>229.19788524242426</v>
      </c>
      <c r="H169" s="391">
        <f>G169+H163-H166</f>
        <v>223.24099819008268</v>
      </c>
      <c r="I169" s="391">
        <f>H169+I163-I166</f>
        <v>218.01655541522666</v>
      </c>
      <c r="J169" s="391">
        <f>I169+J163-J166</f>
        <v>213.46251652899394</v>
      </c>
      <c r="K169" s="392">
        <f>J169+K163-K166</f>
        <v>209.52248117787329</v>
      </c>
    </row>
    <row r="173" spans="1:19">
      <c r="A173" t="s">
        <v>344</v>
      </c>
    </row>
    <row r="174" spans="1:19">
      <c r="H174" s="171"/>
      <c r="I174" s="187"/>
      <c r="J174" s="187"/>
      <c r="K174" s="187"/>
      <c r="L174" s="187"/>
      <c r="M174" s="187"/>
      <c r="N174" s="187"/>
      <c r="O174" s="187"/>
    </row>
    <row r="175" spans="1:19">
      <c r="A175" t="s">
        <v>405</v>
      </c>
      <c r="B175" s="162">
        <f>B34/(SUM(B7:B9,B12:B16,B18,B21:B23))</f>
        <v>0.27391993658343244</v>
      </c>
      <c r="C175" s="162">
        <f>C34/(SUM(C7:C9,C12:C16,C18,C21:C23))</f>
        <v>0.25515506277102795</v>
      </c>
      <c r="D175" s="162">
        <f>D34/(SUM(D7:D9,D12:D16,D18,D21:D23))</f>
        <v>0.25474858943540052</v>
      </c>
      <c r="E175" s="162">
        <f>E34/(SUM(E7:E9,E12:E16,E18,E21:E23))</f>
        <v>0.25010558219263163</v>
      </c>
      <c r="F175" s="162">
        <f>F34/(SUM(F7:F9,F12:F16,F18,F21:F23))</f>
        <v>0.23319330289193302</v>
      </c>
      <c r="G175" s="154">
        <v>0.28000000000000003</v>
      </c>
      <c r="H175" s="154">
        <v>0.28999999999999998</v>
      </c>
      <c r="I175" s="154">
        <v>0.3</v>
      </c>
      <c r="J175" s="154">
        <v>0.3</v>
      </c>
      <c r="K175" s="154">
        <v>0.3</v>
      </c>
      <c r="L175" s="186"/>
      <c r="M175" s="186"/>
      <c r="N175" s="2" t="s">
        <v>406</v>
      </c>
      <c r="O175" s="186"/>
    </row>
    <row r="176" spans="1:19">
      <c r="H176" s="172"/>
      <c r="I176" s="189"/>
      <c r="J176" s="190"/>
      <c r="K176" s="186"/>
      <c r="L176" s="186"/>
      <c r="M176" s="186"/>
      <c r="N176" s="188"/>
      <c r="O176" s="186"/>
    </row>
    <row r="177" spans="1:15">
      <c r="A177" t="s">
        <v>407</v>
      </c>
      <c r="B177" s="162">
        <f>C28/C34</f>
        <v>4.0630264592210882E-3</v>
      </c>
      <c r="C177" s="162">
        <f t="shared" ref="C177:F177" si="62">D28/D34</f>
        <v>6.160465457390114E-3</v>
      </c>
      <c r="D177" s="162">
        <f t="shared" si="62"/>
        <v>3.3772038738515025E-3</v>
      </c>
      <c r="E177" s="162">
        <f t="shared" si="62"/>
        <v>7.4565296851339349E-2</v>
      </c>
      <c r="F177" s="162">
        <f t="shared" si="62"/>
        <v>6.2947658402203857E-2</v>
      </c>
      <c r="H177" s="172"/>
      <c r="I177" s="189"/>
      <c r="J177" s="190"/>
      <c r="K177" s="186"/>
      <c r="L177" s="186"/>
      <c r="M177" s="186"/>
      <c r="N177" s="188"/>
      <c r="O177" s="186"/>
    </row>
    <row r="178" spans="1:15">
      <c r="H178" s="172"/>
      <c r="I178" s="189"/>
      <c r="J178" s="190"/>
      <c r="K178" s="186"/>
      <c r="L178" s="186"/>
      <c r="M178" s="186"/>
      <c r="N178" s="188"/>
      <c r="O178" s="186"/>
    </row>
    <row r="179" spans="1:15">
      <c r="H179" s="172"/>
      <c r="I179" s="189"/>
      <c r="J179" s="190"/>
      <c r="K179" s="186"/>
      <c r="L179" s="186"/>
      <c r="M179" s="186"/>
      <c r="N179" s="188"/>
      <c r="O179" s="186"/>
    </row>
    <row r="180" spans="1:15">
      <c r="H180" s="172"/>
      <c r="I180" s="189"/>
      <c r="J180" s="190"/>
      <c r="K180" s="186"/>
      <c r="L180" s="186"/>
      <c r="M180" s="186"/>
      <c r="N180" s="188"/>
      <c r="O180" s="186"/>
    </row>
  </sheetData>
  <mergeCells count="3">
    <mergeCell ref="N118:N119"/>
    <mergeCell ref="M118:M119"/>
    <mergeCell ref="O118:O119"/>
  </mergeCells>
  <pageMargins left="0.7" right="0.7" top="0.75" bottom="0.75" header="0.3" footer="0.3"/>
  <pageSetup orientation="portrait" horizontalDpi="0" verticalDpi="0"/>
  <ignoredErrors>
    <ignoredError sqref="G31:K31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D0FC-F1A1-406F-8FAC-2FEFB7372332}">
  <dimension ref="A1:K62"/>
  <sheetViews>
    <sheetView zoomScale="8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47" sqref="C47"/>
    </sheetView>
  </sheetViews>
  <sheetFormatPr defaultColWidth="8.6640625" defaultRowHeight="14.4"/>
  <cols>
    <col min="1" max="1" width="46.6640625" customWidth="1"/>
    <col min="2" max="2" width="0" hidden="1" customWidth="1"/>
    <col min="3" max="3" width="13" bestFit="1" customWidth="1"/>
    <col min="4" max="7" width="10.6640625" bestFit="1" customWidth="1"/>
  </cols>
  <sheetData>
    <row r="1" spans="1:10">
      <c r="A1" s="330" t="s">
        <v>408</v>
      </c>
      <c r="B1" s="328">
        <v>2025</v>
      </c>
      <c r="C1" s="331">
        <v>2026</v>
      </c>
      <c r="D1" s="331">
        <v>2027</v>
      </c>
      <c r="E1" s="331">
        <v>2028</v>
      </c>
      <c r="F1" s="331">
        <v>2029</v>
      </c>
      <c r="G1" s="331">
        <v>2030</v>
      </c>
    </row>
    <row r="2" spans="1:10">
      <c r="A2" s="179" t="s">
        <v>396</v>
      </c>
      <c r="B2" s="192">
        <f>'Income statement'!F27</f>
        <v>4092</v>
      </c>
      <c r="C2" s="191">
        <f>'Income statement'!H27</f>
        <v>4912.214417088323</v>
      </c>
      <c r="D2" s="191">
        <f>'Income statement'!I27</f>
        <v>5798.957783050444</v>
      </c>
      <c r="E2" s="191">
        <f>'Income statement'!J27</f>
        <v>5787.2821787065695</v>
      </c>
      <c r="F2" s="191">
        <f>'Income statement'!K27</f>
        <v>5883.6479534875252</v>
      </c>
      <c r="G2" s="191">
        <f>'Income statement'!L27</f>
        <v>5814.1306532332665</v>
      </c>
      <c r="J2" s="158"/>
    </row>
    <row r="3" spans="1:10">
      <c r="A3" s="179"/>
      <c r="B3" s="179"/>
      <c r="C3" s="191"/>
      <c r="D3" s="191"/>
      <c r="E3" s="191"/>
      <c r="F3" s="191"/>
      <c r="G3" s="191"/>
      <c r="J3" s="158"/>
    </row>
    <row r="4" spans="1:10">
      <c r="A4" t="s">
        <v>319</v>
      </c>
      <c r="B4" s="179"/>
      <c r="C4" s="317"/>
      <c r="D4" s="317"/>
      <c r="E4" s="317"/>
      <c r="F4" s="317"/>
      <c r="G4" s="317"/>
      <c r="J4" s="158"/>
    </row>
    <row r="5" spans="1:10">
      <c r="A5" t="s">
        <v>320</v>
      </c>
      <c r="B5" s="179"/>
      <c r="C5" s="317"/>
      <c r="D5" s="317"/>
      <c r="E5" s="317"/>
      <c r="F5" s="317"/>
      <c r="G5" s="317"/>
      <c r="J5" s="158"/>
    </row>
    <row r="6" spans="1:10">
      <c r="A6" t="s">
        <v>321</v>
      </c>
      <c r="B6" s="179"/>
      <c r="C6" s="317"/>
      <c r="D6" s="317"/>
      <c r="E6" s="317"/>
      <c r="F6" s="317"/>
      <c r="G6" s="317"/>
      <c r="J6" s="158"/>
    </row>
    <row r="7" spans="1:10">
      <c r="A7" t="s">
        <v>322</v>
      </c>
      <c r="B7" s="192">
        <f>'Balance sheet'!E7-'Balance sheet'!F7</f>
        <v>-1281</v>
      </c>
      <c r="C7" s="191">
        <f>'Balance sheet'!F7-'Balance sheet'!G7</f>
        <v>160.52565926163152</v>
      </c>
      <c r="D7" s="191">
        <f>'Balance sheet'!G7-'Balance sheet'!H7</f>
        <v>-206.46319403946109</v>
      </c>
      <c r="E7" s="191">
        <f>'Balance sheet'!H7-'Balance sheet'!I7</f>
        <v>-252.96518999071668</v>
      </c>
      <c r="F7" s="191">
        <f>'Balance sheet'!I7-'Balance sheet'!J7</f>
        <v>-244.87790236293949</v>
      </c>
      <c r="G7" s="191">
        <f>'Balance sheet'!J7-'Balance sheet'!K7</f>
        <v>-251.33568372680384</v>
      </c>
      <c r="J7" s="158"/>
    </row>
    <row r="8" spans="1:10">
      <c r="A8" t="s">
        <v>323</v>
      </c>
      <c r="B8" s="192">
        <f>'Balance sheet'!E8-'Balance sheet'!F8</f>
        <v>12</v>
      </c>
      <c r="C8" s="191">
        <f>'Balance sheet'!F8-'Balance sheet'!G8</f>
        <v>8.2658981436788963</v>
      </c>
      <c r="D8" s="191">
        <f>'Balance sheet'!G8-'Balance sheet'!H8</f>
        <v>5.7382066863992804</v>
      </c>
      <c r="E8" s="191">
        <f>'Balance sheet'!H8-'Balance sheet'!I8</f>
        <v>-13.042870659463347</v>
      </c>
      <c r="F8" s="191">
        <f>'Balance sheet'!I8-'Balance sheet'!J8</f>
        <v>4.211872008308319</v>
      </c>
      <c r="G8" s="191">
        <f>'Balance sheet'!J8-'Balance sheet'!K8</f>
        <v>-12.580438253268994</v>
      </c>
      <c r="J8" s="158"/>
    </row>
    <row r="9" spans="1:10">
      <c r="A9" t="s">
        <v>324</v>
      </c>
      <c r="B9" s="192">
        <f>'Balance sheet'!E9-'Balance sheet'!F9</f>
        <v>91</v>
      </c>
      <c r="C9" s="191">
        <f>'Balance sheet'!F9-'Balance sheet'!G9</f>
        <v>-19.015127341684661</v>
      </c>
      <c r="D9" s="191">
        <f>'Balance sheet'!G9-'Balance sheet'!H9</f>
        <v>-3.9726235179125524</v>
      </c>
      <c r="E9" s="191">
        <f>'Balance sheet'!H9-'Balance sheet'!I9</f>
        <v>-21.721652686762354</v>
      </c>
      <c r="F9" s="191">
        <f>'Balance sheet'!I9-'Balance sheet'!J9</f>
        <v>-20.166878161439627</v>
      </c>
      <c r="G9" s="191">
        <f>'Balance sheet'!J9-'Balance sheet'!K9</f>
        <v>-23.167593319340767</v>
      </c>
      <c r="J9" s="158"/>
    </row>
    <row r="10" spans="1:10">
      <c r="A10" s="194" t="s">
        <v>325</v>
      </c>
      <c r="B10" s="179"/>
      <c r="C10" s="317"/>
      <c r="D10" s="317"/>
      <c r="E10" s="317"/>
      <c r="F10" s="317"/>
      <c r="G10" s="317"/>
      <c r="J10" s="158"/>
    </row>
    <row r="11" spans="1:10">
      <c r="A11" t="s">
        <v>326</v>
      </c>
      <c r="B11" s="179"/>
      <c r="C11" s="317"/>
      <c r="D11" s="317"/>
      <c r="E11" s="317"/>
      <c r="F11" s="317"/>
      <c r="G11" s="317"/>
      <c r="J11" s="158"/>
    </row>
    <row r="12" spans="1:10">
      <c r="A12" t="s">
        <v>281</v>
      </c>
      <c r="B12" s="179"/>
      <c r="C12" s="317"/>
      <c r="D12" s="317"/>
      <c r="E12" s="317"/>
      <c r="F12" s="317"/>
      <c r="G12" s="317"/>
      <c r="J12" s="158"/>
    </row>
    <row r="13" spans="1:10">
      <c r="A13" t="s">
        <v>282</v>
      </c>
      <c r="B13" s="179"/>
      <c r="C13" s="317"/>
      <c r="D13" s="317"/>
      <c r="E13" s="317"/>
      <c r="F13" s="317"/>
      <c r="G13" s="317"/>
      <c r="J13" s="158"/>
    </row>
    <row r="14" spans="1:10">
      <c r="A14" t="s">
        <v>283</v>
      </c>
      <c r="B14" s="179"/>
      <c r="C14" s="317"/>
      <c r="D14" s="317"/>
      <c r="E14" s="317"/>
      <c r="F14" s="317"/>
      <c r="G14" s="317"/>
      <c r="J14" s="158"/>
    </row>
    <row r="15" spans="1:10">
      <c r="A15" t="s">
        <v>284</v>
      </c>
      <c r="B15" s="179"/>
      <c r="C15" s="317"/>
      <c r="D15" s="317"/>
      <c r="E15" s="317"/>
      <c r="F15" s="317"/>
      <c r="G15" s="317"/>
      <c r="J15" s="158"/>
    </row>
    <row r="16" spans="1:10">
      <c r="A16" t="s">
        <v>285</v>
      </c>
      <c r="B16" s="179"/>
      <c r="C16" s="317"/>
      <c r="D16" s="317"/>
      <c r="E16" s="317"/>
      <c r="F16" s="317"/>
      <c r="G16" s="317"/>
      <c r="J16" s="158"/>
    </row>
    <row r="17" spans="1:10">
      <c r="A17" s="195" t="s">
        <v>327</v>
      </c>
      <c r="B17" s="179"/>
      <c r="C17" s="317"/>
      <c r="D17" s="317"/>
      <c r="E17" s="317"/>
      <c r="F17" s="317"/>
      <c r="G17" s="317"/>
      <c r="J17" s="158"/>
    </row>
    <row r="18" spans="1:10">
      <c r="A18" t="s">
        <v>220</v>
      </c>
      <c r="B18" s="179"/>
      <c r="C18" s="317"/>
      <c r="D18" s="317"/>
      <c r="E18" s="317"/>
      <c r="F18" s="317"/>
      <c r="G18" s="317"/>
      <c r="J18" s="158"/>
    </row>
    <row r="19" spans="1:10">
      <c r="A19" s="194" t="s">
        <v>329</v>
      </c>
      <c r="B19" s="192">
        <f>'Balance sheet'!E19-'Balance sheet'!F19</f>
        <v>-151</v>
      </c>
      <c r="C19" s="191">
        <f>'Balance sheet'!F19-'Balance sheet'!G19</f>
        <v>-4195.9134286215267</v>
      </c>
      <c r="D19" s="191">
        <f>'Balance sheet'!G19-'Balance sheet'!H19</f>
        <v>-2246.06870472632</v>
      </c>
      <c r="E19" s="191">
        <f>'Balance sheet'!H19-'Balance sheet'!I19</f>
        <v>-2221.1897868627057</v>
      </c>
      <c r="F19" s="191">
        <f>'Balance sheet'!I19-'Balance sheet'!J19</f>
        <v>-2171.4319511354988</v>
      </c>
      <c r="G19" s="191">
        <f>'Balance sheet'!J19-'Balance sheet'!K19</f>
        <v>-2146.5530332718918</v>
      </c>
      <c r="J19" s="158"/>
    </row>
    <row r="20" spans="1:10">
      <c r="A20" t="s">
        <v>330</v>
      </c>
      <c r="B20" s="192">
        <f>'Balance sheet'!E20-'Balance sheet'!F20</f>
        <v>-2974</v>
      </c>
      <c r="C20" s="191">
        <f>'Balance sheet'!F20-'Balance sheet'!G20</f>
        <v>0</v>
      </c>
      <c r="D20" s="191">
        <f>'Balance sheet'!G20-'Balance sheet'!H20</f>
        <v>0</v>
      </c>
      <c r="E20" s="191">
        <f>'Balance sheet'!H20-'Balance sheet'!I20</f>
        <v>0</v>
      </c>
      <c r="F20" s="191">
        <f>'Balance sheet'!I20-'Balance sheet'!J20</f>
        <v>0</v>
      </c>
      <c r="G20" s="191">
        <f>'Balance sheet'!J20-'Balance sheet'!K20</f>
        <v>0</v>
      </c>
      <c r="J20" s="158"/>
    </row>
    <row r="21" spans="1:10">
      <c r="A21" t="s">
        <v>331</v>
      </c>
      <c r="B21" s="192">
        <f>'Balance sheet'!E21-'Balance sheet'!F21</f>
        <v>662</v>
      </c>
      <c r="C21" s="191">
        <f>'Balance sheet'!F21-'Balance sheet'!G21</f>
        <v>700</v>
      </c>
      <c r="D21" s="191">
        <f>'Balance sheet'!G21-'Balance sheet'!H21</f>
        <v>650</v>
      </c>
      <c r="E21" s="191">
        <f>'Balance sheet'!H21-'Balance sheet'!I21</f>
        <v>600</v>
      </c>
      <c r="F21" s="191">
        <f>'Balance sheet'!I21-'Balance sheet'!J21</f>
        <v>500</v>
      </c>
      <c r="G21" s="191">
        <f>'Balance sheet'!J21-'Balance sheet'!K21</f>
        <v>400</v>
      </c>
      <c r="J21" s="158"/>
    </row>
    <row r="22" spans="1:10">
      <c r="A22" t="s">
        <v>332</v>
      </c>
      <c r="B22" s="192">
        <f>'Balance sheet'!E22-'Balance sheet'!F22</f>
        <v>-180</v>
      </c>
      <c r="C22" s="191">
        <f>'Balance sheet'!F22-'Balance sheet'!G22</f>
        <v>0</v>
      </c>
      <c r="D22" s="191">
        <f>'Balance sheet'!G22-'Balance sheet'!H22</f>
        <v>0</v>
      </c>
      <c r="E22" s="191">
        <f>'Balance sheet'!H22-'Balance sheet'!I22</f>
        <v>0</v>
      </c>
      <c r="F22" s="191">
        <f>'Balance sheet'!I22-'Balance sheet'!J22</f>
        <v>0</v>
      </c>
      <c r="G22" s="191">
        <f>'Balance sheet'!J22-'Balance sheet'!K22</f>
        <v>0</v>
      </c>
      <c r="J22" s="158"/>
    </row>
    <row r="23" spans="1:10">
      <c r="A23" t="s">
        <v>333</v>
      </c>
      <c r="B23" s="192">
        <f>'Balance sheet'!E23-'Balance sheet'!F23</f>
        <v>-772</v>
      </c>
      <c r="C23" s="191">
        <f>'Balance sheet'!F23-'Balance sheet'!G23</f>
        <v>349.5153229540465</v>
      </c>
      <c r="D23" s="191">
        <f>'Balance sheet'!G23-'Balance sheet'!H23</f>
        <v>-77.252038617774815</v>
      </c>
      <c r="E23" s="191">
        <f>'Balance sheet'!H23-'Balance sheet'!I23</f>
        <v>-94.651624068068486</v>
      </c>
      <c r="F23" s="191">
        <f>'Balance sheet'!I23-'Balance sheet'!J23</f>
        <v>-91.625615199801359</v>
      </c>
      <c r="G23" s="191">
        <f>'Balance sheet'!J23-'Balance sheet'!K23</f>
        <v>-94.041914035182344</v>
      </c>
      <c r="J23" s="158"/>
    </row>
    <row r="24" spans="1:10">
      <c r="A24" s="194" t="s">
        <v>334</v>
      </c>
      <c r="B24" s="179"/>
      <c r="C24" s="317"/>
      <c r="D24" s="317"/>
      <c r="E24" s="317"/>
      <c r="F24" s="317"/>
      <c r="G24" s="317"/>
      <c r="H24" s="158"/>
      <c r="J24" s="158"/>
    </row>
    <row r="25" spans="1:10">
      <c r="A25" s="2" t="s">
        <v>335</v>
      </c>
      <c r="B25" s="179"/>
      <c r="C25" s="317"/>
      <c r="D25" s="317"/>
      <c r="E25" s="317"/>
      <c r="F25" s="317"/>
      <c r="G25" s="317"/>
      <c r="J25" s="158"/>
    </row>
    <row r="26" spans="1:10">
      <c r="A26" t="s">
        <v>336</v>
      </c>
      <c r="B26" s="179"/>
      <c r="C26" s="317"/>
      <c r="D26" s="317"/>
      <c r="E26" s="317"/>
      <c r="F26" s="317"/>
      <c r="G26" s="317"/>
      <c r="J26" s="158"/>
    </row>
    <row r="27" spans="1:10">
      <c r="A27" t="s">
        <v>337</v>
      </c>
      <c r="B27" s="179"/>
      <c r="C27" s="317"/>
      <c r="D27" s="317"/>
      <c r="E27" s="317"/>
      <c r="F27" s="317"/>
      <c r="G27" s="317"/>
      <c r="J27" s="158"/>
    </row>
    <row r="28" spans="1:10">
      <c r="A28" t="s">
        <v>338</v>
      </c>
      <c r="B28" s="192">
        <f>'Balance sheet'!F28-'Balance sheet'!E28</f>
        <v>1360</v>
      </c>
      <c r="C28" s="191">
        <f>'Balance sheet'!G28-'Balance sheet'!F28</f>
        <v>-57</v>
      </c>
      <c r="D28" s="191">
        <f>'Balance sheet'!H28-'Balance sheet'!G28</f>
        <v>105</v>
      </c>
      <c r="E28" s="191">
        <f>'Balance sheet'!I28-'Balance sheet'!H28</f>
        <v>-924</v>
      </c>
      <c r="F28" s="191">
        <f>'Balance sheet'!J28-'Balance sheet'!I28</f>
        <v>583</v>
      </c>
      <c r="G28" s="191">
        <f>'Balance sheet'!K28-'Balance sheet'!J28</f>
        <v>667</v>
      </c>
      <c r="J28" s="158"/>
    </row>
    <row r="29" spans="1:10">
      <c r="A29" t="s">
        <v>339</v>
      </c>
      <c r="B29" s="192">
        <f>'Balance sheet'!F29-'Balance sheet'!E29</f>
        <v>58</v>
      </c>
      <c r="C29" s="191">
        <f>'Balance sheet'!G29-'Balance sheet'!F29</f>
        <v>-92.600487230810359</v>
      </c>
      <c r="D29" s="191">
        <f>'Balance sheet'!H29-'Balance sheet'!G29</f>
        <v>-17.563959055983105</v>
      </c>
      <c r="E29" s="191">
        <f>'Balance sheet'!I29-'Balance sheet'!H29</f>
        <v>59.569706472242615</v>
      </c>
      <c r="F29" s="191">
        <f>'Balance sheet'!J29-'Balance sheet'!I29</f>
        <v>57.884568464086897</v>
      </c>
      <c r="G29" s="191">
        <f>'Balance sheet'!K29-'Balance sheet'!J29</f>
        <v>59.430773884579139</v>
      </c>
      <c r="J29" s="158"/>
    </row>
    <row r="30" spans="1:10">
      <c r="A30" t="s">
        <v>340</v>
      </c>
      <c r="B30" s="192">
        <f>'Balance sheet'!F30-'Balance sheet'!E30</f>
        <v>503</v>
      </c>
      <c r="C30" s="191">
        <f>'Balance sheet'!G30-'Balance sheet'!F30</f>
        <v>31.360866955069014</v>
      </c>
      <c r="D30" s="191">
        <f>'Balance sheet'!H30-'Balance sheet'!G30</f>
        <v>15.853452438529985</v>
      </c>
      <c r="E30" s="191">
        <f>'Balance sheet'!I30-'Balance sheet'!H30</f>
        <v>86.684073183158944</v>
      </c>
      <c r="F30" s="191">
        <f>'Balance sheet'!J30-'Balance sheet'!I30</f>
        <v>80.47947214842543</v>
      </c>
      <c r="G30" s="191">
        <f>'Balance sheet'!K30-'Balance sheet'!J30</f>
        <v>92.454353438551607</v>
      </c>
      <c r="J30" s="158"/>
    </row>
    <row r="31" spans="1:10">
      <c r="A31" t="s">
        <v>341</v>
      </c>
      <c r="B31" s="192">
        <f>'Balance sheet'!F31-'Balance sheet'!E31</f>
        <v>102</v>
      </c>
      <c r="C31" s="191">
        <f>'Balance sheet'!G31-'Balance sheet'!F31</f>
        <v>-202.05000000000018</v>
      </c>
      <c r="D31" s="191">
        <f>'Balance sheet'!H31-'Balance sheet'!G31</f>
        <v>-97.5</v>
      </c>
      <c r="E31" s="191">
        <f>'Balance sheet'!I31-'Balance sheet'!H31</f>
        <v>-90</v>
      </c>
      <c r="F31" s="191">
        <f>'Balance sheet'!J31-'Balance sheet'!I31</f>
        <v>-75</v>
      </c>
      <c r="G31" s="191">
        <f>'Balance sheet'!K31-'Balance sheet'!J31</f>
        <v>-60</v>
      </c>
      <c r="J31" s="158"/>
    </row>
    <row r="32" spans="1:10">
      <c r="A32" t="s">
        <v>342</v>
      </c>
      <c r="B32" s="192">
        <f>'Balance sheet'!F32-'Balance sheet'!E32</f>
        <v>33</v>
      </c>
      <c r="C32" s="191">
        <f>'Balance sheet'!G32-'Balance sheet'!F32</f>
        <v>-123.94510199675551</v>
      </c>
      <c r="D32" s="191">
        <f>'Balance sheet'!H32-'Balance sheet'!G32</f>
        <v>20.740143088552031</v>
      </c>
      <c r="E32" s="191">
        <f>'Balance sheet'!I32-'Balance sheet'!H32</f>
        <v>113.40369476542401</v>
      </c>
      <c r="F32" s="191">
        <f>'Balance sheet'!J32-'Balance sheet'!I32</f>
        <v>105.28657871346604</v>
      </c>
      <c r="G32" s="191">
        <f>'Balance sheet'!K32-'Balance sheet'!J32</f>
        <v>120.95261438542002</v>
      </c>
      <c r="J32" s="158"/>
    </row>
    <row r="33" spans="1:10">
      <c r="A33" s="194" t="s">
        <v>343</v>
      </c>
      <c r="B33" s="192"/>
      <c r="C33" s="317"/>
      <c r="D33" s="317"/>
      <c r="E33" s="317"/>
      <c r="F33" s="317"/>
      <c r="G33" s="317"/>
      <c r="J33" s="158"/>
    </row>
    <row r="34" spans="1:10">
      <c r="A34" t="s">
        <v>376</v>
      </c>
      <c r="B34" s="192">
        <f>'Balance sheet'!F34-'Balance sheet'!E34</f>
        <v>-984</v>
      </c>
      <c r="C34" s="191">
        <f>'Balance sheet'!G34-'Balance sheet'!F34</f>
        <v>2629</v>
      </c>
      <c r="D34" s="191">
        <f>'Balance sheet'!H34-'Balance sheet'!G34</f>
        <v>2524</v>
      </c>
      <c r="E34" s="191">
        <f>'Balance sheet'!I34-'Balance sheet'!H34</f>
        <v>3448</v>
      </c>
      <c r="F34" s="191">
        <f>'Balance sheet'!J34-'Balance sheet'!I34</f>
        <v>1865</v>
      </c>
      <c r="G34" s="191">
        <f>'Balance sheet'!K34-'Balance sheet'!J34</f>
        <v>1198</v>
      </c>
      <c r="J34" s="158"/>
    </row>
    <row r="35" spans="1:10">
      <c r="A35" t="s">
        <v>345</v>
      </c>
      <c r="B35" s="192">
        <f>'Balance sheet'!F35-'Balance sheet'!E35</f>
        <v>0</v>
      </c>
      <c r="C35" s="191">
        <f>'Balance sheet'!G35-'Balance sheet'!F35</f>
        <v>0</v>
      </c>
      <c r="D35" s="191">
        <f>'Balance sheet'!H35-'Balance sheet'!G35</f>
        <v>0</v>
      </c>
      <c r="E35" s="191">
        <f>'Balance sheet'!I35-'Balance sheet'!H35</f>
        <v>0</v>
      </c>
      <c r="F35" s="191">
        <f>'Balance sheet'!J35-'Balance sheet'!I35</f>
        <v>0</v>
      </c>
      <c r="G35" s="191">
        <f>'Balance sheet'!K35-'Balance sheet'!J35</f>
        <v>0</v>
      </c>
      <c r="J35" s="158"/>
    </row>
    <row r="36" spans="1:10">
      <c r="A36" t="s">
        <v>346</v>
      </c>
      <c r="B36" s="192">
        <f>'Balance sheet'!F36-'Balance sheet'!E36</f>
        <v>-277</v>
      </c>
      <c r="C36" s="191">
        <f>'Balance sheet'!G36-'Balance sheet'!F36</f>
        <v>714.29443619181529</v>
      </c>
      <c r="D36" s="191">
        <f>'Balance sheet'!H36-'Balance sheet'!G36</f>
        <v>216.80580425962216</v>
      </c>
      <c r="E36" s="191">
        <f>'Balance sheet'!I36-'Balance sheet'!H36</f>
        <v>230.83786785255597</v>
      </c>
      <c r="F36" s="191">
        <f>'Balance sheet'!J36-'Balance sheet'!I36</f>
        <v>193.74884533023578</v>
      </c>
      <c r="G36" s="191">
        <f>'Balance sheet'!K36-'Balance sheet'!J36</f>
        <v>204.9728413026678</v>
      </c>
      <c r="J36" s="158"/>
    </row>
    <row r="37" spans="1:10">
      <c r="A37" t="s">
        <v>347</v>
      </c>
      <c r="B37" s="192">
        <f>'Balance sheet'!F37-'Balance sheet'!E37</f>
        <v>-312</v>
      </c>
      <c r="C37" s="191">
        <f>'Balance sheet'!G37-'Balance sheet'!F37</f>
        <v>199</v>
      </c>
      <c r="D37" s="191">
        <f>'Balance sheet'!H37-'Balance sheet'!G37</f>
        <v>42</v>
      </c>
      <c r="E37" s="191">
        <f>'Balance sheet'!I37-'Balance sheet'!H37</f>
        <v>61</v>
      </c>
      <c r="F37" s="191">
        <f>'Balance sheet'!J37-'Balance sheet'!I37</f>
        <v>63</v>
      </c>
      <c r="G37" s="191">
        <f>'Balance sheet'!K37-'Balance sheet'!J37</f>
        <v>74</v>
      </c>
      <c r="J37" s="158"/>
    </row>
    <row r="38" spans="1:10">
      <c r="A38" t="s">
        <v>348</v>
      </c>
      <c r="B38" s="192">
        <f>'Balance sheet'!F38-'Balance sheet'!E38</f>
        <v>332</v>
      </c>
      <c r="C38" s="191">
        <f>'Balance sheet'!G38-'Balance sheet'!F38</f>
        <v>307.7874924623311</v>
      </c>
      <c r="D38" s="191">
        <f>'Balance sheet'!H38-'Balance sheet'!G38</f>
        <v>325.99608062030893</v>
      </c>
      <c r="E38" s="191">
        <f>'Balance sheet'!I38-'Balance sheet'!H38</f>
        <v>422.83002572467376</v>
      </c>
      <c r="F38" s="191">
        <f>'Balance sheet'!J38-'Balance sheet'!I38</f>
        <v>428.32357412621514</v>
      </c>
      <c r="G38" s="191">
        <f>'Balance sheet'!K38-'Balance sheet'!J38</f>
        <v>459.46075310307879</v>
      </c>
      <c r="J38" s="158"/>
    </row>
    <row r="39" spans="1:10">
      <c r="A39" t="s">
        <v>341</v>
      </c>
      <c r="B39" s="192">
        <f>'Balance sheet'!F39-'Balance sheet'!E39</f>
        <v>-781</v>
      </c>
      <c r="C39" s="191">
        <f>'Balance sheet'!G39-'Balance sheet'!F39</f>
        <v>-881.95000000000073</v>
      </c>
      <c r="D39" s="191">
        <f>'Balance sheet'!H39-'Balance sheet'!G39</f>
        <v>-552.5</v>
      </c>
      <c r="E39" s="191">
        <f>'Balance sheet'!I39-'Balance sheet'!H39</f>
        <v>-510</v>
      </c>
      <c r="F39" s="191">
        <f>'Balance sheet'!J39-'Balance sheet'!I39</f>
        <v>-425</v>
      </c>
      <c r="G39" s="191">
        <f>'Balance sheet'!K39-'Balance sheet'!J39</f>
        <v>-340</v>
      </c>
      <c r="J39" s="158"/>
    </row>
    <row r="40" spans="1:10">
      <c r="A40" t="s">
        <v>349</v>
      </c>
      <c r="B40" s="192">
        <f>'Balance sheet'!F40-'Balance sheet'!E40</f>
        <v>94</v>
      </c>
      <c r="C40" s="191">
        <f>'Balance sheet'!G40-'Balance sheet'!F40</f>
        <v>-7.0943215267790265</v>
      </c>
      <c r="D40" s="191">
        <f>'Balance sheet'!H40-'Balance sheet'!G40</f>
        <v>14.29367222092435</v>
      </c>
      <c r="E40" s="191">
        <f>'Balance sheet'!I40-'Balance sheet'!H40</f>
        <v>17.513056144719485</v>
      </c>
      <c r="F40" s="191">
        <f>'Balance sheet'!J40-'Balance sheet'!I40</f>
        <v>16.953164397207047</v>
      </c>
      <c r="G40" s="191">
        <f>'Balance sheet'!K40-'Balance sheet'!J40</f>
        <v>17.400243647912589</v>
      </c>
      <c r="J40" s="158"/>
    </row>
    <row r="41" spans="1:10">
      <c r="A41" s="194" t="s">
        <v>350</v>
      </c>
      <c r="B41" s="192"/>
      <c r="C41" s="317"/>
      <c r="D41" s="317"/>
      <c r="E41" s="317"/>
      <c r="F41" s="317"/>
      <c r="G41" s="317"/>
      <c r="J41" s="158"/>
    </row>
    <row r="42" spans="1:10">
      <c r="A42" t="s">
        <v>351</v>
      </c>
      <c r="B42" s="192">
        <f>'Balance sheet'!F42-'Balance sheet'!E42</f>
        <v>0</v>
      </c>
      <c r="C42" s="191">
        <f>'Balance sheet'!G42-'Balance sheet'!F42</f>
        <v>0</v>
      </c>
      <c r="D42" s="191">
        <f>'Balance sheet'!H42-'Balance sheet'!G42</f>
        <v>0</v>
      </c>
      <c r="E42" s="191">
        <f>'Balance sheet'!I42-'Balance sheet'!H42</f>
        <v>0</v>
      </c>
      <c r="F42" s="191">
        <f>'Balance sheet'!J42-'Balance sheet'!I42</f>
        <v>0</v>
      </c>
      <c r="G42" s="191">
        <f>'Balance sheet'!K42-'Balance sheet'!J42</f>
        <v>0</v>
      </c>
      <c r="J42" s="158"/>
    </row>
    <row r="43" spans="1:10">
      <c r="A43" t="s">
        <v>352</v>
      </c>
      <c r="B43" s="192">
        <f>'Balance sheet'!F43-'Balance sheet'!E43</f>
        <v>0</v>
      </c>
      <c r="C43" s="191">
        <f>'Balance sheet'!G43-'Balance sheet'!F43</f>
        <v>0</v>
      </c>
      <c r="D43" s="191">
        <f>'Balance sheet'!H43-'Balance sheet'!G43</f>
        <v>0</v>
      </c>
      <c r="E43" s="191">
        <f>'Balance sheet'!I43-'Balance sheet'!H43</f>
        <v>0</v>
      </c>
      <c r="F43" s="191">
        <f>'Balance sheet'!J43-'Balance sheet'!I43</f>
        <v>0</v>
      </c>
      <c r="G43" s="191">
        <f>'Balance sheet'!K43-'Balance sheet'!J43</f>
        <v>0</v>
      </c>
    </row>
    <row r="44" spans="1:10">
      <c r="A44" t="s">
        <v>353</v>
      </c>
      <c r="B44" s="192">
        <f>'Balance sheet'!F44-'Balance sheet'!E44</f>
        <v>302</v>
      </c>
      <c r="C44" s="191">
        <f>'Balance sheet'!G44-'Balance sheet'!F44</f>
        <v>202.25</v>
      </c>
      <c r="D44" s="191">
        <f>'Balance sheet'!H44-'Balance sheet'!G44</f>
        <v>202.25</v>
      </c>
      <c r="E44" s="191">
        <f>'Balance sheet'!I44-'Balance sheet'!H44</f>
        <v>202.25</v>
      </c>
      <c r="F44" s="191">
        <f>'Balance sheet'!J44-'Balance sheet'!I44</f>
        <v>202.25</v>
      </c>
      <c r="G44" s="191">
        <f>'Balance sheet'!K44-'Balance sheet'!J44</f>
        <v>202.25</v>
      </c>
    </row>
    <row r="45" spans="1:10">
      <c r="A45" t="s">
        <v>354</v>
      </c>
      <c r="B45" s="192"/>
      <c r="C45" s="317"/>
      <c r="D45" s="317"/>
      <c r="E45" s="317"/>
      <c r="F45" s="317"/>
      <c r="G45" s="317"/>
      <c r="H45" s="158"/>
    </row>
    <row r="46" spans="1:10">
      <c r="A46" t="s">
        <v>355</v>
      </c>
      <c r="B46" s="192">
        <f>'Balance sheet'!F46-'Balance sheet'!E46</f>
        <v>-3</v>
      </c>
      <c r="C46" s="191">
        <f>'Balance sheet'!G46-'Balance sheet'!F46</f>
        <v>0</v>
      </c>
      <c r="D46" s="191">
        <f>'Balance sheet'!H46-'Balance sheet'!G46</f>
        <v>0</v>
      </c>
      <c r="E46" s="191">
        <f>'Balance sheet'!I46-'Balance sheet'!H46</f>
        <v>0</v>
      </c>
      <c r="F46" s="191">
        <f>'Balance sheet'!J46-'Balance sheet'!I46</f>
        <v>0</v>
      </c>
      <c r="G46" s="191">
        <f>'Balance sheet'!K46-'Balance sheet'!J46</f>
        <v>0</v>
      </c>
    </row>
    <row r="47" spans="1:10">
      <c r="A47" t="s">
        <v>356</v>
      </c>
      <c r="B47" s="192">
        <f>'Balance sheet'!F47-'Balance sheet'!E47</f>
        <v>-2560</v>
      </c>
      <c r="C47" s="191">
        <f>'Balance sheet'!G47-'Balance sheet'!F47</f>
        <v>-2500</v>
      </c>
      <c r="D47" s="191">
        <f>'Balance sheet'!H47-'Balance sheet'!G47</f>
        <v>-2500</v>
      </c>
      <c r="E47" s="191">
        <f>'Balance sheet'!I47-'Balance sheet'!H47</f>
        <v>-2500</v>
      </c>
      <c r="F47" s="191">
        <f>'Balance sheet'!J47-'Balance sheet'!I47</f>
        <v>-2500</v>
      </c>
      <c r="G47" s="191">
        <f>'Balance sheet'!K47-'Balance sheet'!J47</f>
        <v>-2500</v>
      </c>
    </row>
    <row r="48" spans="1:10">
      <c r="A48" s="194" t="s">
        <v>357</v>
      </c>
      <c r="B48" s="179"/>
      <c r="C48" s="412"/>
      <c r="D48" s="412"/>
      <c r="E48" s="412"/>
      <c r="F48" s="412"/>
      <c r="G48" s="412"/>
      <c r="J48" s="198"/>
    </row>
    <row r="49" spans="1:11">
      <c r="A49" s="413" t="s">
        <v>358</v>
      </c>
      <c r="B49" s="414"/>
      <c r="C49" s="415"/>
      <c r="D49" s="415"/>
      <c r="E49" s="415"/>
      <c r="F49" s="415"/>
      <c r="G49" s="415"/>
      <c r="I49" s="158"/>
      <c r="J49" s="2"/>
    </row>
    <row r="50" spans="1:11">
      <c r="A50" s="179"/>
      <c r="B50" s="179"/>
      <c r="C50" s="191"/>
      <c r="D50" s="191"/>
      <c r="E50" s="191"/>
      <c r="F50" s="191"/>
      <c r="G50" s="191"/>
    </row>
    <row r="51" spans="1:11">
      <c r="A51" s="179" t="s">
        <v>409</v>
      </c>
      <c r="B51" s="179"/>
      <c r="C51" s="317">
        <f>C47</f>
        <v>-2500</v>
      </c>
      <c r="D51" s="317">
        <f t="shared" ref="D51:G51" si="0">D47</f>
        <v>-2500</v>
      </c>
      <c r="E51" s="317">
        <f t="shared" si="0"/>
        <v>-2500</v>
      </c>
      <c r="F51" s="317">
        <f t="shared" si="0"/>
        <v>-2500</v>
      </c>
      <c r="G51" s="317">
        <f t="shared" si="0"/>
        <v>-2500</v>
      </c>
    </row>
    <row r="52" spans="1:11">
      <c r="A52" s="179" t="s">
        <v>397</v>
      </c>
      <c r="B52" s="179"/>
      <c r="C52" s="191">
        <f>-'Balance sheet'!G158</f>
        <v>-1328.4309428650909</v>
      </c>
      <c r="D52" s="191">
        <f>-'Balance sheet'!H158</f>
        <v>-1358.6000667852052</v>
      </c>
      <c r="E52" s="191">
        <f>-'Balance sheet'!I158</f>
        <v>-1393.1454105932858</v>
      </c>
      <c r="F52" s="191">
        <f>-'Balance sheet'!J158</f>
        <v>-1432.2469268590969</v>
      </c>
      <c r="G52" s="191">
        <f>-'Balance sheet'!K158</f>
        <v>-1476.1014317042827</v>
      </c>
      <c r="I52" s="158"/>
    </row>
    <row r="53" spans="1:11">
      <c r="A53" s="179"/>
      <c r="B53" s="179"/>
      <c r="C53" s="191"/>
      <c r="D53" s="191"/>
      <c r="E53" s="191"/>
      <c r="F53" s="191"/>
      <c r="G53" s="191"/>
      <c r="J53" s="158"/>
      <c r="K53" s="196"/>
    </row>
    <row r="54" spans="1:11">
      <c r="A54" s="179" t="s">
        <v>410</v>
      </c>
      <c r="B54" s="179"/>
      <c r="C54" s="191">
        <f>SUM(C2:C47)+C52</f>
        <v>806.21468347424752</v>
      </c>
      <c r="D54" s="191">
        <f t="shared" ref="D54:G54" si="1">SUM(D2:D47)+D52</f>
        <v>2861.714555622124</v>
      </c>
      <c r="E54" s="191">
        <f t="shared" si="1"/>
        <v>3008.6540679883424</v>
      </c>
      <c r="F54" s="191">
        <f t="shared" si="1"/>
        <v>3023.4367549566923</v>
      </c>
      <c r="G54" s="191">
        <f t="shared" si="1"/>
        <v>2406.2721386847061</v>
      </c>
      <c r="K54" s="158"/>
    </row>
    <row r="55" spans="1:11">
      <c r="A55" s="179"/>
      <c r="B55" s="179"/>
      <c r="C55" s="191"/>
      <c r="D55" s="191"/>
      <c r="E55" s="191"/>
      <c r="F55" s="191"/>
      <c r="G55" s="191"/>
    </row>
    <row r="56" spans="1:11">
      <c r="A56" s="179" t="s">
        <v>411</v>
      </c>
      <c r="B56" s="179"/>
      <c r="C56" s="191">
        <f>'Balance sheet'!F6</f>
        <v>5502</v>
      </c>
      <c r="D56" s="191">
        <f>C57</f>
        <v>6308.2146834742471</v>
      </c>
      <c r="E56" s="191">
        <f t="shared" ref="E56:G56" si="2">D57</f>
        <v>9169.929239096371</v>
      </c>
      <c r="F56" s="191">
        <f t="shared" si="2"/>
        <v>12178.583307084713</v>
      </c>
      <c r="G56" s="191">
        <f t="shared" si="2"/>
        <v>15202.020062041405</v>
      </c>
    </row>
    <row r="57" spans="1:11">
      <c r="A57" s="357" t="s">
        <v>412</v>
      </c>
      <c r="B57" s="357"/>
      <c r="C57" s="358">
        <f>C56+C54</f>
        <v>6308.2146834742471</v>
      </c>
      <c r="D57" s="358">
        <f>D56+D54</f>
        <v>9169.929239096371</v>
      </c>
      <c r="E57" s="358">
        <f>E56+E54</f>
        <v>12178.583307084713</v>
      </c>
      <c r="F57" s="358">
        <f>F56+F54</f>
        <v>15202.020062041405</v>
      </c>
      <c r="G57" s="358">
        <f>G56+G54</f>
        <v>17608.292200726111</v>
      </c>
    </row>
    <row r="58" spans="1:11">
      <c r="A58" s="179"/>
      <c r="B58" s="179"/>
      <c r="C58" s="191"/>
      <c r="D58" s="191"/>
      <c r="E58" s="191"/>
      <c r="F58" s="191"/>
      <c r="G58" s="191"/>
    </row>
    <row r="59" spans="1:11">
      <c r="A59" s="179" t="s">
        <v>413</v>
      </c>
      <c r="B59" s="179"/>
      <c r="C59" s="191">
        <f>C54-C52-C51</f>
        <v>4634.6456263393384</v>
      </c>
      <c r="D59" s="191">
        <f>D54-D52-D51</f>
        <v>6720.3146224073289</v>
      </c>
      <c r="E59" s="191">
        <f>E54-E52-E51</f>
        <v>6901.7994785816281</v>
      </c>
      <c r="F59" s="191">
        <f>F54-F52-F51</f>
        <v>6955.683681815789</v>
      </c>
      <c r="G59" s="191">
        <f>G54-G52-G51</f>
        <v>6382.3735703889888</v>
      </c>
    </row>
    <row r="61" spans="1:11">
      <c r="C61" s="196">
        <f>C59-C2</f>
        <v>-277.56879074898461</v>
      </c>
      <c r="D61" s="196">
        <f t="shared" ref="D61:G61" si="3">D59-D2</f>
        <v>921.35683935688485</v>
      </c>
      <c r="E61" s="196">
        <f t="shared" si="3"/>
        <v>1114.5172998750586</v>
      </c>
      <c r="F61" s="196">
        <f t="shared" si="3"/>
        <v>1072.0357283282638</v>
      </c>
      <c r="G61" s="196">
        <f t="shared" si="3"/>
        <v>568.24291715572235</v>
      </c>
    </row>
    <row r="62" spans="1:11">
      <c r="C62" s="196"/>
      <c r="D62" s="196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7EB6-C53C-4D44-916C-D7304BBEFB7C}">
  <dimension ref="A1:R43"/>
  <sheetViews>
    <sheetView zoomScale="60" zoomScaleNormal="60" workbookViewId="0">
      <selection activeCell="K45" sqref="K45"/>
    </sheetView>
  </sheetViews>
  <sheetFormatPr defaultColWidth="9.6640625" defaultRowHeight="15"/>
  <cols>
    <col min="1" max="1" width="47.33203125" style="5" bestFit="1" customWidth="1"/>
    <col min="2" max="2" width="10.33203125" style="5" bestFit="1" customWidth="1"/>
    <col min="3" max="3" width="10.6640625" style="5" bestFit="1" customWidth="1"/>
    <col min="4" max="4" width="33.6640625" style="5" customWidth="1"/>
    <col min="5" max="7" width="10.6640625" style="5" bestFit="1" customWidth="1"/>
    <col min="8" max="8" width="26.44140625" style="5" bestFit="1" customWidth="1"/>
    <col min="9" max="9" width="30.44140625" style="5" bestFit="1" customWidth="1"/>
    <col min="10" max="10" width="32" style="5" bestFit="1" customWidth="1"/>
    <col min="11" max="11" width="39.6640625" style="5" bestFit="1" customWidth="1"/>
    <col min="12" max="12" width="36.6640625" style="5" bestFit="1" customWidth="1"/>
    <col min="13" max="13" width="33.33203125" style="5" bestFit="1" customWidth="1"/>
    <col min="14" max="14" width="22.44140625" style="5" bestFit="1" customWidth="1"/>
    <col min="15" max="15" width="24.44140625" style="5" bestFit="1" customWidth="1"/>
    <col min="16" max="16" width="12.44140625" style="5" bestFit="1" customWidth="1"/>
    <col min="17" max="17" width="10.6640625" style="5" bestFit="1" customWidth="1"/>
    <col min="18" max="16384" width="9.6640625" style="5"/>
  </cols>
  <sheetData>
    <row r="1" spans="1:18">
      <c r="A1" s="46"/>
      <c r="B1" s="59"/>
      <c r="C1" s="46" t="s">
        <v>414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>
      <c r="A2" s="341" t="s">
        <v>415</v>
      </c>
      <c r="B2" s="342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46"/>
    </row>
    <row r="3" spans="1:18">
      <c r="A3" s="49" t="s">
        <v>416</v>
      </c>
      <c r="B3" s="148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6"/>
    </row>
    <row r="4" spans="1:18">
      <c r="A4" s="100" t="s">
        <v>417</v>
      </c>
      <c r="B4" s="121"/>
      <c r="C4" s="147" t="s">
        <v>418</v>
      </c>
      <c r="D4" s="146" t="s">
        <v>419</v>
      </c>
      <c r="E4" s="146" t="s">
        <v>420</v>
      </c>
      <c r="F4" s="146" t="s">
        <v>421</v>
      </c>
      <c r="G4" s="146" t="s">
        <v>131</v>
      </c>
      <c r="H4" s="146"/>
      <c r="I4" s="146" t="s">
        <v>422</v>
      </c>
      <c r="J4" s="145" t="s">
        <v>79</v>
      </c>
      <c r="K4" s="145"/>
      <c r="L4" s="99" t="s">
        <v>423</v>
      </c>
      <c r="M4" s="46"/>
      <c r="N4" s="46"/>
      <c r="O4" s="46"/>
      <c r="P4" s="46"/>
      <c r="Q4" s="46"/>
      <c r="R4" s="46"/>
    </row>
    <row r="5" spans="1:18">
      <c r="A5" s="95" t="s">
        <v>424</v>
      </c>
      <c r="B5" s="95" t="s">
        <v>425</v>
      </c>
      <c r="C5" s="144" t="s">
        <v>426</v>
      </c>
      <c r="D5" s="143" t="s">
        <v>427</v>
      </c>
      <c r="E5" s="143" t="s">
        <v>428</v>
      </c>
      <c r="F5" s="143" t="s">
        <v>429</v>
      </c>
      <c r="G5" s="143" t="s">
        <v>430</v>
      </c>
      <c r="H5" s="143" t="s">
        <v>431</v>
      </c>
      <c r="I5" s="143" t="s">
        <v>432</v>
      </c>
      <c r="J5" s="142" t="s">
        <v>432</v>
      </c>
      <c r="K5" s="142" t="s">
        <v>72</v>
      </c>
      <c r="L5" s="95" t="s">
        <v>433</v>
      </c>
      <c r="M5" s="46"/>
      <c r="N5" s="46"/>
      <c r="O5" s="46"/>
      <c r="P5" s="46"/>
      <c r="Q5" s="46"/>
      <c r="R5" s="46"/>
    </row>
    <row r="6" spans="1:18">
      <c r="A6" s="30" t="str" cm="1">
        <f t="array" ref="A6">IF($B6="","",_xll.RDP.Data($B6,"TR.CompanyName"))</f>
        <v>United Parcel Service Inc</v>
      </c>
      <c r="B6" s="136" t="s">
        <v>90</v>
      </c>
      <c r="C6" s="141">
        <f>IF(B6="","",_xll.RDP.Data($B6,"TR.PriceClose","Curn=#1",,$C$1))</f>
        <v>86.62</v>
      </c>
      <c r="D6" s="140">
        <f>IF($B6="","",_xll.RDP.Data($B6,"MAX(TR.PriceHigh(SDate=0D,EDate=0D-364C))/*52 Week High*/","Curn=#1",,$C$1))</f>
        <v>145.01</v>
      </c>
      <c r="E6" s="133">
        <f>IF(B6="","",_xll.RDP.Data($B6,"TR.CompanySharesOutstanding(SDate=0)/*# Shares Outstanding*/")/1000000)</f>
        <v>847.56964200000004</v>
      </c>
      <c r="F6" s="139">
        <f>IF(B6="","",C6*E6)</f>
        <v>73416.482390040008</v>
      </c>
      <c r="G6" s="139" cm="1">
        <f t="array" ref="G6">IF($B6="","",_xll.RDP.Data($B6,"TR.TotalDebtOutstanding","Curn=#1",,$C$1)/1000000)</f>
        <v>21284</v>
      </c>
      <c r="H6" s="139">
        <f>IF($B6="","",_xll.RDP.Data($B6,"TR.CashandEquivalents","Curn=#1",,$C$1)/1000000)</f>
        <v>6112</v>
      </c>
      <c r="I6" s="132">
        <f>IF(B6="","",F6+G6-H6)</f>
        <v>88588.482390040008</v>
      </c>
      <c r="J6" s="139" cm="1">
        <f t="array" ref="J6">IF($B6="","",_xll.RDP.Data($B6,"TR.TotalEquity","Curn=#1",,$C$1)/1000000)</f>
        <v>16718</v>
      </c>
      <c r="K6" s="138">
        <f>IF($B6="","",_xll.RDP.Data($B6,"TR.BetaFiveYear/*Beta 5 Year Monthly*//*Beta 5 Year Monthly*/"))</f>
        <v>1.07387355306682</v>
      </c>
      <c r="L6" s="137">
        <f>IF(B6="","",_xll.RDP.Data($B6,"TR.PriceTargetMean","Curn=#1",,$C$1))</f>
        <v>102.18464</v>
      </c>
      <c r="M6" s="122"/>
      <c r="N6" s="6"/>
      <c r="O6" s="6"/>
      <c r="P6" s="6"/>
      <c r="Q6" s="6"/>
      <c r="R6" s="6"/>
    </row>
    <row r="7" spans="1:18">
      <c r="A7" s="30" t="str" cm="1">
        <f t="array" ref="A7">IF($B7="","",_xll.RDP.Data($B7,"TR.CompanyName"))</f>
        <v>J B Hunt Transport Services Inc</v>
      </c>
      <c r="B7" s="136" t="s">
        <v>93</v>
      </c>
      <c r="C7" s="134">
        <f>IF(B7="","",_xll.RDP.Data($B7,"TR.PriceClose","Curn=#1",,$C$1))</f>
        <v>141.66999999999999</v>
      </c>
      <c r="D7" s="31">
        <f>IF($B7="","",_xll.RDP.Data($B7,"MAX(TR.PriceHigh(SDate=0D,EDate=0D-364C))/*52 Week High*/","Curn=#1",,$C$1))</f>
        <v>200.4</v>
      </c>
      <c r="E7" s="133">
        <f>IF(B7="","",_xll.RDP.Data($B7,"TR.CompanySharesOutstanding(SDate=0)/*# Shares Outstanding*/")/1000000)</f>
        <v>96.799280999999993</v>
      </c>
      <c r="F7" s="132">
        <f>IF(B7="","",C7*E7)</f>
        <v>13713.554139269998</v>
      </c>
      <c r="G7" s="132" cm="1">
        <f t="array" ref="G7">IF($B7="","",_xll.RDP.Data($B7,"TR.TotalDebtOutstanding","Curn=#1",,$C$1)/1000000)</f>
        <v>1477.702</v>
      </c>
      <c r="H7" s="132">
        <f>IF($B7="","",_xll.RDP.Data($B7,"TR.CashandEquivalents","Curn=#1",,$C$1)/1000000)</f>
        <v>46.982999999999997</v>
      </c>
      <c r="I7" s="132">
        <f>IF(B7="","",F7+G7-H7)</f>
        <v>15144.273139269997</v>
      </c>
      <c r="J7" s="132" cm="1">
        <f t="array" ref="J7">IF($B7="","",_xll.RDP.Data($B7,"TR.TotalEquity","Curn=#1",,$C$1)/1000000)</f>
        <v>4014.5050000000001</v>
      </c>
      <c r="K7" s="131">
        <f>IF($B7="","",_xll.RDP.Data($B7,"TR.BetaFiveYear/*Beta 5 Year Monthly*//*Beta 5 Year Monthly*/"))</f>
        <v>1.24410301362492</v>
      </c>
      <c r="L7" s="130">
        <f>IF(B7="","",_xll.RDP.Data($B7,"TR.PriceTargetMean","Curn=#1",,$C$1))</f>
        <v>155.17869999999999</v>
      </c>
      <c r="M7" s="122"/>
      <c r="N7" s="6"/>
      <c r="O7" s="6"/>
      <c r="P7" s="6"/>
      <c r="Q7" s="6"/>
      <c r="R7" s="6"/>
    </row>
    <row r="8" spans="1:18">
      <c r="A8" s="30" t="str" cm="1">
        <f t="array" ref="A8">IF($B8="","",_xll.RDP.Data($B8,"TR.CompanyName"))</f>
        <v>Deutsche Post AG</v>
      </c>
      <c r="B8" s="136" t="s">
        <v>541</v>
      </c>
      <c r="C8" s="134">
        <f>IF(B8="","",_xll.RDP.Data($B8,"TR.PriceClose","Curn=#1",,$C$1))</f>
        <v>46.9028507520067</v>
      </c>
      <c r="D8" s="31">
        <f>IF($B8="","",_xll.RDP.Data($B8,"MAX(TR.PriceHigh(SDate=0D,EDate=0D-364C))/*52 Week High*/","Curn=#1",,$C$1))</f>
        <v>49.431525756795999</v>
      </c>
      <c r="E8" s="133">
        <f>IF(B8="","",_xll.RDP.Data($B8,"TR.CompanySharesOutstanding(SDate=0)/*# Shares Outstanding*/")/1000000)</f>
        <v>1200</v>
      </c>
      <c r="F8" s="132">
        <f>IF(B8="","",C8*E8)</f>
        <v>56283.420902408041</v>
      </c>
      <c r="G8" s="132" cm="1">
        <f t="array" ref="G8">IF($B8="","",_xll.RDP.Data($B8,"TR.TotalDebtOutstanding","Curn=#1",,$C$1)/1000000)</f>
        <v>25003.623563515899</v>
      </c>
      <c r="H8" s="132">
        <f>IF($B8="","",_xll.RDP.Data($B8,"TR.CashandEquivalents","Curn=#1",,$C$1)/1000000)</f>
        <v>1472.2020913138001</v>
      </c>
      <c r="I8" s="132">
        <f>IF(B8="","",F8+G8-H8)</f>
        <v>79814.842374610147</v>
      </c>
      <c r="J8" s="132" cm="1">
        <f t="array" ref="J8">IF($B8="","",_xll.RDP.Data($B8,"TR.TotalEquity","Curn=#1",,$C$1)/1000000)</f>
        <v>24632.984781033199</v>
      </c>
      <c r="K8" s="131">
        <f>IF($B8="","",_xll.RDP.Data($B8,"TR.BetaFiveYear/*Beta 5 Year Monthly*//*Beta 5 Year Monthly*/"))</f>
        <v>1.1003062724155599</v>
      </c>
      <c r="L8" s="130">
        <f>IF(B8="","",_xll.RDP.Data($B8,"TR.PriceTargetMean","Curn=#1",,$C$1))</f>
        <v>50.583110861317998</v>
      </c>
      <c r="M8" s="122"/>
      <c r="N8" s="6"/>
      <c r="O8" s="6"/>
      <c r="P8" s="6"/>
      <c r="Q8" s="6"/>
      <c r="R8" s="6"/>
    </row>
    <row r="9" spans="1:18">
      <c r="A9" s="30" t="str" cm="1">
        <f t="array" ref="A9">IF($B9="","",_xll.RDP.Data($B9,"TR.CompanyName"))</f>
        <v>CH Robinson Worldwide Inc</v>
      </c>
      <c r="B9" s="135" t="s">
        <v>434</v>
      </c>
      <c r="C9" s="134">
        <f>IF(B9="","",_xll.RDP.Data($B9,"TR.PriceClose","Curn=#1",,$C$1))</f>
        <v>134.36000000000001</v>
      </c>
      <c r="D9" s="31">
        <f>IF($B9="","",_xll.RDP.Data($B9,"MAX(TR.PriceHigh(SDate=0D,EDate=0D-364C))/*52 Week High*/","Curn=#1",,$C$1))</f>
        <v>137.99600000000001</v>
      </c>
      <c r="E9" s="133">
        <f>IF(B9="","",_xll.RDP.Data($B9,"TR.CompanySharesOutstanding(SDate=0)/*# Shares Outstanding*/")/1000000)</f>
        <v>118.091162</v>
      </c>
      <c r="F9" s="132">
        <f>IF(B9="","",C9*E9)</f>
        <v>15866.728526320001</v>
      </c>
      <c r="G9" s="132" cm="1">
        <f t="array" ref="G9">IF($B9="","",_xll.RDP.Data($B9,"TR.TotalDebtOutstanding","Curn=#1",,$C$1)/1000000)</f>
        <v>1411.4459999999999</v>
      </c>
      <c r="H9" s="132">
        <f>IF($B9="","",_xll.RDP.Data($B9,"TR.CashandEquivalents","Curn=#1",,$C$1)/1000000)</f>
        <v>145.762</v>
      </c>
      <c r="I9" s="132">
        <f>IF(B9="","",F9+G9-H9)</f>
        <v>17132.41252632</v>
      </c>
      <c r="J9" s="132" cm="1">
        <f t="array" ref="J9">IF($B9="","",_xll.RDP.Data($B9,"TR.TotalEquity","Curn=#1",,$C$1)/1000000)</f>
        <v>1722.0509999999999</v>
      </c>
      <c r="K9" s="131">
        <f>IF($B9="","",_xll.RDP.Data($B9,"TR.BetaFiveYear/*Beta 5 Year Monthly*//*Beta 5 Year Monthly*/"))</f>
        <v>0.86907517135104095</v>
      </c>
      <c r="L9" s="130">
        <f>IF(B9="","",_xll.RDP.Data($B9,"TR.PriceTargetMean","Curn=#1",,$C$1))</f>
        <v>129.12958</v>
      </c>
      <c r="M9" s="122"/>
      <c r="N9" s="6"/>
      <c r="O9" s="6"/>
      <c r="P9" s="6"/>
      <c r="Q9" s="6"/>
      <c r="R9" s="6"/>
    </row>
    <row r="10" spans="1:18">
      <c r="A10" s="30" t="str" cm="1">
        <f t="array" ref="A10">IF($B10="","",_xll.RDP.Data($B10,"TR.CompanyName"))</f>
        <v>FedEx Corp</v>
      </c>
      <c r="B10" s="129" t="s">
        <v>104</v>
      </c>
      <c r="C10" s="128">
        <f>IF(B10="","",_xll.RDP.Data($B10,"TR.PriceClose","Curn=#1",,$C$1))</f>
        <v>247.03</v>
      </c>
      <c r="D10" s="127">
        <f>IF($B10="","",_xll.RDP.Data($B10,"MAX(TR.PriceHigh(SDate=0D,EDate=0D-364C))/*52 Week High*/","Curn=#1",,$C$1))</f>
        <v>308.52999999999997</v>
      </c>
      <c r="E10" s="126">
        <f>IF(B10="","",_xll.RDP.Data($B10,"TR.CompanySharesOutstanding(SDate=0)/*# Shares Outstanding*/")/1000000)</f>
        <v>235.95546100000001</v>
      </c>
      <c r="F10" s="125">
        <f>IF(B10="","",C10*E10)</f>
        <v>58288.077530830007</v>
      </c>
      <c r="G10" s="125" cm="1">
        <f t="array" ref="G10">IF($B10="","",_xll.RDP.Data($B10,"TR.TotalDebtOutstanding","Curn=#1",,$C$1)/1000000)</f>
        <v>20579</v>
      </c>
      <c r="H10" s="125">
        <f>IF($B10="","",_xll.RDP.Data($B10,"TR.CashandEquivalents","Curn=#1",,$C$1)/1000000)</f>
        <v>5502</v>
      </c>
      <c r="I10" s="125">
        <f>IF(B10="","",F10+G10-H10)</f>
        <v>73365.077530830007</v>
      </c>
      <c r="J10" s="125" cm="1">
        <f t="array" ref="J10">IF($B10="","",_xll.RDP.Data($B10,"TR.TotalEquity","Curn=#1",,$C$1)/1000000)</f>
        <v>28074</v>
      </c>
      <c r="K10" s="124">
        <f>IF($B10="","",_xll.RDP.Data($B10,"TR.BetaFiveYear/*Beta 5 Year Monthly*//*Beta 5 Year Monthly*/"))</f>
        <v>1.31335554357406</v>
      </c>
      <c r="L10" s="123">
        <f>IF(B10="","",_xll.RDP.Data($B10,"TR.PriceTargetMean","Curn=#1",,$C$1))</f>
        <v>266.62</v>
      </c>
      <c r="M10" s="122"/>
      <c r="N10" s="6"/>
      <c r="O10" s="6"/>
      <c r="P10" s="6"/>
      <c r="Q10" s="6"/>
      <c r="R10" s="6"/>
    </row>
    <row r="11" spans="1:18">
      <c r="A11" s="46"/>
      <c r="B11" s="59"/>
      <c r="C11" s="46" t="s">
        <v>435</v>
      </c>
      <c r="D11" s="46" t="s">
        <v>435</v>
      </c>
      <c r="E11" s="46" t="s">
        <v>435</v>
      </c>
      <c r="F11" s="46" t="s">
        <v>435</v>
      </c>
      <c r="G11" s="46" t="s">
        <v>435</v>
      </c>
      <c r="H11" s="46" t="s">
        <v>435</v>
      </c>
      <c r="I11" s="46" t="s">
        <v>435</v>
      </c>
      <c r="J11" s="46" t="s">
        <v>435</v>
      </c>
      <c r="K11" s="46" t="s">
        <v>435</v>
      </c>
      <c r="L11" s="46" t="s">
        <v>435</v>
      </c>
      <c r="M11" s="46"/>
      <c r="N11" s="46"/>
      <c r="O11" s="46"/>
      <c r="P11" s="46"/>
      <c r="Q11" s="46"/>
      <c r="R11" s="46"/>
    </row>
    <row r="12" spans="1:18">
      <c r="A12" s="49" t="s">
        <v>436</v>
      </c>
      <c r="B12" s="50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8"/>
      <c r="Q12" s="47"/>
      <c r="R12" s="46"/>
    </row>
    <row r="13" spans="1:18">
      <c r="A13" s="100"/>
      <c r="B13" s="121"/>
      <c r="C13" s="98" t="s">
        <v>437</v>
      </c>
      <c r="D13" s="120"/>
      <c r="E13" s="120"/>
      <c r="F13" s="119"/>
      <c r="G13" s="98" t="s">
        <v>438</v>
      </c>
      <c r="H13" s="120"/>
      <c r="I13" s="120"/>
      <c r="J13" s="119"/>
      <c r="K13" s="120" t="s">
        <v>439</v>
      </c>
      <c r="L13" s="120"/>
      <c r="M13" s="119"/>
      <c r="N13" s="98" t="s">
        <v>440</v>
      </c>
      <c r="O13" s="120"/>
      <c r="P13" s="119"/>
      <c r="Q13" s="99" t="s">
        <v>441</v>
      </c>
      <c r="R13" s="46"/>
    </row>
    <row r="14" spans="1:18">
      <c r="A14" s="95" t="s">
        <v>424</v>
      </c>
      <c r="B14" s="95" t="s">
        <v>425</v>
      </c>
      <c r="C14" s="94" t="s">
        <v>442</v>
      </c>
      <c r="D14" s="93" t="s">
        <v>443</v>
      </c>
      <c r="E14" s="93" t="s">
        <v>444</v>
      </c>
      <c r="F14" s="92" t="s">
        <v>445</v>
      </c>
      <c r="G14" s="94" t="s">
        <v>442</v>
      </c>
      <c r="H14" s="93" t="s">
        <v>443</v>
      </c>
      <c r="I14" s="93" t="s">
        <v>444</v>
      </c>
      <c r="J14" s="92" t="s">
        <v>445</v>
      </c>
      <c r="K14" s="94" t="s">
        <v>442</v>
      </c>
      <c r="L14" s="93" t="s">
        <v>443</v>
      </c>
      <c r="M14" s="92" t="s">
        <v>444</v>
      </c>
      <c r="N14" s="94" t="s">
        <v>442</v>
      </c>
      <c r="O14" s="93" t="s">
        <v>443</v>
      </c>
      <c r="P14" s="92" t="s">
        <v>444</v>
      </c>
      <c r="Q14" s="118" t="s">
        <v>446</v>
      </c>
      <c r="R14" s="46"/>
    </row>
    <row r="15" spans="1:18">
      <c r="A15" s="91" t="str">
        <f>A6</f>
        <v>United Parcel Service Inc</v>
      </c>
      <c r="B15" s="116" t="str">
        <f>IF(B6="","",B6)</f>
        <v>UPS</v>
      </c>
      <c r="C15" s="114" cm="1">
        <f t="array" ref="C15">IF($B15="","",_xll.RDP.Data($B15,"TR.Revenue","Curn=#1",,$C$1)/1000000)</f>
        <v>91070</v>
      </c>
      <c r="D15" s="114" cm="1">
        <f t="array" ref="D15">IF($B15="","",_xll.RDP.Data($B15,"TR.RevenueMean","Period=FY1 Frq=D SDate=1D Curn=#1",,$C$1)/1000000)</f>
        <v>87558.920729999998</v>
      </c>
      <c r="E15" s="114" cm="1">
        <f t="array" ref="E15">IF($B15="","",_xll.RDP.Data($B15,"TR.RevenueMean","Period=FY2 Frq=D SDate=1D Curn=#1",,$C$1)/1000000)</f>
        <v>87803.75404</v>
      </c>
      <c r="F15" s="117" cm="1">
        <f t="array" ref="F15">IF($B15="","",_xll.RDP.Data($B15,"TR.RevenueMean","Period=FY3 Frq=D SDate=1D Curn=#1",,$C$1)/1000000)</f>
        <v>91023.347129999995</v>
      </c>
      <c r="G15" s="110">
        <f>IF($B15="","",_xll.RDP.Data($B15,"TR.EPSMean","Period=FY0 Frq=D SDate=1D Curn=#1",,$C$1))</f>
        <v>7.4945399999999998</v>
      </c>
      <c r="H15" s="110">
        <f>IF($B15="","",_xll.RDP.Data($B15,"TR.EPSMean","Period=FY1 Frq=D SDate=1D Curn=#1",,$C$1))</f>
        <v>6.5072700000000001</v>
      </c>
      <c r="I15" s="110">
        <f>IF($B15="","",_xll.RDP.Data($B15,"TR.EPSMean","Period=FY2 Frq=D SDate=1D Curn=#1",,$C$1))</f>
        <v>7.19217</v>
      </c>
      <c r="J15" s="112">
        <f>IF($B15="","",_xll.RDP.Data($B15,"TR.EPSMean","Period=FY3 Frq=D SDate=1D Curn=#1",,$C$1))</f>
        <v>7.9020000000000001</v>
      </c>
      <c r="K15" s="110" cm="1">
        <f t="array" ref="K15">IF($B15="","",_xll.RDP.Data($B15,"TR.EBITMean","Period=FY0 Frq=D SDate=1D Curn=#1",,$C$1)/1000000)</f>
        <v>8684.2355399999997</v>
      </c>
      <c r="L15" s="110" cm="1">
        <f t="array" ref="L15">IF($B15="","",_xll.RDP.Data($B15,"TR.EBITMean","Period=FY1 Frq=D SDate=1D Curn=#1",,$C$1)/1000000)</f>
        <v>7787.0015800000001</v>
      </c>
      <c r="M15" s="112" cm="1">
        <f t="array" ref="M15">IF($B15="","",_xll.RDP.Data($B15,"TR.EBITMean","Period=FY2 Frq=D SDate=1D Curn=#1",,$C$1)/1000000)</f>
        <v>8548.4641900000006</v>
      </c>
      <c r="N15" s="111" cm="1">
        <f t="array" ref="N15">IF($B15="","",_xll.RDP.Data($B15,"TR.EBITDAMean","Period=FY0 Frq=D SDate=1D Curn=#1",,$C$1)/1000000)</f>
        <v>12286.92441</v>
      </c>
      <c r="O15" s="110" cm="1">
        <f t="array" ref="O15">IF($B15="","",_xll.RDP.Data($B15,"TR.EBITDAMean","Period=FY1 Frq=D SDate=1D Curn=#1",,$C$1)/1000000)</f>
        <v>11436.95318</v>
      </c>
      <c r="P15" s="110" cm="1">
        <f t="array" ref="P15">IF($B15="","",_xll.RDP.Data($B15,"TR.EBITDAMean","Period=FY2 Frq=D SDate=1D Curn=#1",,$C$1)/1000000)</f>
        <v>12250.186470000001</v>
      </c>
      <c r="Q15" s="109" cm="1">
        <f t="array" ref="Q15">IF($B15="","",_xll.RDP.Data($B15,"TR.LTGMean",,)/100)</f>
        <v>1.375E-2</v>
      </c>
      <c r="R15" s="46"/>
    </row>
    <row r="16" spans="1:18">
      <c r="A16" s="91" t="str">
        <f>A7</f>
        <v>J B Hunt Transport Services Inc</v>
      </c>
      <c r="B16" s="116" t="str">
        <f>IF(B7="","",B7)</f>
        <v>JBHT.O</v>
      </c>
      <c r="C16" s="114" cm="1">
        <f t="array" ref="C16">IF($B16="","",_xll.RDP.Data($B16,"TR.Revenue","Curn=#1",,$C$1)/1000000)</f>
        <v>12087.204</v>
      </c>
      <c r="D16" s="114" cm="1">
        <f t="array" ref="D16">IF($B16="","",_xll.RDP.Data($B16,"TR.RevenueMean","Period=FY1 Frq=D SDate=1D Curn=#1",,$C$1)/1000000)</f>
        <v>11993.223410000001</v>
      </c>
      <c r="E16" s="114" cm="1">
        <f t="array" ref="E16">IF($B16="","",_xll.RDP.Data($B16,"TR.RevenueMean","Period=FY2 Frq=D SDate=1D Curn=#1",,$C$1)/1000000)</f>
        <v>12586.92186</v>
      </c>
      <c r="F16" s="113" cm="1">
        <f t="array" ref="F16">IF($B16="","",_xll.RDP.Data($B16,"TR.RevenueMean","Period=FY3 Frq=D SDate=1D Curn=#1",,$C$1)/1000000)</f>
        <v>13258.71283</v>
      </c>
      <c r="G16" s="110">
        <f>IF($B16="","",_xll.RDP.Data($B16,"TR.EPSMean","Period=FY0 Frq=D SDate=1D Curn=#1",,$C$1))</f>
        <v>5.6402999999999999</v>
      </c>
      <c r="H16" s="110">
        <f>IF($B16="","",_xll.RDP.Data($B16,"TR.EPSMean","Period=FY1 Frq=D SDate=1D Curn=#1",,$C$1))</f>
        <v>5.5552700000000002</v>
      </c>
      <c r="I16" s="110">
        <f>IF($B16="","",_xll.RDP.Data($B16,"TR.EPSMean","Period=FY2 Frq=D SDate=1D Curn=#1",,$C$1))</f>
        <v>6.7937700000000003</v>
      </c>
      <c r="J16" s="112">
        <f>IF($B16="","",_xll.RDP.Data($B16,"TR.EPSMean","Period=FY3 Frq=D SDate=1D Curn=#1",,$C$1))</f>
        <v>8.1199100000000008</v>
      </c>
      <c r="K16" s="110" cm="1">
        <f t="array" ref="K16">IF($B16="","",_xll.RDP.Data($B16,"TR.EBITMean","Period=FY0 Frq=D SDate=1D Curn=#1",,$C$1)/1000000)</f>
        <v>847.83078</v>
      </c>
      <c r="L16" s="110" cm="1">
        <f t="array" ref="L16">IF($B16="","",_xll.RDP.Data($B16,"TR.EBITMean","Period=FY1 Frq=D SDate=1D Curn=#1",,$C$1)/1000000)</f>
        <v>806.62633000000005</v>
      </c>
      <c r="M16" s="112" cm="1">
        <f t="array" ref="M16">IF($B16="","",_xll.RDP.Data($B16,"TR.EBITMean","Period=FY2 Frq=D SDate=1D Curn=#1",,$C$1)/1000000)</f>
        <v>941.17476999999997</v>
      </c>
      <c r="N16" s="111" cm="1">
        <f t="array" ref="N16">IF($B16="","",_xll.RDP.Data($B16,"TR.EBITDAMean","Period=FY0 Frq=D SDate=1D Curn=#1",,$C$1)/1000000)</f>
        <v>1599.2675899999999</v>
      </c>
      <c r="O16" s="110" cm="1">
        <f t="array" ref="O16">IF($B16="","",_xll.RDP.Data($B16,"TR.EBITDAMean","Period=FY1 Frq=D SDate=1D Curn=#1",,$C$1)/1000000)</f>
        <v>1532.4638</v>
      </c>
      <c r="P16" s="110" cm="1">
        <f t="array" ref="P16">IF($B16="","",_xll.RDP.Data($B16,"TR.EBITDAMean","Period=FY2 Frq=D SDate=1D Curn=#1",,$C$1)/1000000)</f>
        <v>1703.5882899999999</v>
      </c>
      <c r="Q16" s="109" cm="1">
        <f t="array" ref="Q16">IF($B16="","",_xll.RDP.Data($B16,"TR.LTGMean",,)/100)</f>
        <v>0.13100000000000001</v>
      </c>
      <c r="R16" s="46"/>
    </row>
    <row r="17" spans="1:18">
      <c r="A17" s="91" t="str">
        <f>A8</f>
        <v>Deutsche Post AG</v>
      </c>
      <c r="B17" s="116" t="str">
        <f>IF(B8="","",B8)</f>
        <v>DHLN.DE</v>
      </c>
      <c r="C17" s="114" cm="1">
        <f t="array" ref="C17">IF($B17="","",_xll.RDP.Data($B17,"TR.Revenue","Curn=#1",,$C$1)/1000000)</f>
        <v>87158.090899678995</v>
      </c>
      <c r="D17" s="114" cm="1">
        <f t="array" ref="D17">IF($B17="","",_xll.RDP.Data($B17,"TR.RevenueMean","Period=FY1 Frq=D SDate=1D Curn=#1",,$C$1)/1000000)</f>
        <v>97142.373176219495</v>
      </c>
      <c r="E17" s="114" cm="1">
        <f t="array" ref="E17">IF($B17="","",_xll.RDP.Data($B17,"TR.RevenueMean","Period=FY2 Frq=D SDate=1D Curn=#1",,$C$1)/1000000)</f>
        <v>99609.137435921206</v>
      </c>
      <c r="F17" s="113" cm="1">
        <f t="array" ref="F17">IF($B17="","",_xll.RDP.Data($B17,"TR.RevenueMean","Period=FY3 Frq=D SDate=1D Curn=#1",,$C$1)/1000000)</f>
        <v>103373.08282108999</v>
      </c>
      <c r="G17" s="110">
        <f>IF($B17="","",_xll.RDP.Data($B17,"TR.EPSMean","Period=FY0 Frq=D SDate=1D Curn=#1",,$C$1))</f>
        <v>3.0532176475048498</v>
      </c>
      <c r="H17" s="110">
        <f>IF($B17="","",_xll.RDP.Data($B17,"TR.EPSMean","Period=FY1 Frq=D SDate=1D Curn=#1",,$C$1))</f>
        <v>3.4536545197281399</v>
      </c>
      <c r="I17" s="110">
        <f>IF($B17="","",_xll.RDP.Data($B17,"TR.EPSMean","Period=FY2 Frq=D SDate=1D Curn=#1",,$C$1))</f>
        <v>3.8056296536846701</v>
      </c>
      <c r="J17" s="112">
        <f>IF($B17="","",_xll.RDP.Data($B17,"TR.EPSMean","Period=FY3 Frq=D SDate=1D Curn=#1",,$C$1))</f>
        <v>4.2056087773422099</v>
      </c>
      <c r="K17" s="110" cm="1">
        <f t="array" ref="K17">IF($B17="","",_xll.RDP.Data($B17,"TR.EBITMean","Period=FY0 Frq=D SDate=1D Curn=#1",,$C$1)/1000000)</f>
        <v>6334.25795340071</v>
      </c>
      <c r="L17" s="110" cm="1">
        <f t="array" ref="L17">IF($B17="","",_xll.RDP.Data($B17,"TR.EBITMean","Period=FY1 Frq=D SDate=1D Curn=#1",,$C$1)/1000000)</f>
        <v>6940.4726055994997</v>
      </c>
      <c r="M17" s="112" cm="1">
        <f t="array" ref="M17">IF($B17="","",_xll.RDP.Data($B17,"TR.EBITMean","Period=FY2 Frq=D SDate=1D Curn=#1",,$C$1)/1000000)</f>
        <v>7387.9398761337006</v>
      </c>
      <c r="N17" s="111" cm="1">
        <f t="array" ref="N17">IF($B17="","",_xll.RDP.Data($B17,"TR.EBITDAMean","Period=FY0 Frq=D SDate=1D Curn=#1",,$C$1)/1000000)</f>
        <v>11462.678007777398</v>
      </c>
      <c r="O17" s="110" cm="1">
        <f t="array" ref="O17">IF($B17="","",_xll.RDP.Data($B17,"TR.EBITDAMean","Period=FY1 Frq=D SDate=1D Curn=#1",,$C$1)/1000000)</f>
        <v>12534.1631022245</v>
      </c>
      <c r="P17" s="110" cm="1">
        <f t="array" ref="P17">IF($B17="","",_xll.RDP.Data($B17,"TR.EBITDAMean","Period=FY2 Frq=D SDate=1D Curn=#1",,$C$1)/1000000)</f>
        <v>13111.967026976899</v>
      </c>
      <c r="Q17" s="109" cm="1">
        <f t="array" ref="Q17">IF($B17="","",_xll.RDP.Data($B17,"TR.LTGMean",,)/100)</f>
        <v>7.2999999999999995E-2</v>
      </c>
      <c r="R17" s="108" t="s">
        <v>447</v>
      </c>
    </row>
    <row r="18" spans="1:18">
      <c r="A18" s="91" t="str">
        <f>A9</f>
        <v>CH Robinson Worldwide Inc</v>
      </c>
      <c r="B18" s="116" t="str">
        <f>IF(B9="","",B9)</f>
        <v>CHRW.O</v>
      </c>
      <c r="C18" s="115" cm="1">
        <f t="array" ref="C18">IF($B18="","",_xll.RDP.Data($B18,"TR.Revenue","Curn=#1",,$C$1)/1000000)</f>
        <v>17724.955999999998</v>
      </c>
      <c r="D18" s="114" cm="1">
        <f t="array" ref="D18">IF($B18="","",_xll.RDP.Data($B18,"TR.RevenueMean","Period=FY1 Frq=D SDate=1D Curn=#1",,$C$1)/1000000)</f>
        <v>16495.281500000001</v>
      </c>
      <c r="E18" s="114" cm="1">
        <f t="array" ref="E18">IF($B18="","",_xll.RDP.Data($B18,"TR.RevenueMean","Period=FY2 Frq=D SDate=1D Curn=#1",,$C$1)/1000000)</f>
        <v>17123.070909999999</v>
      </c>
      <c r="F18" s="113" cm="1">
        <f t="array" ref="F18">IF($B18="","",_xll.RDP.Data($B18,"TR.RevenueMean","Period=FY3 Frq=D SDate=1D Curn=#1",,$C$1)/1000000)</f>
        <v>18036.16591</v>
      </c>
      <c r="G18" s="111">
        <f>IF($B18="","",_xll.RDP.Data($B18,"TR.EPSMean","Period=FY0 Frq=D SDate=1D Curn=#1",,$C$1))</f>
        <v>4.3965199999999998</v>
      </c>
      <c r="H18" s="110">
        <f>IF($B18="","",_xll.RDP.Data($B18,"TR.EPSMean","Period=FY1 Frq=D SDate=1D Curn=#1",,$C$1))</f>
        <v>4.9267099999999999</v>
      </c>
      <c r="I18" s="110">
        <f>IF($B18="","",_xll.RDP.Data($B18,"TR.EPSMean","Period=FY2 Frq=D SDate=1D Curn=#1",,$C$1))</f>
        <v>5.5755600000000003</v>
      </c>
      <c r="J18" s="112">
        <f>IF($B18="","",_xll.RDP.Data($B18,"TR.EPSMean","Period=FY3 Frq=D SDate=1D Curn=#1",,$C$1))</f>
        <v>5.9887300000000003</v>
      </c>
      <c r="K18" s="110" cm="1">
        <f t="array" ref="K18">IF($B18="","",_xll.RDP.Data($B18,"TR.EBITMean","Period=FY0 Frq=D SDate=1D Curn=#1",,$C$1)/1000000)</f>
        <v>757.25444000000005</v>
      </c>
      <c r="L18" s="110" cm="1">
        <f t="array" ref="L18">IF($B18="","",_xll.RDP.Data($B18,"TR.EBITMean","Period=FY1 Frq=D SDate=1D Curn=#1",,$C$1)/1000000)</f>
        <v>811.79965000000004</v>
      </c>
      <c r="M18" s="112" cm="1">
        <f t="array" ref="M18">IF($B18="","",_xll.RDP.Data($B18,"TR.EBITMean","Period=FY2 Frq=D SDate=1D Curn=#1",,$C$1)/1000000)</f>
        <v>888.73405000000002</v>
      </c>
      <c r="N18" s="111" cm="1">
        <f t="array" ref="N18">IF($B18="","",_xll.RDP.Data($B18,"TR.EBITDAMean","Period=FY0 Frq=D SDate=1D Curn=#1",,$C$1)/1000000)</f>
        <v>839.50360000000001</v>
      </c>
      <c r="O18" s="110" cm="1">
        <f t="array" ref="O18">IF($B18="","",_xll.RDP.Data($B18,"TR.EBITDAMean","Period=FY1 Frq=D SDate=1D Curn=#1",,$C$1)/1000000)</f>
        <v>913.43505000000005</v>
      </c>
      <c r="P18" s="110" cm="1">
        <f t="array" ref="P18">IF($B18="","",_xll.RDP.Data($B18,"TR.EBITDAMean","Period=FY2 Frq=D SDate=1D Curn=#1",,$C$1)/1000000)</f>
        <v>993.22852</v>
      </c>
      <c r="Q18" s="109" cm="1">
        <f t="array" ref="Q18">IF($B18="","",_xll.RDP.Data($B18,"TR.LTGMean",,)/100)</f>
        <v>0.1291667</v>
      </c>
      <c r="R18" s="108" t="s">
        <v>447</v>
      </c>
    </row>
    <row r="19" spans="1:18">
      <c r="A19" s="82" t="str">
        <f>A10</f>
        <v>FedEx Corp</v>
      </c>
      <c r="B19" s="107" t="str">
        <f>IF(B10="","",B10)</f>
        <v>FDX</v>
      </c>
      <c r="C19" s="107" cm="1">
        <f t="array" ref="C19">IF($B19="","",_xll.RDP.Data($B19,"TR.Revenue","Curn=#1",,$C$1)/1000000)</f>
        <v>87926</v>
      </c>
      <c r="D19" s="106" cm="1">
        <f t="array" ref="D19">IF($B19="","",_xll.RDP.Data($B19,"TR.RevenueMean","Period=FY1 Frq=D SDate=1D Curn=#1",,$C$1)/1000000)</f>
        <v>91412.886190000005</v>
      </c>
      <c r="E19" s="106" cm="1">
        <f t="array" ref="E19">IF($B19="","",_xll.RDP.Data($B19,"TR.RevenueMean","Period=FY2 Frq=D SDate=1D Curn=#1",,$C$1)/1000000)</f>
        <v>95149.829209999996</v>
      </c>
      <c r="F19" s="105" cm="1">
        <f t="array" ref="F19">IF($B19="","",_xll.RDP.Data($B19,"TR.RevenueMean","Period=FY3 Frq=D SDate=1D Curn=#1",,$C$1)/1000000)</f>
        <v>98971.009390000007</v>
      </c>
      <c r="G19" s="104">
        <f>IF($B19="","",_xll.RDP.Data($B19,"TR.EPSMean","Period=FY0 Frq=D SDate=1D Curn=#1",,$C$1))</f>
        <v>18.007999999999999</v>
      </c>
      <c r="H19" s="103">
        <f>IF($B19="","",_xll.RDP.Data($B19,"TR.EPSMean","Period=FY1 Frq=D SDate=1D Curn=#1",,$C$1))</f>
        <v>18.02807</v>
      </c>
      <c r="I19" s="103">
        <f>IF($B19="","",_xll.RDP.Data($B19,"TR.EPSMean","Period=FY2 Frq=D SDate=1D Curn=#1",,$C$1))</f>
        <v>20.83456</v>
      </c>
      <c r="J19" s="102">
        <f>IF($B19="","",_xll.RDP.Data($B19,"TR.EPSMean","Period=FY3 Frq=D SDate=1D Curn=#1",,$C$1))</f>
        <v>23.317329999999998</v>
      </c>
      <c r="K19" s="103" cm="1">
        <f t="array" ref="K19">IF($B19="","",_xll.RDP.Data($B19,"TR.EBITMean","Period=FY0 Frq=D SDate=1D Curn=#1",,$C$1)/1000000)</f>
        <v>5982.1200799999997</v>
      </c>
      <c r="L19" s="103" cm="1">
        <f t="array" ref="L19">IF($B19="","",_xll.RDP.Data($B19,"TR.EBITMean","Period=FY1 Frq=D SDate=1D Curn=#1",,$C$1)/1000000)</f>
        <v>5905.2373799999996</v>
      </c>
      <c r="M19" s="102" cm="1">
        <f t="array" ref="M19">IF($B19="","",_xll.RDP.Data($B19,"TR.EBITMean","Period=FY2 Frq=D SDate=1D Curn=#1",,$C$1)/1000000)</f>
        <v>6613.2780899999998</v>
      </c>
      <c r="N19" s="104" cm="1">
        <f t="array" ref="N19">IF($B19="","",_xll.RDP.Data($B19,"TR.EBITDAMean","Period=FY0 Frq=D SDate=1D Curn=#1",,$C$1)/1000000)</f>
        <v>10287.836450000001</v>
      </c>
      <c r="O19" s="103" cm="1">
        <f t="array" ref="O19">IF($B19="","",_xll.RDP.Data($B19,"TR.EBITDAMean","Period=FY1 Frq=D SDate=1D Curn=#1",,$C$1)/1000000)</f>
        <v>10329.180480000001</v>
      </c>
      <c r="P19" s="102" cm="1">
        <f t="array" ref="P19">IF($B19="","",_xll.RDP.Data($B19,"TR.EBITDAMean","Period=FY2 Frq=D SDate=1D Curn=#1",,$C$1)/1000000)</f>
        <v>11202.510899999999</v>
      </c>
      <c r="Q19" s="101" cm="1">
        <f t="array" ref="Q19">IF($B19="","",_xll.RDP.Data($B19,"TR.LTGMean",,)/100)</f>
        <v>0.104125</v>
      </c>
      <c r="R19" s="46"/>
    </row>
    <row r="20" spans="1:18">
      <c r="A20" s="46"/>
      <c r="B20" s="59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>
      <c r="A21" s="49" t="s">
        <v>448</v>
      </c>
      <c r="B21" s="50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8"/>
      <c r="Q21" s="47"/>
      <c r="R21" s="46"/>
    </row>
    <row r="22" spans="1:18">
      <c r="A22" s="100"/>
      <c r="B22" s="99"/>
      <c r="C22" s="99" t="s">
        <v>418</v>
      </c>
      <c r="D22" s="99" t="s">
        <v>449</v>
      </c>
      <c r="E22" s="98" t="s">
        <v>450</v>
      </c>
      <c r="F22" s="97"/>
      <c r="G22" s="96"/>
      <c r="H22" s="98" t="s">
        <v>451</v>
      </c>
      <c r="I22" s="97"/>
      <c r="J22" s="96"/>
      <c r="K22" s="98" t="s">
        <v>452</v>
      </c>
      <c r="L22" s="97"/>
      <c r="M22" s="96"/>
      <c r="N22" s="98" t="s">
        <v>453</v>
      </c>
      <c r="O22" s="97"/>
      <c r="P22" s="96"/>
      <c r="Q22" s="46" t="s">
        <v>454</v>
      </c>
      <c r="R22" s="46"/>
    </row>
    <row r="23" spans="1:18">
      <c r="A23" s="95" t="s">
        <v>424</v>
      </c>
      <c r="B23" s="95" t="s">
        <v>425</v>
      </c>
      <c r="C23" s="95" t="s">
        <v>426</v>
      </c>
      <c r="D23" s="95" t="s">
        <v>79</v>
      </c>
      <c r="E23" s="94" t="s">
        <v>443</v>
      </c>
      <c r="F23" s="93" t="s">
        <v>444</v>
      </c>
      <c r="G23" s="92" t="s">
        <v>445</v>
      </c>
      <c r="H23" s="94" t="s">
        <v>443</v>
      </c>
      <c r="I23" s="93" t="s">
        <v>444</v>
      </c>
      <c r="J23" s="92" t="s">
        <v>445</v>
      </c>
      <c r="K23" s="94" t="s">
        <v>443</v>
      </c>
      <c r="L23" s="93" t="s">
        <v>444</v>
      </c>
      <c r="M23" s="92" t="s">
        <v>445</v>
      </c>
      <c r="N23" s="94" t="s">
        <v>442</v>
      </c>
      <c r="O23" s="93" t="s">
        <v>443</v>
      </c>
      <c r="P23" s="92" t="s">
        <v>444</v>
      </c>
      <c r="Q23" s="46"/>
      <c r="R23" s="46"/>
    </row>
    <row r="24" spans="1:18">
      <c r="A24" s="91" t="str">
        <f>A6</f>
        <v>United Parcel Service Inc</v>
      </c>
      <c r="B24" s="90" t="str">
        <f t="shared" ref="B24:C28" si="0">IF(B6="","",B6)</f>
        <v>UPS</v>
      </c>
      <c r="C24" s="89">
        <f t="shared" si="0"/>
        <v>86.62</v>
      </c>
      <c r="D24" s="88">
        <f>IF(OR(B24="",ISNUMBER(F6)=FALSE,ISNUMBER(J6)=FALSE),"",F6/J6)</f>
        <v>4.3914632366335695</v>
      </c>
      <c r="E24" s="88">
        <f t="shared" ref="E24:G28" si="1">IF(OR($B24="",ISNUMBER($F6)=FALSE,ISNUMBER(D15)=FALSE),"",$F6/D15)</f>
        <v>0.8384808969542904</v>
      </c>
      <c r="F24" s="87">
        <f t="shared" si="1"/>
        <v>0.83614286419455708</v>
      </c>
      <c r="G24" s="86">
        <f t="shared" si="1"/>
        <v>0.80656759726915139</v>
      </c>
      <c r="H24" s="85">
        <f t="shared" ref="H24:J28" si="2">IF(OR($B24="",ISNA(H15)=TRUE),"",$C6/H15)</f>
        <v>13.311265707431842</v>
      </c>
      <c r="I24" s="84">
        <f t="shared" si="2"/>
        <v>12.04365302822375</v>
      </c>
      <c r="J24" s="83">
        <f t="shared" si="2"/>
        <v>10.961781827385472</v>
      </c>
      <c r="K24" s="85">
        <f t="shared" ref="K24:M28" si="3">IF(OR($B24="",H24="",ISNA($Q15)=TRUE),"",H24/$Q15/100)</f>
        <v>9.6809205144958845</v>
      </c>
      <c r="L24" s="84">
        <f t="shared" si="3"/>
        <v>8.7590203841627279</v>
      </c>
      <c r="M24" s="83">
        <f t="shared" si="3"/>
        <v>7.9722049653712528</v>
      </c>
      <c r="N24" s="84">
        <f t="shared" ref="N24:P28" si="4">IF(OR($B24="",ISNA($I6)=TRUE,ISNA(N15)=TRUE),"",$I6/N15)</f>
        <v>7.2099802549399756</v>
      </c>
      <c r="O24" s="84">
        <f t="shared" si="4"/>
        <v>7.7458114058695484</v>
      </c>
      <c r="P24" s="83">
        <f t="shared" si="4"/>
        <v>7.2316027684140227</v>
      </c>
      <c r="Q24" s="46"/>
      <c r="R24" s="46"/>
    </row>
    <row r="25" spans="1:18">
      <c r="A25" s="91" t="str">
        <f>A7</f>
        <v>J B Hunt Transport Services Inc</v>
      </c>
      <c r="B25" s="90" t="str">
        <f t="shared" si="0"/>
        <v>JBHT.O</v>
      </c>
      <c r="C25" s="89">
        <f t="shared" si="0"/>
        <v>141.66999999999999</v>
      </c>
      <c r="D25" s="88">
        <f>IF(OR(B25="",ISNUMBER(F7)=FALSE,ISNUMBER(J7)=FALSE),"",F7/J7)</f>
        <v>3.4160012602475267</v>
      </c>
      <c r="E25" s="88">
        <f t="shared" si="1"/>
        <v>1.1434418980168066</v>
      </c>
      <c r="F25" s="87">
        <f t="shared" si="1"/>
        <v>1.0895081650463188</v>
      </c>
      <c r="G25" s="86">
        <f t="shared" si="1"/>
        <v>1.0343050879147819</v>
      </c>
      <c r="H25" s="85">
        <f t="shared" si="2"/>
        <v>25.501910798215025</v>
      </c>
      <c r="I25" s="84">
        <f t="shared" si="2"/>
        <v>20.852928491838842</v>
      </c>
      <c r="J25" s="83">
        <f t="shared" si="2"/>
        <v>17.447237715688964</v>
      </c>
      <c r="K25" s="85">
        <f t="shared" si="3"/>
        <v>1.9467107479553454</v>
      </c>
      <c r="L25" s="85">
        <f t="shared" si="3"/>
        <v>1.5918266024304457</v>
      </c>
      <c r="M25" s="85">
        <f t="shared" si="3"/>
        <v>1.3318502073045011</v>
      </c>
      <c r="N25" s="84">
        <f t="shared" si="4"/>
        <v>9.4695054373421002</v>
      </c>
      <c r="O25" s="84">
        <f t="shared" si="4"/>
        <v>9.8823039991352477</v>
      </c>
      <c r="P25" s="83">
        <f t="shared" si="4"/>
        <v>8.8896320948942407</v>
      </c>
      <c r="Q25" s="46"/>
      <c r="R25" s="46"/>
    </row>
    <row r="26" spans="1:18">
      <c r="A26" s="91" t="str">
        <f>A8</f>
        <v>Deutsche Post AG</v>
      </c>
      <c r="B26" s="90" t="str">
        <f t="shared" si="0"/>
        <v>DHLN.DE</v>
      </c>
      <c r="C26" s="89">
        <f t="shared" si="0"/>
        <v>46.9028507520067</v>
      </c>
      <c r="D26" s="88">
        <f>IF(OR(B26="",ISNUMBER(F8)=FALSE,ISNUMBER(J8)=FALSE),"",F8/J8)</f>
        <v>2.2848802693916701</v>
      </c>
      <c r="E26" s="88">
        <f t="shared" si="1"/>
        <v>0.57939104288000087</v>
      </c>
      <c r="F26" s="87">
        <f t="shared" si="1"/>
        <v>0.56504274960332124</v>
      </c>
      <c r="G26" s="86">
        <f t="shared" si="1"/>
        <v>0.54446882463415514</v>
      </c>
      <c r="H26" s="85">
        <f t="shared" si="2"/>
        <v>13.580643484774132</v>
      </c>
      <c r="I26" s="84">
        <f t="shared" si="2"/>
        <v>12.324596721227097</v>
      </c>
      <c r="J26" s="83">
        <f t="shared" si="2"/>
        <v>11.152452174034023</v>
      </c>
      <c r="K26" s="85">
        <f t="shared" si="3"/>
        <v>1.8603621212019359</v>
      </c>
      <c r="L26" s="85">
        <f t="shared" si="3"/>
        <v>1.6883009207160407</v>
      </c>
      <c r="M26" s="85">
        <f t="shared" si="3"/>
        <v>1.5277331745252087</v>
      </c>
      <c r="N26" s="84">
        <f t="shared" si="4"/>
        <v>6.9630187919835116</v>
      </c>
      <c r="O26" s="84">
        <f t="shared" si="4"/>
        <v>6.3677839297020968</v>
      </c>
      <c r="P26" s="83">
        <f t="shared" si="4"/>
        <v>6.0871753422195942</v>
      </c>
      <c r="Q26" s="46"/>
      <c r="R26" s="46"/>
    </row>
    <row r="27" spans="1:18">
      <c r="A27" s="91" t="str">
        <f>A9</f>
        <v>CH Robinson Worldwide Inc</v>
      </c>
      <c r="B27" s="90" t="str">
        <f t="shared" si="0"/>
        <v>CHRW.O</v>
      </c>
      <c r="C27" s="89">
        <f t="shared" si="0"/>
        <v>134.36000000000001</v>
      </c>
      <c r="D27" s="88">
        <f>IF(OR(B27="",ISNUMBER(F9)=FALSE,ISNUMBER(J9)=FALSE),"",F9/J9)</f>
        <v>9.2138551798523984</v>
      </c>
      <c r="E27" s="88">
        <f t="shared" si="1"/>
        <v>0.96189498350300962</v>
      </c>
      <c r="F27" s="87">
        <f t="shared" si="1"/>
        <v>0.92662867599606302</v>
      </c>
      <c r="G27" s="86">
        <f t="shared" si="1"/>
        <v>0.87971737482869505</v>
      </c>
      <c r="H27" s="85">
        <f t="shared" si="2"/>
        <v>27.271749301257842</v>
      </c>
      <c r="I27" s="84">
        <f t="shared" si="2"/>
        <v>24.098027821420629</v>
      </c>
      <c r="J27" s="83">
        <f t="shared" si="2"/>
        <v>22.435474633186001</v>
      </c>
      <c r="K27" s="85">
        <f t="shared" si="3"/>
        <v>2.1113606913591383</v>
      </c>
      <c r="L27" s="85">
        <f t="shared" si="3"/>
        <v>1.8656532853607493</v>
      </c>
      <c r="M27" s="85">
        <f t="shared" si="3"/>
        <v>1.7369395233590392</v>
      </c>
      <c r="N27" s="84">
        <f t="shared" si="4"/>
        <v>20.407789229635227</v>
      </c>
      <c r="O27" s="84">
        <f t="shared" si="4"/>
        <v>18.756027072006926</v>
      </c>
      <c r="P27" s="83">
        <f t="shared" si="4"/>
        <v>17.249215242349262</v>
      </c>
      <c r="Q27" s="46"/>
      <c r="R27" s="46"/>
    </row>
    <row r="28" spans="1:18">
      <c r="A28" s="82" t="str">
        <f>A10</f>
        <v>FedEx Corp</v>
      </c>
      <c r="B28" s="81" t="str">
        <f t="shared" si="0"/>
        <v>FDX</v>
      </c>
      <c r="C28" s="81">
        <f t="shared" si="0"/>
        <v>247.03</v>
      </c>
      <c r="D28" s="80">
        <f>IF(OR(B28="",ISNUMBER(F10)=FALSE,ISNUMBER(J10)=FALSE),"",F10/J10)</f>
        <v>2.0762298757152529</v>
      </c>
      <c r="E28" s="80">
        <f t="shared" si="1"/>
        <v>0.63763523897144336</v>
      </c>
      <c r="F28" s="79">
        <f t="shared" si="1"/>
        <v>0.61259256075158652</v>
      </c>
      <c r="G28" s="78">
        <f t="shared" si="1"/>
        <v>0.58894092209510607</v>
      </c>
      <c r="H28" s="77">
        <f t="shared" si="2"/>
        <v>13.70252056931219</v>
      </c>
      <c r="I28" s="76">
        <f t="shared" si="2"/>
        <v>11.856741875038399</v>
      </c>
      <c r="J28" s="75">
        <f t="shared" si="2"/>
        <v>10.594266153114445</v>
      </c>
      <c r="K28" s="77">
        <f t="shared" si="3"/>
        <v>1.3159683619987697</v>
      </c>
      <c r="L28" s="76">
        <f t="shared" si="3"/>
        <v>1.13870270108412</v>
      </c>
      <c r="M28" s="75">
        <f t="shared" si="3"/>
        <v>1.0174565333123118</v>
      </c>
      <c r="N28" s="77">
        <f t="shared" si="4"/>
        <v>7.1312445417840991</v>
      </c>
      <c r="O28" s="76">
        <f t="shared" si="4"/>
        <v>7.1027007101757986</v>
      </c>
      <c r="P28" s="75">
        <f t="shared" si="4"/>
        <v>6.5489851503585692</v>
      </c>
      <c r="Q28" s="46"/>
      <c r="R28" s="46"/>
    </row>
    <row r="29" spans="1:18">
      <c r="A29" s="46"/>
      <c r="B29" s="59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>
      <c r="A30" s="46"/>
      <c r="B30" s="59"/>
      <c r="C30" s="343" t="s">
        <v>455</v>
      </c>
      <c r="D30" s="74">
        <f t="shared" ref="D30:J30" si="5">AVERAGE(D24:D27)</f>
        <v>4.8265499865312913</v>
      </c>
      <c r="E30" s="74">
        <f t="shared" si="5"/>
        <v>0.88080220533852693</v>
      </c>
      <c r="F30" s="73">
        <f t="shared" si="5"/>
        <v>0.85433061371006502</v>
      </c>
      <c r="G30" s="72">
        <f t="shared" si="5"/>
        <v>0.81626472116169591</v>
      </c>
      <c r="H30" s="71">
        <f t="shared" si="5"/>
        <v>19.916392322919709</v>
      </c>
      <c r="I30" s="70">
        <f t="shared" si="5"/>
        <v>17.32980151567758</v>
      </c>
      <c r="J30" s="69">
        <f t="shared" si="5"/>
        <v>15.499236587573616</v>
      </c>
      <c r="K30" s="71">
        <f>AVERAGE(K24,K26:K26)</f>
        <v>5.7706413178489102</v>
      </c>
      <c r="L30" s="71">
        <f>AVERAGE(L24,L26:L26)</f>
        <v>5.223660652439384</v>
      </c>
      <c r="M30" s="71">
        <f>AVERAGE(M24,M26:M26)</f>
        <v>4.7499690699482304</v>
      </c>
      <c r="N30" s="71">
        <f>AVERAGE(N24:N27)</f>
        <v>11.012573428475203</v>
      </c>
      <c r="O30" s="70">
        <f>AVERAGE(O24:O27)</f>
        <v>10.687981601678455</v>
      </c>
      <c r="P30" s="69">
        <f>AVERAGE(P24:P27)</f>
        <v>9.8644063619692801</v>
      </c>
      <c r="Q30" s="46"/>
      <c r="R30" s="46"/>
    </row>
    <row r="31" spans="1:18">
      <c r="A31" s="46"/>
      <c r="B31" s="59"/>
      <c r="C31" s="343" t="s">
        <v>456</v>
      </c>
      <c r="D31" s="68">
        <f t="shared" ref="D31:J31" si="6">MEDIAN(D24:D27)</f>
        <v>3.9037322484405479</v>
      </c>
      <c r="E31" s="68">
        <f t="shared" si="6"/>
        <v>0.90018794022865001</v>
      </c>
      <c r="F31" s="67">
        <f t="shared" si="6"/>
        <v>0.88138577009531005</v>
      </c>
      <c r="G31" s="66">
        <f t="shared" si="6"/>
        <v>0.84314248604892317</v>
      </c>
      <c r="H31" s="65">
        <f t="shared" si="6"/>
        <v>19.541277141494579</v>
      </c>
      <c r="I31" s="64">
        <f t="shared" si="6"/>
        <v>16.588762606532971</v>
      </c>
      <c r="J31" s="63">
        <f t="shared" si="6"/>
        <v>14.299844944861494</v>
      </c>
      <c r="K31" s="65">
        <f>MEDIAN(K24,K26:K26)</f>
        <v>5.7706413178489102</v>
      </c>
      <c r="L31" s="65">
        <f>MEDIAN(L24,L26:L26)</f>
        <v>5.2236606524393849</v>
      </c>
      <c r="M31" s="65">
        <f>MEDIAN(M24,M26:M26)</f>
        <v>4.7499690699482304</v>
      </c>
      <c r="N31" s="65">
        <f>MEDIAN(N24:N27)</f>
        <v>8.3397428461410374</v>
      </c>
      <c r="O31" s="64">
        <f>MEDIAN(O24:O27)</f>
        <v>8.8140577025023976</v>
      </c>
      <c r="P31" s="63">
        <f>MEDIAN(P24:P27)</f>
        <v>8.0606174316541317</v>
      </c>
      <c r="Q31" s="46"/>
      <c r="R31" s="46"/>
    </row>
    <row r="32" spans="1:18">
      <c r="A32" s="46"/>
      <c r="B32" s="59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>
      <c r="A33" s="46"/>
      <c r="B33" s="59"/>
      <c r="C33" s="343" t="s">
        <v>455</v>
      </c>
      <c r="D33" s="62">
        <f>D30*$J$10/$E$10</f>
        <v>574.263311167354</v>
      </c>
      <c r="E33" s="62">
        <f t="shared" ref="E33:G34" si="7">(E30*D$19)/$E$10</f>
        <v>341.23673769310119</v>
      </c>
      <c r="F33" s="61">
        <f t="shared" si="7"/>
        <v>344.51167876715158</v>
      </c>
      <c r="G33" s="60">
        <f t="shared" si="7"/>
        <v>342.38047740213113</v>
      </c>
      <c r="H33" s="62">
        <f t="shared" ref="H33:J34" si="8">H30*H$19</f>
        <v>359.0541149450591</v>
      </c>
      <c r="I33" s="61">
        <f t="shared" si="8"/>
        <v>361.0587894664755</v>
      </c>
      <c r="J33" s="60">
        <f t="shared" si="8"/>
        <v>361.40081426052791</v>
      </c>
      <c r="K33" s="62">
        <f t="shared" ref="K33:M34" si="9">K30*H$19*$Q$19*100</f>
        <v>1083.2490855502415</v>
      </c>
      <c r="L33" s="61">
        <f t="shared" si="9"/>
        <v>1133.2201897330658</v>
      </c>
      <c r="M33" s="60">
        <f t="shared" si="9"/>
        <v>1153.2530589089422</v>
      </c>
      <c r="N33" s="62">
        <f t="shared" ref="N33:P34" si="10">(N30*N$19-($G$10-$H$10))/$E$10</f>
        <v>416.2588732191652</v>
      </c>
      <c r="O33" s="61">
        <f t="shared" si="10"/>
        <v>403.97916846966399</v>
      </c>
      <c r="P33" s="60">
        <f t="shared" si="10"/>
        <v>404.43700428696667</v>
      </c>
      <c r="Q33" s="46"/>
      <c r="R33" s="46"/>
    </row>
    <row r="34" spans="1:18">
      <c r="A34" s="46"/>
      <c r="B34" s="59"/>
      <c r="C34" s="343" t="s">
        <v>456</v>
      </c>
      <c r="D34" s="57">
        <f>D31*$J$10/$E$10</f>
        <v>464.46638140203902</v>
      </c>
      <c r="E34" s="57">
        <f t="shared" si="7"/>
        <v>348.7470787113171</v>
      </c>
      <c r="F34" s="56">
        <f t="shared" si="7"/>
        <v>355.42176111233579</v>
      </c>
      <c r="G34" s="55">
        <f t="shared" si="7"/>
        <v>353.65429793487982</v>
      </c>
      <c r="H34" s="57">
        <f t="shared" si="8"/>
        <v>352.29151219626414</v>
      </c>
      <c r="I34" s="56">
        <f t="shared" si="8"/>
        <v>345.61956985156758</v>
      </c>
      <c r="J34" s="55">
        <f t="shared" si="8"/>
        <v>333.43420352816725</v>
      </c>
      <c r="K34" s="57">
        <f t="shared" si="9"/>
        <v>1083.2490855502415</v>
      </c>
      <c r="L34" s="56">
        <f t="shared" si="9"/>
        <v>1133.2201897330663</v>
      </c>
      <c r="M34" s="55">
        <f t="shared" si="9"/>
        <v>1153.2530589089422</v>
      </c>
      <c r="N34" s="57">
        <f t="shared" si="10"/>
        <v>299.72143953115165</v>
      </c>
      <c r="O34" s="56">
        <f t="shared" si="10"/>
        <v>321.94632176909613</v>
      </c>
      <c r="P34" s="55">
        <f t="shared" si="10"/>
        <v>318.79810842282393</v>
      </c>
      <c r="Q34" s="46"/>
      <c r="R34" s="46"/>
    </row>
    <row r="35" spans="1:18">
      <c r="A35" s="51"/>
      <c r="B35" s="54"/>
      <c r="C35" s="46"/>
      <c r="D35" s="52" t="s">
        <v>457</v>
      </c>
      <c r="E35" s="53"/>
      <c r="F35" s="53"/>
      <c r="G35" s="53"/>
      <c r="H35" s="52" t="s">
        <v>458</v>
      </c>
      <c r="I35" s="52" t="s">
        <v>459</v>
      </c>
      <c r="J35" s="52" t="s">
        <v>460</v>
      </c>
      <c r="K35" s="52" t="s">
        <v>461</v>
      </c>
      <c r="L35" s="52" t="s">
        <v>462</v>
      </c>
      <c r="M35" s="52" t="s">
        <v>463</v>
      </c>
      <c r="N35" s="52" t="s">
        <v>464</v>
      </c>
      <c r="O35" s="52" t="s">
        <v>465</v>
      </c>
      <c r="P35" s="51"/>
      <c r="Q35" s="51"/>
      <c r="R35" s="51"/>
    </row>
    <row r="36" spans="1:18">
      <c r="A36" s="49" t="s">
        <v>466</v>
      </c>
      <c r="B36" s="50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8"/>
      <c r="Q36" s="47"/>
      <c r="R36" s="46"/>
    </row>
    <row r="37" spans="1:18">
      <c r="A37" s="45"/>
      <c r="B37" s="44"/>
      <c r="C37" s="42" t="s">
        <v>467</v>
      </c>
      <c r="D37" s="43" t="s">
        <v>468</v>
      </c>
      <c r="E37" s="43" t="s">
        <v>469</v>
      </c>
      <c r="F37" s="43"/>
      <c r="G37" s="41"/>
      <c r="H37" s="42" t="s">
        <v>470</v>
      </c>
      <c r="I37" s="43" t="s">
        <v>471</v>
      </c>
      <c r="J37" s="43" t="s">
        <v>322</v>
      </c>
      <c r="K37" s="42"/>
      <c r="L37" s="41"/>
      <c r="M37" s="42" t="s">
        <v>472</v>
      </c>
      <c r="N37" s="41" t="s">
        <v>473</v>
      </c>
      <c r="O37" s="41" t="s">
        <v>474</v>
      </c>
      <c r="P37" s="6"/>
      <c r="Q37" s="6"/>
      <c r="R37" s="6"/>
    </row>
    <row r="38" spans="1:18">
      <c r="A38" s="40" t="s">
        <v>424</v>
      </c>
      <c r="B38" s="40" t="s">
        <v>425</v>
      </c>
      <c r="C38" s="38" t="s">
        <v>475</v>
      </c>
      <c r="D38" s="39" t="s">
        <v>475</v>
      </c>
      <c r="E38" s="39" t="s">
        <v>475</v>
      </c>
      <c r="F38" s="39" t="s">
        <v>476</v>
      </c>
      <c r="G38" s="37" t="s">
        <v>477</v>
      </c>
      <c r="H38" s="38" t="s">
        <v>478</v>
      </c>
      <c r="I38" s="39" t="s">
        <v>478</v>
      </c>
      <c r="J38" s="39" t="s">
        <v>478</v>
      </c>
      <c r="K38" s="38" t="s">
        <v>479</v>
      </c>
      <c r="L38" s="37" t="s">
        <v>480</v>
      </c>
      <c r="M38" s="38" t="s">
        <v>481</v>
      </c>
      <c r="N38" s="37" t="s">
        <v>481</v>
      </c>
      <c r="O38" s="37" t="s">
        <v>482</v>
      </c>
      <c r="P38" s="31"/>
      <c r="Q38" s="6"/>
      <c r="R38" s="6"/>
    </row>
    <row r="39" spans="1:18">
      <c r="A39" s="30" t="str">
        <f>A6</f>
        <v>United Parcel Service Inc</v>
      </c>
      <c r="B39" s="29" t="str">
        <f>IF(B15="","",B24)</f>
        <v>UPS</v>
      </c>
      <c r="C39" s="36" cm="1">
        <f t="array" ref="C39">IF($B39="","",_xll.RDP.Data($B39,"TR.GrossMargin")/100)</f>
        <v>0.802844</v>
      </c>
      <c r="D39" s="35" cm="1">
        <f t="array" ref="D39">IF($B39="","",_xll.RDP.Data($B39,"TR.OperatingMarginPercent")/100)</f>
        <v>9.2983399999999994E-2</v>
      </c>
      <c r="E39" s="35" cm="1">
        <f t="array" ref="E39">IF($B39="","",_xll.RDP.Data($B39,"TR.NetProfitMargin")/100)</f>
        <v>6.3489599999999993E-2</v>
      </c>
      <c r="F39" s="35" cm="1">
        <f t="array" ref="F39">IF($B39="","",_xll.RDP.Data($B39,"TR.ROAActValue")/100)</f>
        <v>9.3900000000000011E-2</v>
      </c>
      <c r="G39" s="35" cm="1">
        <f t="array" ref="G39">IF($B39="","",_xll.RDP.Data($B39,"TR.ROEActValue")/100)</f>
        <v>0.38880000000000003</v>
      </c>
      <c r="H39" s="34">
        <f>IF($B39="","",_xll.RDP.Data($B39,"TR.AssetTurnover"))</f>
        <v>1.2924421864</v>
      </c>
      <c r="I39" s="33" t="str">
        <f>IF($B39="","",_xll.RDP.Data($B39,"TR.InventoryTurnover"))</f>
        <v>NULL</v>
      </c>
      <c r="J39" s="32" cm="1">
        <f t="array" ref="J39">IF($B39="","",_xll.RDP.Data($B39,"TR.Revenue")/_xll.RDP.Data($B39,"TR.TotalReceivablesNet"))</f>
        <v>8.3773341918866713</v>
      </c>
      <c r="K39" s="23">
        <f>IF($B39="","",_xll.RDP.Data($B39,"TR.TtlDebtToTtlEquityPct"))</f>
        <v>127.3118794114</v>
      </c>
      <c r="L39" s="22">
        <f>IF($B39="","",_xll.RDP.Data($B39,"TR.LTDebtToTtlCapitalPct"))</f>
        <v>51.137349777799997</v>
      </c>
      <c r="M39" s="21">
        <f>IF($B39="","",_xll.RDP.Data($B39,"TR.QuickRatio"))</f>
        <v>1.1745000000000001</v>
      </c>
      <c r="N39" s="20">
        <f>IF($B39="","",_xll.RDP.Data($B39,"TR.CurrentRatio"))</f>
        <v>1.1745000000000001</v>
      </c>
      <c r="O39" s="19" cm="1">
        <f t="array" ref="O39">IF($B39="","",_xll.RDP.Data($B39,"TR.EBITDA")/_xll.RDP.Data($B39,"TR.InterestExpense"))</f>
        <v>14.38568129330254</v>
      </c>
      <c r="P39" s="31"/>
      <c r="Q39" s="6"/>
      <c r="R39" s="6"/>
    </row>
    <row r="40" spans="1:18">
      <c r="A40" s="30" t="str">
        <f>A7</f>
        <v>J B Hunt Transport Services Inc</v>
      </c>
      <c r="B40" s="29" t="str">
        <f>IF(B16="","",B25)</f>
        <v>JBHT.O</v>
      </c>
      <c r="C40" s="28" cm="1">
        <f t="array" ref="C40">IF($B40="","",_xll.RDP.Data($B40,"TR.GrossMargin")/100)</f>
        <v>0.19267679999999998</v>
      </c>
      <c r="D40" s="27" cm="1">
        <f t="array" ref="D40">IF($B40="","",_xll.RDP.Data($B40,"TR.OperatingMarginPercent")/100)</f>
        <v>6.8768999999999997E-2</v>
      </c>
      <c r="E40" s="27" cm="1">
        <f t="array" ref="E40">IF($B40="","",_xll.RDP.Data($B40,"TR.NetProfitMargin")/100)</f>
        <v>4.7230600000000005E-2</v>
      </c>
      <c r="F40" s="27" cm="1">
        <f t="array" ref="F40">IF($B40="","",_xll.RDP.Data($B40,"TR.ROAActValue")/100)</f>
        <v>6.7900000000000002E-2</v>
      </c>
      <c r="G40" s="26" cm="1">
        <f t="array" ref="G40">IF($B40="","",_xll.RDP.Data($B40,"TR.ROEActValue")/100)</f>
        <v>0.1406</v>
      </c>
      <c r="H40" s="23">
        <f>IF($B40="","",_xll.RDP.Data($B40,"TR.AssetTurnover"))</f>
        <v>1.4346378422999999</v>
      </c>
      <c r="I40" s="25">
        <f>IF($B40="","",_xll.RDP.Data($B40,"TR.InventoryTurnover"))</f>
        <v>232.76118690960001</v>
      </c>
      <c r="J40" s="24" cm="1">
        <f t="array" ref="J40">IF($B40="","",_xll.RDP.Data($B40,"TR.Revenue")/_xll.RDP.Data($B40,"TR.TotalReceivablesNet"))</f>
        <v>8.1563383132920357</v>
      </c>
      <c r="K40" s="23">
        <f>IF($B40="","",_xll.RDP.Data($B40,"TR.TtlDebtToTtlEquityPct"))</f>
        <v>36.809071105900003</v>
      </c>
      <c r="L40" s="22">
        <f>IF($B40="","",_xll.RDP.Data($B40,"TR.LTDebtToTtlCapitalPct"))</f>
        <v>17.8016232819</v>
      </c>
      <c r="M40" s="21">
        <f>IF($B40="","",_xll.RDP.Data($B40,"TR.QuickRatio"))</f>
        <v>1.0305599999999999</v>
      </c>
      <c r="N40" s="20">
        <f>IF($B40="","",_xll.RDP.Data($B40,"TR.CurrentRatio"))</f>
        <v>1.0553900000000001</v>
      </c>
      <c r="O40" s="19" cm="1">
        <f t="array" ref="O40">IF($B40="","",_xll.RDP.Data($B40,"TR.EBITDA")/_xll.RDP.Data($B40,"TR.InterestExpense"))</f>
        <v>20.151430017717033</v>
      </c>
      <c r="P40" s="6"/>
      <c r="Q40" s="6"/>
      <c r="R40" s="6"/>
    </row>
    <row r="41" spans="1:18">
      <c r="A41" s="30" t="str">
        <f>A8</f>
        <v>Deutsche Post AG</v>
      </c>
      <c r="B41" s="29" t="str">
        <f>IF(B17="","",B26)</f>
        <v>DHLN.DE</v>
      </c>
      <c r="C41" s="28" cm="1">
        <f t="array" ref="C41">IF($B41="","",_xll.RDP.Data($B41,"TR.GrossMargin")/100)</f>
        <v>0.5141829</v>
      </c>
      <c r="D41" s="27" cm="1">
        <f t="array" ref="D41">IF($B41="","",_xll.RDP.Data($B41,"TR.OperatingMarginPercent")/100)</f>
        <v>6.9916600000000009E-2</v>
      </c>
      <c r="E41" s="27" cm="1">
        <f t="array" ref="E41">IF($B41="","",_xll.RDP.Data($B41,"TR.NetProfitMargin")/100)</f>
        <v>3.9579000000000003E-2</v>
      </c>
      <c r="F41" s="27" cm="1">
        <f t="array" ref="F41">IF($B41="","",_xll.RDP.Data($B41,"TR.ROAActValue")/100)</f>
        <v>4.8789999999999993E-2</v>
      </c>
      <c r="G41" s="26" cm="1">
        <f t="array" ref="G41">IF($B41="","",_xll.RDP.Data($B41,"TR.ROEActValue")/100)</f>
        <v>0.14400000000000002</v>
      </c>
      <c r="H41" s="23">
        <f>IF($B41="","",_xll.RDP.Data($B41,"TR.AssetTurnover"))</f>
        <v>1.2317889516</v>
      </c>
      <c r="I41" s="25">
        <f>IF($B41="","",_xll.RDP.Data($B41,"TR.InventoryTurnover"))</f>
        <v>37.062981422699998</v>
      </c>
      <c r="J41" s="24" cm="1">
        <f t="array" ref="J41">IF($B41="","",_xll.RDP.Data($B41,"TR.Revenue")/_xll.RDP.Data($B41,"TR.TotalReceivablesNet"))</f>
        <v>6.5220018593120548</v>
      </c>
      <c r="K41" s="23">
        <f>IF($B41="","",_xll.RDP.Data($B41,"TR.TtlDebtToTtlEquityPct"))</f>
        <v>101.5046442231</v>
      </c>
      <c r="L41" s="22">
        <f>IF($B41="","",_xll.RDP.Data($B41,"TR.LTDebtToTtlCapitalPct"))</f>
        <v>38.799859390800002</v>
      </c>
      <c r="M41" s="21">
        <f>IF($B41="","",_xll.RDP.Data($B41,"TR.QuickRatio"))</f>
        <v>0.89749999999999996</v>
      </c>
      <c r="N41" s="20">
        <f>IF($B41="","",_xll.RDP.Data($B41,"TR.CurrentRatio"))</f>
        <v>0.95162999999999998</v>
      </c>
      <c r="O41" s="19" cm="1">
        <f t="array" ref="O41">IF($B41="","",_xll.RDP.Data($B41,"TR.EBITDA")/_xll.RDP.Data($B41,"TR.InterestExpense"))</f>
        <v>11.316810344827585</v>
      </c>
      <c r="P41" s="6"/>
      <c r="Q41" s="6"/>
      <c r="R41" s="6"/>
    </row>
    <row r="42" spans="1:18">
      <c r="A42" s="30" t="str">
        <f>A9</f>
        <v>CH Robinson Worldwide Inc</v>
      </c>
      <c r="B42" s="29" t="str">
        <f>IF(B18="","",B27)</f>
        <v>CHRW.O</v>
      </c>
      <c r="C42" s="28" cm="1">
        <f t="array" ref="C42">IF($B42="","",_xll.RDP.Data($B42,"TR.GrossMargin")/100)</f>
        <v>0.15599550000000001</v>
      </c>
      <c r="D42" s="27" cm="1">
        <f t="array" ref="D42">IF($B42="","",_xll.RDP.Data($B42,"TR.OperatingMarginPercent")/100)</f>
        <v>3.7751300000000002E-2</v>
      </c>
      <c r="E42" s="27" cm="1">
        <f t="array" ref="E42">IF($B42="","",_xll.RDP.Data($B42,"TR.NetProfitMargin")/100)</f>
        <v>2.6273100000000001E-2</v>
      </c>
      <c r="F42" s="27" cm="1">
        <f t="array" ref="F42">IF($B42="","",_xll.RDP.Data($B42,"TR.ROAActValue")/100)</f>
        <v>0.10339999999999999</v>
      </c>
      <c r="G42" s="26" cm="1">
        <f t="array" ref="G42">IF($B42="","",_xll.RDP.Data($B42,"TR.ROEActValue")/100)</f>
        <v>0.34639999999999999</v>
      </c>
      <c r="H42" s="23">
        <f>IF($B42="","",_xll.RDP.Data($B42,"TR.AssetTurnover"))</f>
        <v>3.3687368658999999</v>
      </c>
      <c r="I42" s="25" t="str">
        <f>IF($B42="","",_xll.RDP.Data($B42,"TR.InventoryTurnover"))</f>
        <v>NULL</v>
      </c>
      <c r="J42" s="24" cm="1">
        <f t="array" ref="J42">IF($B42="","",_xll.RDP.Data($B42,"TR.Revenue")/_xll.RDP.Data($B42,"TR.TotalReceivablesNet"))</f>
        <v>6.8593942588372245</v>
      </c>
      <c r="K42" s="23">
        <f>IF($B42="","",_xll.RDP.Data($B42,"TR.TtlDebtToTtlEquityPct"))</f>
        <v>81.9630777486</v>
      </c>
      <c r="L42" s="22">
        <f>IF($B42="","",_xll.RDP.Data($B42,"TR.LTDebtToTtlCapitalPct"))</f>
        <v>29.419431389300001</v>
      </c>
      <c r="M42" s="21">
        <f>IF($B42="","",_xll.RDP.Data($B42,"TR.QuickRatio"))</f>
        <v>1.2773000000000001</v>
      </c>
      <c r="N42" s="20">
        <f>IF($B42="","",_xll.RDP.Data($B42,"TR.CurrentRatio"))</f>
        <v>1.2773000000000001</v>
      </c>
      <c r="O42" s="19" cm="1">
        <f t="array" ref="O42">IF($B42="","",_xll.RDP.Data($B42,"TR.EBITDA")/_xll.RDP.Data($B42,"TR.InterestExpense"))</f>
        <v>9.5232885241891552</v>
      </c>
      <c r="P42" s="6"/>
      <c r="Q42" s="6"/>
      <c r="R42" s="6"/>
    </row>
    <row r="43" spans="1:18">
      <c r="A43" s="18" t="str">
        <f>A10</f>
        <v>FedEx Corp</v>
      </c>
      <c r="B43" s="17" t="str">
        <f>IF(B19="","",B28)</f>
        <v>FDX</v>
      </c>
      <c r="C43" s="16" cm="1">
        <f t="array" ref="C43">IF($B43="","",_xll.RDP.Data($B43,"TR.GrossMargin")/100)</f>
        <v>0.70949430000000002</v>
      </c>
      <c r="D43" s="15" cm="1">
        <f t="array" ref="D43">IF($B43="","",_xll.RDP.Data($B43,"TR.OperatingMarginPercent")/100)</f>
        <v>5.9333999999999998E-2</v>
      </c>
      <c r="E43" s="15" cm="1">
        <f t="array" ref="E43">IF($B43="","",_xll.RDP.Data($B43,"TR.NetProfitMargin")/100)</f>
        <v>4.6482299999999997E-2</v>
      </c>
      <c r="F43" s="15" cm="1">
        <f t="array" ref="F43">IF($B43="","",_xll.RDP.Data($B43,"TR.ROAActValue")/100)</f>
        <v>5.0700000000000002E-2</v>
      </c>
      <c r="G43" s="14" cm="1">
        <f t="array" ref="G43">IF($B43="","",_xll.RDP.Data($B43,"TR.ROEActValue")/100)</f>
        <v>0.15919</v>
      </c>
      <c r="H43" s="11">
        <f>IF($B43="","",_xll.RDP.Data($B43,"TR.AssetTurnover"))</f>
        <v>1.0069745869</v>
      </c>
      <c r="I43" s="13">
        <f>IF($B43="","",_xll.RDP.Data($B43,"TR.InventoryTurnover"))</f>
        <v>42.011513157899998</v>
      </c>
      <c r="J43" s="12" cm="1">
        <f t="array" ref="J43">IF($B43="","",_xll.RDP.Data($B43,"TR.Revenue")/_xll.RDP.Data($B43,"TR.TotalReceivablesNet"))</f>
        <v>7.7345179451090784</v>
      </c>
      <c r="K43" s="11">
        <f>IF($B43="","",_xll.RDP.Data($B43,"TR.TtlDebtToTtlEquityPct"))</f>
        <v>73.3027000071</v>
      </c>
      <c r="L43" s="10">
        <f>IF($B43="","",_xll.RDP.Data($B43,"TR.LTDebtToTtlCapitalPct"))</f>
        <v>39.362423694299999</v>
      </c>
      <c r="M43" s="9">
        <f>IF($B43="","",_xll.RDP.Data($B43,"TR.QuickRatio"))</f>
        <v>1.15398</v>
      </c>
      <c r="N43" s="8">
        <f>IF($B43="","",_xll.RDP.Data($B43,"TR.CurrentRatio"))</f>
        <v>1.1930400000000001</v>
      </c>
      <c r="O43" s="7" cm="1">
        <f t="array" ref="O43">IF($B43="","",_xll.RDP.Data($B43,"TR.EBITDA")/_xll.RDP.Data($B43,"TR.InterestExpense"))</f>
        <v>13.112801013941699</v>
      </c>
      <c r="P43" s="6"/>
      <c r="Q43" s="6"/>
      <c r="R43" s="6"/>
    </row>
  </sheetData>
  <conditionalFormatting sqref="D33:P34">
    <cfRule type="cellIs" dxfId="3" priority="1" operator="lessThan">
      <formula>$C$28</formula>
    </cfRule>
    <cfRule type="cellIs" dxfId="2" priority="2" operator="greaterThan">
      <formula>$C$28</formula>
    </cfRule>
  </conditionalFormatting>
  <hyperlinks>
    <hyperlink ref="G10" tooltip="Thomson Reuters Click-Thru" xr:uid="{3CB3BC24-CA54-4C16-9BD1-0F5A0B0C5790}"/>
    <hyperlink ref="H10" tooltip="Thomson Reuters Click-Thru" xr:uid="{EA8F4756-FC39-4B5F-B966-7B532B094E84}"/>
    <hyperlink ref="J40" tooltip="Thomson Reuters Click-Thru" xr:uid="{82D9EBE1-E2C4-454A-84BA-55EDA972253E}"/>
    <hyperlink ref="G7" tooltip="Thomson Reuters Click-Thru" xr:uid="{2E9AF4AD-D462-414D-BD9F-E38DAA90F810}"/>
    <hyperlink ref="G8" tooltip="Thomson Reuters Click-Thru" xr:uid="{5995559B-4CF0-4CBF-956B-841B04E88C86}"/>
    <hyperlink ref="G9" tooltip="Thomson Reuters Click-Thru" xr:uid="{BBA58821-D599-4A61-89CC-B42502A2831D}"/>
    <hyperlink ref="H7:H8" tooltip="Thomson Reuters Click-Thru" xr:uid="{E58A6622-AF8F-428A-9830-53AF37F50C47}"/>
    <hyperlink ref="H6" tooltip="Thomson Reuters Click-Thru" xr:uid="{F302A7E7-6647-4BC6-AA4B-D1C016C771F4}"/>
    <hyperlink ref="G6" tooltip="Thomson Reuters Click-Thru" xr:uid="{97D7C51B-B3AC-4B4B-8C6E-A1699CA0F5E5}"/>
    <hyperlink ref="J39" tooltip="Thomson Reuters Click-Thru" xr:uid="{873E282C-A9F0-4AC8-B61E-1A17396B6958}"/>
  </hyperlink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9A0C-2A3B-4823-961F-EC36FDD4F779}">
  <dimension ref="A1:R43"/>
  <sheetViews>
    <sheetView zoomScale="60" zoomScaleNormal="60" workbookViewId="0">
      <selection activeCell="B8" sqref="B8"/>
    </sheetView>
  </sheetViews>
  <sheetFormatPr defaultColWidth="9.6640625" defaultRowHeight="15"/>
  <cols>
    <col min="1" max="1" width="47.33203125" style="5" bestFit="1" customWidth="1"/>
    <col min="2" max="2" width="10.33203125" style="5" bestFit="1" customWidth="1"/>
    <col min="3" max="3" width="10.6640625" style="5" bestFit="1" customWidth="1"/>
    <col min="4" max="4" width="33.6640625" style="5" customWidth="1"/>
    <col min="5" max="7" width="10.6640625" style="5" bestFit="1" customWidth="1"/>
    <col min="8" max="8" width="21.44140625" style="5" bestFit="1" customWidth="1"/>
    <col min="9" max="9" width="24.33203125" style="5" bestFit="1" customWidth="1"/>
    <col min="10" max="10" width="26.6640625" style="5" bestFit="1" customWidth="1"/>
    <col min="11" max="11" width="32.33203125" style="5" bestFit="1" customWidth="1"/>
    <col min="12" max="12" width="30.33203125" style="5" bestFit="1" customWidth="1"/>
    <col min="13" max="13" width="33.33203125" style="5" bestFit="1" customWidth="1"/>
    <col min="14" max="14" width="22.44140625" style="5" bestFit="1" customWidth="1"/>
    <col min="15" max="15" width="24.44140625" style="5" bestFit="1" customWidth="1"/>
    <col min="16" max="16" width="12.44140625" style="5" bestFit="1" customWidth="1"/>
    <col min="17" max="17" width="10.6640625" style="5" bestFit="1" customWidth="1"/>
    <col min="18" max="16384" width="9.6640625" style="5"/>
  </cols>
  <sheetData>
    <row r="1" spans="1:18">
      <c r="A1" s="46"/>
      <c r="B1" s="59"/>
      <c r="C1" s="46" t="s">
        <v>414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>
      <c r="A2" s="149" t="s">
        <v>415</v>
      </c>
      <c r="B2" s="150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46"/>
    </row>
    <row r="3" spans="1:18">
      <c r="A3" s="49" t="s">
        <v>416</v>
      </c>
      <c r="B3" s="148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6"/>
    </row>
    <row r="4" spans="1:18">
      <c r="A4" s="100" t="s">
        <v>417</v>
      </c>
      <c r="B4" s="121"/>
      <c r="C4" s="147" t="s">
        <v>418</v>
      </c>
      <c r="D4" s="146" t="s">
        <v>419</v>
      </c>
      <c r="E4" s="146" t="s">
        <v>420</v>
      </c>
      <c r="F4" s="146" t="s">
        <v>421</v>
      </c>
      <c r="G4" s="146" t="s">
        <v>131</v>
      </c>
      <c r="H4" s="146"/>
      <c r="I4" s="146" t="s">
        <v>422</v>
      </c>
      <c r="J4" s="145" t="s">
        <v>79</v>
      </c>
      <c r="K4" s="145"/>
      <c r="L4" s="99" t="s">
        <v>423</v>
      </c>
      <c r="M4" s="46"/>
      <c r="N4" s="46"/>
      <c r="O4" s="46"/>
      <c r="P4" s="46"/>
      <c r="Q4" s="46"/>
      <c r="R4" s="46"/>
    </row>
    <row r="5" spans="1:18">
      <c r="A5" s="95" t="s">
        <v>424</v>
      </c>
      <c r="B5" s="95" t="s">
        <v>425</v>
      </c>
      <c r="C5" s="144" t="s">
        <v>426</v>
      </c>
      <c r="D5" s="143" t="s">
        <v>427</v>
      </c>
      <c r="E5" s="143" t="s">
        <v>428</v>
      </c>
      <c r="F5" s="143" t="s">
        <v>429</v>
      </c>
      <c r="G5" s="143" t="s">
        <v>430</v>
      </c>
      <c r="H5" s="143" t="s">
        <v>431</v>
      </c>
      <c r="I5" s="143" t="s">
        <v>432</v>
      </c>
      <c r="J5" s="142" t="s">
        <v>432</v>
      </c>
      <c r="K5" s="142" t="s">
        <v>72</v>
      </c>
      <c r="L5" s="95" t="s">
        <v>433</v>
      </c>
      <c r="M5" s="46"/>
      <c r="N5" s="46"/>
      <c r="O5" s="46"/>
      <c r="P5" s="46"/>
      <c r="Q5" s="46"/>
      <c r="R5" s="46"/>
    </row>
    <row r="6" spans="1:18">
      <c r="A6" s="30" t="s">
        <v>483</v>
      </c>
      <c r="B6" s="136" t="s">
        <v>90</v>
      </c>
      <c r="C6" s="141">
        <v>86.78</v>
      </c>
      <c r="D6" s="140">
        <v>145.01</v>
      </c>
      <c r="E6" s="133">
        <v>847.56964200000004</v>
      </c>
      <c r="F6" s="139">
        <v>73552.093532760002</v>
      </c>
      <c r="G6" s="139">
        <v>21284</v>
      </c>
      <c r="H6" s="139">
        <v>6112</v>
      </c>
      <c r="I6" s="132">
        <v>88724.093532760002</v>
      </c>
      <c r="J6" s="139">
        <v>16718</v>
      </c>
      <c r="K6" s="138">
        <v>1.07193944040056</v>
      </c>
      <c r="L6" s="137">
        <v>102.18464</v>
      </c>
      <c r="M6" s="122"/>
      <c r="N6" s="6"/>
      <c r="O6" s="6"/>
      <c r="P6" s="6"/>
      <c r="Q6" s="6"/>
      <c r="R6" s="6"/>
    </row>
    <row r="7" spans="1:18">
      <c r="A7" s="30" t="s">
        <v>484</v>
      </c>
      <c r="B7" s="136" t="s">
        <v>93</v>
      </c>
      <c r="C7" s="134">
        <v>137.94999999999999</v>
      </c>
      <c r="D7" s="31">
        <v>200.4</v>
      </c>
      <c r="E7" s="133">
        <v>96.799280999999993</v>
      </c>
      <c r="F7" s="132">
        <v>13353.460813949998</v>
      </c>
      <c r="G7" s="132">
        <v>1477.702</v>
      </c>
      <c r="H7" s="132">
        <v>46.982999999999997</v>
      </c>
      <c r="I7" s="132">
        <v>14784.179813949997</v>
      </c>
      <c r="J7" s="132">
        <v>4014.5050000000001</v>
      </c>
      <c r="K7" s="131">
        <v>1.2440922416945599</v>
      </c>
      <c r="L7" s="130">
        <v>156.43957</v>
      </c>
      <c r="M7" s="122"/>
      <c r="N7" s="6"/>
      <c r="O7" s="6"/>
      <c r="P7" s="6"/>
      <c r="Q7" s="6"/>
      <c r="R7" s="6"/>
    </row>
    <row r="8" spans="1:18">
      <c r="A8" s="30" t="s">
        <v>485</v>
      </c>
      <c r="B8" s="136" t="s">
        <v>94</v>
      </c>
      <c r="C8" s="134">
        <v>53.73</v>
      </c>
      <c r="D8" s="31">
        <v>63.33</v>
      </c>
      <c r="E8" s="133">
        <v>114.47327900000001</v>
      </c>
      <c r="F8" s="132">
        <v>6150.6492806699998</v>
      </c>
      <c r="G8" s="132">
        <v>2631</v>
      </c>
      <c r="H8" s="132">
        <v>413</v>
      </c>
      <c r="I8" s="132">
        <v>8368.6492806700007</v>
      </c>
      <c r="J8" s="132">
        <v>3003</v>
      </c>
      <c r="K8" s="131">
        <v>1.70736954519715</v>
      </c>
      <c r="L8" s="130">
        <v>61.643529999999998</v>
      </c>
      <c r="M8" s="122"/>
      <c r="N8" s="6"/>
      <c r="O8" s="6"/>
      <c r="P8" s="6"/>
      <c r="Q8" s="6"/>
      <c r="R8" s="6"/>
    </row>
    <row r="9" spans="1:18">
      <c r="A9" s="30" t="s">
        <v>486</v>
      </c>
      <c r="B9" s="135" t="s">
        <v>434</v>
      </c>
      <c r="C9" s="134">
        <v>135.4</v>
      </c>
      <c r="D9" s="31">
        <v>137.99600000000001</v>
      </c>
      <c r="E9" s="133">
        <v>118.091162</v>
      </c>
      <c r="F9" s="132">
        <v>15989.543334800001</v>
      </c>
      <c r="G9" s="132">
        <v>1411.4459999999999</v>
      </c>
      <c r="H9" s="132">
        <v>145.762</v>
      </c>
      <c r="I9" s="132">
        <v>17255.227334800002</v>
      </c>
      <c r="J9" s="132">
        <v>1722.0509999999999</v>
      </c>
      <c r="K9" s="131">
        <v>0.86796168882592295</v>
      </c>
      <c r="L9" s="130">
        <v>126.54625</v>
      </c>
      <c r="M9" s="122"/>
      <c r="N9" s="6"/>
      <c r="O9" s="6"/>
      <c r="P9" s="6"/>
      <c r="Q9" s="6"/>
      <c r="R9" s="6"/>
    </row>
    <row r="10" spans="1:18">
      <c r="A10" s="30" t="s">
        <v>487</v>
      </c>
      <c r="B10" s="129" t="s">
        <v>104</v>
      </c>
      <c r="C10" s="128">
        <v>244.61</v>
      </c>
      <c r="D10" s="127">
        <v>308.52999999999997</v>
      </c>
      <c r="E10" s="126">
        <v>235.95546100000001</v>
      </c>
      <c r="F10" s="125">
        <v>57717.065315210006</v>
      </c>
      <c r="G10" s="125">
        <v>20579</v>
      </c>
      <c r="H10" s="125">
        <v>5502</v>
      </c>
      <c r="I10" s="125">
        <v>72794.065315209999</v>
      </c>
      <c r="J10" s="125">
        <v>28074</v>
      </c>
      <c r="K10" s="124">
        <v>1.31221558879197</v>
      </c>
      <c r="L10" s="123">
        <v>266.62</v>
      </c>
      <c r="M10" s="122"/>
      <c r="N10" s="6"/>
      <c r="O10" s="6"/>
      <c r="P10" s="6"/>
      <c r="Q10" s="6"/>
      <c r="R10" s="6"/>
    </row>
    <row r="11" spans="1:18">
      <c r="A11" s="46"/>
      <c r="B11" s="59"/>
      <c r="C11" s="46" t="s">
        <v>435</v>
      </c>
      <c r="D11" s="46" t="s">
        <v>435</v>
      </c>
      <c r="E11" s="46" t="s">
        <v>435</v>
      </c>
      <c r="F11" s="46" t="s">
        <v>435</v>
      </c>
      <c r="G11" s="46" t="s">
        <v>435</v>
      </c>
      <c r="H11" s="46" t="s">
        <v>435</v>
      </c>
      <c r="I11" s="46" t="s">
        <v>435</v>
      </c>
      <c r="J11" s="46" t="s">
        <v>435</v>
      </c>
      <c r="K11" s="46" t="s">
        <v>435</v>
      </c>
      <c r="L11" s="46" t="s">
        <v>435</v>
      </c>
      <c r="M11" s="46"/>
      <c r="N11" s="46"/>
      <c r="O11" s="46"/>
      <c r="P11" s="46"/>
      <c r="Q11" s="46"/>
      <c r="R11" s="46"/>
    </row>
    <row r="12" spans="1:18">
      <c r="A12" s="49" t="s">
        <v>436</v>
      </c>
      <c r="B12" s="50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8"/>
      <c r="Q12" s="47"/>
      <c r="R12" s="46"/>
    </row>
    <row r="13" spans="1:18">
      <c r="A13" s="100"/>
      <c r="B13" s="121"/>
      <c r="C13" s="98" t="s">
        <v>437</v>
      </c>
      <c r="D13" s="120"/>
      <c r="E13" s="120"/>
      <c r="F13" s="119"/>
      <c r="G13" s="98" t="s">
        <v>438</v>
      </c>
      <c r="H13" s="120"/>
      <c r="I13" s="120"/>
      <c r="J13" s="119"/>
      <c r="K13" s="120" t="s">
        <v>439</v>
      </c>
      <c r="L13" s="120"/>
      <c r="M13" s="119"/>
      <c r="N13" s="98" t="s">
        <v>440</v>
      </c>
      <c r="O13" s="120"/>
      <c r="P13" s="119"/>
      <c r="Q13" s="99" t="s">
        <v>441</v>
      </c>
      <c r="R13" s="46"/>
    </row>
    <row r="14" spans="1:18">
      <c r="A14" s="95" t="s">
        <v>424</v>
      </c>
      <c r="B14" s="95" t="s">
        <v>425</v>
      </c>
      <c r="C14" s="94" t="s">
        <v>442</v>
      </c>
      <c r="D14" s="93" t="s">
        <v>443</v>
      </c>
      <c r="E14" s="93" t="s">
        <v>444</v>
      </c>
      <c r="F14" s="92" t="s">
        <v>445</v>
      </c>
      <c r="G14" s="94" t="s">
        <v>442</v>
      </c>
      <c r="H14" s="93" t="s">
        <v>443</v>
      </c>
      <c r="I14" s="93" t="s">
        <v>444</v>
      </c>
      <c r="J14" s="92" t="s">
        <v>445</v>
      </c>
      <c r="K14" s="94" t="s">
        <v>442</v>
      </c>
      <c r="L14" s="93" t="s">
        <v>443</v>
      </c>
      <c r="M14" s="92" t="s">
        <v>444</v>
      </c>
      <c r="N14" s="94" t="s">
        <v>442</v>
      </c>
      <c r="O14" s="93" t="s">
        <v>443</v>
      </c>
      <c r="P14" s="92" t="s">
        <v>444</v>
      </c>
      <c r="Q14" s="118" t="s">
        <v>446</v>
      </c>
      <c r="R14" s="46"/>
    </row>
    <row r="15" spans="1:18">
      <c r="A15" s="91" t="s">
        <v>483</v>
      </c>
      <c r="B15" s="116" t="s">
        <v>90</v>
      </c>
      <c r="C15" s="114">
        <v>91070</v>
      </c>
      <c r="D15" s="114">
        <v>87579.884919999997</v>
      </c>
      <c r="E15" s="114">
        <v>87840.280350000001</v>
      </c>
      <c r="F15" s="117">
        <v>91088.424270000003</v>
      </c>
      <c r="G15" s="110">
        <v>7.4945399999999998</v>
      </c>
      <c r="H15" s="110">
        <v>6.5095999999999998</v>
      </c>
      <c r="I15" s="110">
        <v>7.1955</v>
      </c>
      <c r="J15" s="112">
        <v>7.9133300000000002</v>
      </c>
      <c r="K15" s="110">
        <v>8684.2355399999997</v>
      </c>
      <c r="L15" s="110">
        <v>7787.6362300000001</v>
      </c>
      <c r="M15" s="112">
        <v>8554.1496200000001</v>
      </c>
      <c r="N15" s="111">
        <v>12286.92441</v>
      </c>
      <c r="O15" s="110">
        <v>11434.94147</v>
      </c>
      <c r="P15" s="110">
        <v>12253.156000000001</v>
      </c>
      <c r="Q15" s="109">
        <v>1.375E-2</v>
      </c>
      <c r="R15" s="46"/>
    </row>
    <row r="16" spans="1:18">
      <c r="A16" s="91" t="s">
        <v>484</v>
      </c>
      <c r="B16" s="116" t="s">
        <v>93</v>
      </c>
      <c r="C16" s="114">
        <v>12087.204</v>
      </c>
      <c r="D16" s="114">
        <v>12007.44255</v>
      </c>
      <c r="E16" s="114">
        <v>12620.12032</v>
      </c>
      <c r="F16" s="113">
        <v>13270.544169999999</v>
      </c>
      <c r="G16" s="110">
        <v>5.6402999999999999</v>
      </c>
      <c r="H16" s="110">
        <v>5.5660400000000001</v>
      </c>
      <c r="I16" s="110">
        <v>6.8483900000000002</v>
      </c>
      <c r="J16" s="112">
        <v>8.1308199999999999</v>
      </c>
      <c r="K16" s="110">
        <v>847.83078</v>
      </c>
      <c r="L16" s="110">
        <v>807.62861999999996</v>
      </c>
      <c r="M16" s="112">
        <v>944.52750000000003</v>
      </c>
      <c r="N16" s="111">
        <v>1599.2675899999999</v>
      </c>
      <c r="O16" s="110">
        <v>1532.4112</v>
      </c>
      <c r="P16" s="110">
        <v>1706.05305</v>
      </c>
      <c r="Q16" s="109">
        <v>0.13100000000000001</v>
      </c>
      <c r="R16" s="46"/>
    </row>
    <row r="17" spans="1:18">
      <c r="A17" s="91" t="s">
        <v>485</v>
      </c>
      <c r="B17" s="116" t="s">
        <v>94</v>
      </c>
      <c r="C17" s="114">
        <v>11709</v>
      </c>
      <c r="D17" s="114">
        <v>13178.799000000001</v>
      </c>
      <c r="E17" s="114">
        <v>14019.126</v>
      </c>
      <c r="F17" s="113">
        <v>14736.703799999999</v>
      </c>
      <c r="G17" s="110">
        <v>2.73671</v>
      </c>
      <c r="H17" s="110">
        <v>2.5289999999999999</v>
      </c>
      <c r="I17" s="110">
        <v>3.0739299999999998</v>
      </c>
      <c r="J17" s="112">
        <v>3.4545599999999999</v>
      </c>
      <c r="K17" s="110">
        <v>471.23511000000002</v>
      </c>
      <c r="L17" s="110">
        <v>528.66624999999999</v>
      </c>
      <c r="M17" s="112">
        <v>560.75509999999997</v>
      </c>
      <c r="N17" s="111">
        <v>810.41781000000003</v>
      </c>
      <c r="O17" s="110">
        <v>874.63994000000002</v>
      </c>
      <c r="P17" s="110">
        <v>951.84069</v>
      </c>
      <c r="Q17" s="109">
        <v>8.5133299999999995E-2</v>
      </c>
      <c r="R17" s="108"/>
    </row>
    <row r="18" spans="1:18">
      <c r="A18" s="91" t="s">
        <v>486</v>
      </c>
      <c r="B18" s="116" t="s">
        <v>434</v>
      </c>
      <c r="C18" s="115">
        <v>17724.955999999998</v>
      </c>
      <c r="D18" s="114">
        <v>16506.98273</v>
      </c>
      <c r="E18" s="114">
        <v>17139.362959999999</v>
      </c>
      <c r="F18" s="113">
        <v>18046.18564</v>
      </c>
      <c r="G18" s="111">
        <v>4.3965199999999998</v>
      </c>
      <c r="H18" s="110">
        <v>4.9221300000000001</v>
      </c>
      <c r="I18" s="110">
        <v>5.5755600000000003</v>
      </c>
      <c r="J18" s="112">
        <v>5.9596400000000003</v>
      </c>
      <c r="K18" s="110">
        <v>757.25444000000005</v>
      </c>
      <c r="L18" s="110">
        <v>810.98235</v>
      </c>
      <c r="M18" s="112">
        <v>888.86451999999997</v>
      </c>
      <c r="N18" s="111">
        <v>839.50360000000001</v>
      </c>
      <c r="O18" s="110">
        <v>914.21158000000003</v>
      </c>
      <c r="P18" s="110">
        <v>994.32091000000003</v>
      </c>
      <c r="Q18" s="109">
        <v>0.1291667</v>
      </c>
      <c r="R18" s="108"/>
    </row>
    <row r="19" spans="1:18">
      <c r="A19" s="82" t="s">
        <v>487</v>
      </c>
      <c r="B19" s="107" t="s">
        <v>104</v>
      </c>
      <c r="C19" s="107">
        <v>87926</v>
      </c>
      <c r="D19" s="106">
        <v>91412.886190000005</v>
      </c>
      <c r="E19" s="106">
        <v>95149.829209999996</v>
      </c>
      <c r="F19" s="105">
        <v>98971.009390000007</v>
      </c>
      <c r="G19" s="104">
        <v>18.007999999999999</v>
      </c>
      <c r="H19" s="103">
        <v>18.02807</v>
      </c>
      <c r="I19" s="103">
        <v>20.83456</v>
      </c>
      <c r="J19" s="102">
        <v>23.317329999999998</v>
      </c>
      <c r="K19" s="103">
        <v>5982.1200799999997</v>
      </c>
      <c r="L19" s="103">
        <v>5905.2373799999996</v>
      </c>
      <c r="M19" s="102">
        <v>6613.2780899999998</v>
      </c>
      <c r="N19" s="104">
        <v>10287.836450000001</v>
      </c>
      <c r="O19" s="103">
        <v>10329.180480000001</v>
      </c>
      <c r="P19" s="102">
        <v>11202.510899999999</v>
      </c>
      <c r="Q19" s="101">
        <v>0.104125</v>
      </c>
      <c r="R19" s="46"/>
    </row>
    <row r="20" spans="1:18">
      <c r="A20" s="46"/>
      <c r="B20" s="59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>
      <c r="A21" s="49" t="s">
        <v>448</v>
      </c>
      <c r="B21" s="50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8"/>
      <c r="Q21" s="47"/>
      <c r="R21" s="46"/>
    </row>
    <row r="22" spans="1:18">
      <c r="A22" s="100"/>
      <c r="B22" s="99"/>
      <c r="C22" s="99" t="s">
        <v>418</v>
      </c>
      <c r="D22" s="99" t="s">
        <v>449</v>
      </c>
      <c r="E22" s="98" t="s">
        <v>450</v>
      </c>
      <c r="F22" s="97"/>
      <c r="G22" s="96"/>
      <c r="H22" s="98" t="s">
        <v>451</v>
      </c>
      <c r="I22" s="97"/>
      <c r="J22" s="96"/>
      <c r="K22" s="98" t="s">
        <v>452</v>
      </c>
      <c r="L22" s="97"/>
      <c r="M22" s="96"/>
      <c r="N22" s="98" t="s">
        <v>453</v>
      </c>
      <c r="O22" s="97"/>
      <c r="P22" s="96"/>
      <c r="Q22" s="46"/>
      <c r="R22" s="46"/>
    </row>
    <row r="23" spans="1:18">
      <c r="A23" s="95" t="s">
        <v>424</v>
      </c>
      <c r="B23" s="95" t="s">
        <v>425</v>
      </c>
      <c r="C23" s="95" t="s">
        <v>426</v>
      </c>
      <c r="D23" s="95" t="s">
        <v>79</v>
      </c>
      <c r="E23" s="94" t="s">
        <v>443</v>
      </c>
      <c r="F23" s="93" t="s">
        <v>444</v>
      </c>
      <c r="G23" s="92" t="s">
        <v>445</v>
      </c>
      <c r="H23" s="94" t="s">
        <v>443</v>
      </c>
      <c r="I23" s="93" t="s">
        <v>444</v>
      </c>
      <c r="J23" s="92" t="s">
        <v>445</v>
      </c>
      <c r="K23" s="94" t="s">
        <v>443</v>
      </c>
      <c r="L23" s="93" t="s">
        <v>444</v>
      </c>
      <c r="M23" s="92" t="s">
        <v>445</v>
      </c>
      <c r="N23" s="94" t="s">
        <v>442</v>
      </c>
      <c r="O23" s="93" t="s">
        <v>443</v>
      </c>
      <c r="P23" s="92" t="s">
        <v>444</v>
      </c>
      <c r="Q23" s="46"/>
      <c r="R23" s="46"/>
    </row>
    <row r="24" spans="1:18">
      <c r="A24" s="91" t="s">
        <v>483</v>
      </c>
      <c r="B24" s="90" t="s">
        <v>90</v>
      </c>
      <c r="C24" s="89">
        <v>86.78</v>
      </c>
      <c r="D24" s="88">
        <v>4.3995749212082789</v>
      </c>
      <c r="E24" s="88">
        <v>0.83982861589674718</v>
      </c>
      <c r="F24" s="87">
        <v>0.83733901166630331</v>
      </c>
      <c r="G24" s="86">
        <v>0.8074801394603156</v>
      </c>
      <c r="H24" s="85">
        <v>13.331080250706648</v>
      </c>
      <c r="I24" s="84">
        <v>12.060315474949622</v>
      </c>
      <c r="J24" s="83">
        <v>10.966306220011045</v>
      </c>
      <c r="K24" s="85">
        <v>9.6953310914230162</v>
      </c>
      <c r="L24" s="84">
        <v>8.7711385272360882</v>
      </c>
      <c r="M24" s="83">
        <v>7.9754954327353058</v>
      </c>
      <c r="N24" s="84">
        <v>7.2210172840771962</v>
      </c>
      <c r="O24" s="84">
        <v>7.7590334647126102</v>
      </c>
      <c r="P24" s="83">
        <v>7.2409176487069944</v>
      </c>
      <c r="Q24" s="46"/>
      <c r="R24" s="46"/>
    </row>
    <row r="25" spans="1:18">
      <c r="A25" s="91" t="s">
        <v>484</v>
      </c>
      <c r="B25" s="90" t="s">
        <v>93</v>
      </c>
      <c r="C25" s="89">
        <v>137.94999999999999</v>
      </c>
      <c r="D25" s="88">
        <v>3.3263031965211147</v>
      </c>
      <c r="E25" s="88">
        <v>1.1120986636700583</v>
      </c>
      <c r="F25" s="87">
        <v>1.0581088353640988</v>
      </c>
      <c r="G25" s="86">
        <v>1.00624817210868</v>
      </c>
      <c r="H25" s="85">
        <v>24.784227206416048</v>
      </c>
      <c r="I25" s="84">
        <v>20.143420570382233</v>
      </c>
      <c r="J25" s="83">
        <v>16.96630844121503</v>
      </c>
      <c r="K25" s="85">
        <v>1.8919257409477899</v>
      </c>
      <c r="L25" s="85">
        <v>1.5376656923955903</v>
      </c>
      <c r="M25" s="85">
        <v>1.2951380489477122</v>
      </c>
      <c r="N25" s="84">
        <v>9.2443440399802004</v>
      </c>
      <c r="O25" s="84">
        <v>9.6476584182822442</v>
      </c>
      <c r="P25" s="83">
        <v>8.6657210418808468</v>
      </c>
      <c r="Q25" s="46"/>
      <c r="R25" s="46"/>
    </row>
    <row r="26" spans="1:18">
      <c r="A26" s="91" t="s">
        <v>485</v>
      </c>
      <c r="B26" s="90" t="s">
        <v>94</v>
      </c>
      <c r="C26" s="89">
        <v>53.73</v>
      </c>
      <c r="D26" s="88">
        <v>2.0481682586313688</v>
      </c>
      <c r="E26" s="88">
        <v>0.46670787532839675</v>
      </c>
      <c r="F26" s="87">
        <v>0.43873271990493556</v>
      </c>
      <c r="G26" s="86">
        <v>0.41736940391446287</v>
      </c>
      <c r="H26" s="85">
        <v>21.245551601423486</v>
      </c>
      <c r="I26" s="84">
        <v>17.479252943300594</v>
      </c>
      <c r="J26" s="83">
        <v>15.553355564818673</v>
      </c>
      <c r="K26" s="85">
        <v>2.4955630289702722</v>
      </c>
      <c r="L26" s="85">
        <v>2.0531628567552995</v>
      </c>
      <c r="M26" s="85">
        <v>1.8269414629549983</v>
      </c>
      <c r="N26" s="84">
        <v>10.326339299811291</v>
      </c>
      <c r="O26" s="84">
        <v>9.5681078555250973</v>
      </c>
      <c r="P26" s="83">
        <v>8.7920692701947853</v>
      </c>
      <c r="Q26" s="46"/>
      <c r="R26" s="46"/>
    </row>
    <row r="27" spans="1:18">
      <c r="A27" s="91" t="s">
        <v>486</v>
      </c>
      <c r="B27" s="90" t="s">
        <v>434</v>
      </c>
      <c r="C27" s="89">
        <v>135.4</v>
      </c>
      <c r="D27" s="88">
        <v>9.2851740946115999</v>
      </c>
      <c r="E27" s="88">
        <v>0.96865330244396519</v>
      </c>
      <c r="F27" s="87">
        <v>0.93291351447055193</v>
      </c>
      <c r="G27" s="86">
        <v>0.88603451464882532</v>
      </c>
      <c r="H27" s="85">
        <v>27.508416071903831</v>
      </c>
      <c r="I27" s="84">
        <v>24.284556170142551</v>
      </c>
      <c r="J27" s="83">
        <v>22.719493123745728</v>
      </c>
      <c r="K27" s="85">
        <v>2.129683275325903</v>
      </c>
      <c r="L27" s="85">
        <v>1.8800941860512463</v>
      </c>
      <c r="M27" s="85">
        <v>1.7589280459859802</v>
      </c>
      <c r="N27" s="84">
        <v>20.554083788086199</v>
      </c>
      <c r="O27" s="84">
        <v>18.874435319228837</v>
      </c>
      <c r="P27" s="83">
        <v>17.353781019047464</v>
      </c>
      <c r="Q27" s="46"/>
      <c r="R27" s="46"/>
    </row>
    <row r="28" spans="1:18">
      <c r="A28" s="82" t="s">
        <v>487</v>
      </c>
      <c r="B28" s="81" t="s">
        <v>104</v>
      </c>
      <c r="C28" s="81">
        <v>244.61</v>
      </c>
      <c r="D28" s="80">
        <v>2.0558903367959682</v>
      </c>
      <c r="E28" s="80">
        <v>0.63138872122740053</v>
      </c>
      <c r="F28" s="79">
        <v>0.60659137062480506</v>
      </c>
      <c r="G28" s="78">
        <v>0.58317143243202807</v>
      </c>
      <c r="H28" s="77">
        <v>13.568285457067784</v>
      </c>
      <c r="I28" s="76">
        <v>11.740588714136512</v>
      </c>
      <c r="J28" s="75">
        <v>10.490480685395799</v>
      </c>
      <c r="K28" s="77">
        <v>1.3030766345323204</v>
      </c>
      <c r="L28" s="76">
        <v>1.1275475355713338</v>
      </c>
      <c r="M28" s="75">
        <v>1.0074891414545786</v>
      </c>
      <c r="N28" s="77">
        <v>7.0757409168581793</v>
      </c>
      <c r="O28" s="76">
        <v>7.0474192464889525</v>
      </c>
      <c r="P28" s="75">
        <v>6.4980133440628922</v>
      </c>
      <c r="Q28" s="46"/>
      <c r="R28" s="46"/>
    </row>
    <row r="29" spans="1:18">
      <c r="A29" s="46"/>
      <c r="B29" s="59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>
      <c r="A30" s="46"/>
      <c r="B30" s="59"/>
      <c r="C30" s="58" t="s">
        <v>455</v>
      </c>
      <c r="D30" s="74">
        <v>4.7648051177430908</v>
      </c>
      <c r="E30" s="74">
        <v>0.84682211433479182</v>
      </c>
      <c r="F30" s="73">
        <v>0.81677352035147244</v>
      </c>
      <c r="G30" s="72">
        <v>0.77928305753307092</v>
      </c>
      <c r="H30" s="71">
        <v>21.717318782612502</v>
      </c>
      <c r="I30" s="70">
        <v>18.491886289693749</v>
      </c>
      <c r="J30" s="69">
        <v>16.551365837447619</v>
      </c>
      <c r="K30" s="71">
        <v>6.0954470601966442</v>
      </c>
      <c r="L30" s="71">
        <v>5.4121506919956941</v>
      </c>
      <c r="M30" s="71">
        <v>4.9012184478451521</v>
      </c>
      <c r="N30" s="71">
        <v>11.836446102988722</v>
      </c>
      <c r="O30" s="70">
        <v>11.462308764437198</v>
      </c>
      <c r="P30" s="69">
        <v>10.513122244957522</v>
      </c>
      <c r="Q30" s="46"/>
      <c r="R30" s="46"/>
    </row>
    <row r="31" spans="1:18">
      <c r="A31" s="46"/>
      <c r="B31" s="59"/>
      <c r="C31" s="58" t="s">
        <v>456</v>
      </c>
      <c r="D31" s="68">
        <v>3.862939058864697</v>
      </c>
      <c r="E31" s="68">
        <v>0.90424095917035618</v>
      </c>
      <c r="F31" s="67">
        <v>0.88512626306842757</v>
      </c>
      <c r="G31" s="66">
        <v>0.84675732705457052</v>
      </c>
      <c r="H31" s="65">
        <v>23.014889403919767</v>
      </c>
      <c r="I31" s="64">
        <v>18.811336756841413</v>
      </c>
      <c r="J31" s="63">
        <v>16.259832003016854</v>
      </c>
      <c r="K31" s="65">
        <v>6.0954470601966442</v>
      </c>
      <c r="L31" s="65">
        <v>5.4121506919956932</v>
      </c>
      <c r="M31" s="65">
        <v>4.9012184478451521</v>
      </c>
      <c r="N31" s="65">
        <v>9.7853416698957467</v>
      </c>
      <c r="O31" s="64">
        <v>9.6078831369036699</v>
      </c>
      <c r="P31" s="63">
        <v>8.7288951560378152</v>
      </c>
      <c r="Q31" s="46"/>
      <c r="R31" s="46"/>
    </row>
    <row r="32" spans="1:18">
      <c r="A32" s="46"/>
      <c r="B32" s="59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>
      <c r="A33" s="46"/>
      <c r="B33" s="59"/>
      <c r="C33" s="58" t="s">
        <v>455</v>
      </c>
      <c r="D33" s="62">
        <v>566.91690164153283</v>
      </c>
      <c r="E33" s="62">
        <v>328.07231175235012</v>
      </c>
      <c r="F33" s="61">
        <v>329.36665519554577</v>
      </c>
      <c r="G33" s="60">
        <v>326.86859832658621</v>
      </c>
      <c r="H33" s="62">
        <v>391.52134322525296</v>
      </c>
      <c r="I33" s="61">
        <v>385.27031441580181</v>
      </c>
      <c r="J33" s="60">
        <v>385.93365918249248</v>
      </c>
      <c r="K33" s="62">
        <v>1144.2207356667323</v>
      </c>
      <c r="L33" s="61">
        <v>1174.1111917718463</v>
      </c>
      <c r="M33" s="60">
        <v>1189.9751522845102</v>
      </c>
      <c r="N33" s="62">
        <v>452.18034456421344</v>
      </c>
      <c r="O33" s="61">
        <v>437.87609537614236</v>
      </c>
      <c r="P33" s="60">
        <v>435.23623529174893</v>
      </c>
      <c r="Q33" s="46"/>
      <c r="R33" s="46"/>
    </row>
    <row r="34" spans="1:18">
      <c r="A34" s="46"/>
      <c r="B34" s="59"/>
      <c r="C34" s="58" t="s">
        <v>456</v>
      </c>
      <c r="D34" s="57">
        <v>459.61280437822757</v>
      </c>
      <c r="E34" s="57">
        <v>350.31728250178622</v>
      </c>
      <c r="F34" s="56">
        <v>356.93012742030328</v>
      </c>
      <c r="G34" s="55">
        <v>355.17053520100217</v>
      </c>
      <c r="H34" s="57">
        <v>414.9140372161238</v>
      </c>
      <c r="I34" s="56">
        <v>391.92592434061783</v>
      </c>
      <c r="J34" s="55">
        <v>379.13586855890497</v>
      </c>
      <c r="K34" s="57">
        <v>1144.2207356667323</v>
      </c>
      <c r="L34" s="56">
        <v>1174.1111917718461</v>
      </c>
      <c r="M34" s="55">
        <v>1189.9751522845102</v>
      </c>
      <c r="N34" s="57">
        <v>362.7506409239553</v>
      </c>
      <c r="O34" s="56">
        <v>356.69680453730444</v>
      </c>
      <c r="P34" s="55">
        <v>350.52608140512933</v>
      </c>
      <c r="Q34" s="46"/>
      <c r="R34" s="46"/>
    </row>
    <row r="35" spans="1:18">
      <c r="A35" s="51"/>
      <c r="B35" s="54"/>
      <c r="C35" s="46"/>
      <c r="D35" s="52" t="s">
        <v>457</v>
      </c>
      <c r="E35" s="53"/>
      <c r="F35" s="53"/>
      <c r="G35" s="53"/>
      <c r="H35" s="52" t="s">
        <v>458</v>
      </c>
      <c r="I35" s="52" t="s">
        <v>459</v>
      </c>
      <c r="J35" s="52" t="s">
        <v>460</v>
      </c>
      <c r="K35" s="52" t="s">
        <v>461</v>
      </c>
      <c r="L35" s="52" t="s">
        <v>462</v>
      </c>
      <c r="M35" s="52" t="s">
        <v>463</v>
      </c>
      <c r="N35" s="52" t="s">
        <v>464</v>
      </c>
      <c r="O35" s="52" t="s">
        <v>465</v>
      </c>
      <c r="P35" s="51"/>
      <c r="Q35" s="51"/>
      <c r="R35" s="51"/>
    </row>
    <row r="36" spans="1:18">
      <c r="A36" s="49" t="s">
        <v>466</v>
      </c>
      <c r="B36" s="50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8"/>
      <c r="Q36" s="47"/>
      <c r="R36" s="46"/>
    </row>
    <row r="37" spans="1:18">
      <c r="A37" s="45"/>
      <c r="B37" s="44"/>
      <c r="C37" s="42" t="s">
        <v>467</v>
      </c>
      <c r="D37" s="43" t="s">
        <v>468</v>
      </c>
      <c r="E37" s="43" t="s">
        <v>469</v>
      </c>
      <c r="F37" s="43"/>
      <c r="G37" s="41"/>
      <c r="H37" s="42" t="s">
        <v>470</v>
      </c>
      <c r="I37" s="43" t="s">
        <v>471</v>
      </c>
      <c r="J37" s="43" t="s">
        <v>322</v>
      </c>
      <c r="K37" s="42"/>
      <c r="L37" s="41"/>
      <c r="M37" s="42" t="s">
        <v>472</v>
      </c>
      <c r="N37" s="41" t="s">
        <v>473</v>
      </c>
      <c r="O37" s="41" t="s">
        <v>474</v>
      </c>
      <c r="P37" s="6"/>
      <c r="Q37" s="6"/>
      <c r="R37" s="6"/>
    </row>
    <row r="38" spans="1:18">
      <c r="A38" s="40" t="s">
        <v>424</v>
      </c>
      <c r="B38" s="40" t="s">
        <v>425</v>
      </c>
      <c r="C38" s="38" t="s">
        <v>475</v>
      </c>
      <c r="D38" s="39" t="s">
        <v>475</v>
      </c>
      <c r="E38" s="39" t="s">
        <v>475</v>
      </c>
      <c r="F38" s="39" t="s">
        <v>476</v>
      </c>
      <c r="G38" s="37" t="s">
        <v>477</v>
      </c>
      <c r="H38" s="38" t="s">
        <v>478</v>
      </c>
      <c r="I38" s="39" t="s">
        <v>478</v>
      </c>
      <c r="J38" s="39" t="s">
        <v>478</v>
      </c>
      <c r="K38" s="38" t="s">
        <v>479</v>
      </c>
      <c r="L38" s="37" t="s">
        <v>480</v>
      </c>
      <c r="M38" s="38" t="s">
        <v>481</v>
      </c>
      <c r="N38" s="37" t="s">
        <v>481</v>
      </c>
      <c r="O38" s="37" t="s">
        <v>482</v>
      </c>
      <c r="P38" s="31"/>
      <c r="Q38" s="6"/>
      <c r="R38" s="6"/>
    </row>
    <row r="39" spans="1:18">
      <c r="A39" s="30" t="s">
        <v>483</v>
      </c>
      <c r="B39" s="29" t="s">
        <v>90</v>
      </c>
      <c r="C39" s="36">
        <v>0.802844</v>
      </c>
      <c r="D39" s="35">
        <v>9.2983399999999994E-2</v>
      </c>
      <c r="E39" s="35">
        <v>6.3489599999999993E-2</v>
      </c>
      <c r="F39" s="35">
        <v>9.3900000000000011E-2</v>
      </c>
      <c r="G39" s="35">
        <v>0.38880000000000003</v>
      </c>
      <c r="H39" s="34">
        <v>1.2924421864</v>
      </c>
      <c r="I39" s="33" t="s">
        <v>488</v>
      </c>
      <c r="J39" s="32">
        <v>8.3773341918866713</v>
      </c>
      <c r="K39" s="23">
        <v>127.3118794114</v>
      </c>
      <c r="L39" s="22">
        <v>51.137349777799997</v>
      </c>
      <c r="M39" s="21">
        <v>1.1745000000000001</v>
      </c>
      <c r="N39" s="20">
        <v>1.1745000000000001</v>
      </c>
      <c r="O39" s="19">
        <v>14.38568129330254</v>
      </c>
      <c r="P39" s="31"/>
      <c r="Q39" s="6"/>
      <c r="R39" s="6"/>
    </row>
    <row r="40" spans="1:18">
      <c r="A40" s="30" t="s">
        <v>484</v>
      </c>
      <c r="B40" s="29" t="s">
        <v>93</v>
      </c>
      <c r="C40" s="28">
        <v>0.19267679999999998</v>
      </c>
      <c r="D40" s="27">
        <v>6.8768999999999997E-2</v>
      </c>
      <c r="E40" s="27">
        <v>4.7230600000000005E-2</v>
      </c>
      <c r="F40" s="27">
        <v>6.7900000000000002E-2</v>
      </c>
      <c r="G40" s="26">
        <v>0.1406</v>
      </c>
      <c r="H40" s="23">
        <v>1.4346378422999999</v>
      </c>
      <c r="I40" s="25">
        <v>232.76118690960001</v>
      </c>
      <c r="J40" s="24">
        <v>8.1563383132920357</v>
      </c>
      <c r="K40" s="23">
        <v>36.809071105900003</v>
      </c>
      <c r="L40" s="22">
        <v>17.8016232819</v>
      </c>
      <c r="M40" s="21">
        <v>1.0305599999999999</v>
      </c>
      <c r="N40" s="20">
        <v>1.0553900000000001</v>
      </c>
      <c r="O40" s="19">
        <v>20.151430017717033</v>
      </c>
      <c r="P40" s="6"/>
      <c r="Q40" s="6"/>
      <c r="R40" s="6"/>
    </row>
    <row r="41" spans="1:18">
      <c r="A41" s="30" t="s">
        <v>485</v>
      </c>
      <c r="B41" s="29" t="s">
        <v>94</v>
      </c>
      <c r="C41" s="28">
        <v>0.1585105</v>
      </c>
      <c r="D41" s="27">
        <v>1.8618200000000001E-2</v>
      </c>
      <c r="E41" s="27">
        <v>1.14442E-2</v>
      </c>
      <c r="F41" s="27">
        <v>3.2289999999999999E-2</v>
      </c>
      <c r="G41" s="26">
        <v>0.1133</v>
      </c>
      <c r="H41" s="23">
        <v>1.1273287439999999</v>
      </c>
      <c r="I41" s="25" t="s">
        <v>488</v>
      </c>
      <c r="J41" s="24">
        <v>6.3774509803921573</v>
      </c>
      <c r="K41" s="23">
        <v>87.612387612399999</v>
      </c>
      <c r="L41" s="22">
        <v>44.493469820000001</v>
      </c>
      <c r="M41" s="21">
        <v>0.82816000000000001</v>
      </c>
      <c r="N41" s="20">
        <v>0.82816000000000001</v>
      </c>
      <c r="O41" s="19">
        <v>7.7184466019417473</v>
      </c>
      <c r="P41" s="6"/>
      <c r="Q41" s="6"/>
      <c r="R41" s="6"/>
    </row>
    <row r="42" spans="1:18">
      <c r="A42" s="30" t="s">
        <v>486</v>
      </c>
      <c r="B42" s="29" t="s">
        <v>434</v>
      </c>
      <c r="C42" s="28">
        <v>0.15599550000000001</v>
      </c>
      <c r="D42" s="27">
        <v>3.7751300000000002E-2</v>
      </c>
      <c r="E42" s="27">
        <v>2.6273100000000001E-2</v>
      </c>
      <c r="F42" s="27">
        <v>0.10339999999999999</v>
      </c>
      <c r="G42" s="26">
        <v>0.34639999999999999</v>
      </c>
      <c r="H42" s="23">
        <v>3.3687368658999999</v>
      </c>
      <c r="I42" s="25" t="s">
        <v>488</v>
      </c>
      <c r="J42" s="24">
        <v>6.8593942588372245</v>
      </c>
      <c r="K42" s="23">
        <v>81.9630777486</v>
      </c>
      <c r="L42" s="22">
        <v>29.419431389300001</v>
      </c>
      <c r="M42" s="21">
        <v>1.2773000000000001</v>
      </c>
      <c r="N42" s="20">
        <v>1.2773000000000001</v>
      </c>
      <c r="O42" s="19">
        <v>9.5232885241891552</v>
      </c>
      <c r="P42" s="6"/>
      <c r="Q42" s="6"/>
      <c r="R42" s="6"/>
    </row>
    <row r="43" spans="1:18">
      <c r="A43" s="18" t="s">
        <v>487</v>
      </c>
      <c r="B43" s="17" t="s">
        <v>104</v>
      </c>
      <c r="C43" s="16">
        <v>0.70949430000000002</v>
      </c>
      <c r="D43" s="15">
        <v>5.9333999999999998E-2</v>
      </c>
      <c r="E43" s="15">
        <v>4.6482299999999997E-2</v>
      </c>
      <c r="F43" s="15">
        <v>5.0700000000000002E-2</v>
      </c>
      <c r="G43" s="14">
        <v>0.15919</v>
      </c>
      <c r="H43" s="11">
        <v>1.0069745869</v>
      </c>
      <c r="I43" s="13">
        <v>42.011513157899998</v>
      </c>
      <c r="J43" s="12">
        <v>7.7345179451090784</v>
      </c>
      <c r="K43" s="11">
        <v>73.3027000071</v>
      </c>
      <c r="L43" s="10">
        <v>39.362423694299999</v>
      </c>
      <c r="M43" s="9">
        <v>1.15398</v>
      </c>
      <c r="N43" s="8">
        <v>1.1930400000000001</v>
      </c>
      <c r="O43" s="7">
        <v>13.112801013941699</v>
      </c>
      <c r="P43" s="6"/>
      <c r="Q43" s="6"/>
      <c r="R43" s="6"/>
    </row>
  </sheetData>
  <conditionalFormatting sqref="D33:P34">
    <cfRule type="cellIs" dxfId="1" priority="1" operator="lessThan">
      <formula>$C$28</formula>
    </cfRule>
    <cfRule type="cellIs" dxfId="0" priority="2" operator="greaterThan">
      <formula>$C$28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DCF</vt:lpstr>
      <vt:lpstr>Ke</vt:lpstr>
      <vt:lpstr>Revenue</vt:lpstr>
      <vt:lpstr>Income statement</vt:lpstr>
      <vt:lpstr>Operating expenses</vt:lpstr>
      <vt:lpstr>Debt schedule</vt:lpstr>
      <vt:lpstr>CapEx</vt:lpstr>
      <vt:lpstr>Balance sheet</vt:lpstr>
      <vt:lpstr>Derived cash flow</vt:lpstr>
      <vt:lpstr>Comps</vt:lpstr>
      <vt:lpstr>Comps 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sravan vemireddy</dc:creator>
  <cp:keywords/>
  <dc:description/>
  <cp:lastModifiedBy>sravan vemireddy</cp:lastModifiedBy>
  <cp:revision/>
  <dcterms:created xsi:type="dcterms:W3CDTF">2025-09-16T02:49:33Z</dcterms:created>
  <dcterms:modified xsi:type="dcterms:W3CDTF">2025-10-29T15:29:40Z</dcterms:modified>
  <cp:category/>
  <cp:contentStatus/>
</cp:coreProperties>
</file>