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ava\OneDrive\Desktop\newmont\"/>
    </mc:Choice>
  </mc:AlternateContent>
  <xr:revisionPtr revIDLastSave="0" documentId="13_ncr:1_{ACDC8697-82FC-45D3-B08B-D9098C757F37}" xr6:coauthVersionLast="47" xr6:coauthVersionMax="47" xr10:uidLastSave="{00000000-0000-0000-0000-000000000000}"/>
  <bookViews>
    <workbookView xWindow="28680" yWindow="-120" windowWidth="29040" windowHeight="15720" tabRatio="819" xr2:uid="{416367EB-DAE2-4F67-8BDD-9C2E902ABEBE}"/>
  </bookViews>
  <sheets>
    <sheet name="Cover" sheetId="12" r:id="rId1"/>
    <sheet name="DCF" sheetId="7" r:id="rId2"/>
    <sheet name="Ke" sheetId="6" r:id="rId3"/>
    <sheet name="Revenue" sheetId="1" r:id="rId4"/>
    <sheet name="Cost of sales" sheetId="4" r:id="rId5"/>
    <sheet name="Income statement" sheetId="2" r:id="rId6"/>
    <sheet name="Balance sheet" sheetId="3" r:id="rId7"/>
    <sheet name="Cash flow" sheetId="10" r:id="rId8"/>
    <sheet name="Changes in Equity" sheetId="11" r:id="rId9"/>
    <sheet name="Schedules" sheetId="9" r:id="rId10"/>
    <sheet name="Comps" sheetId="5" r:id="rId11"/>
    <sheet name="Comps no formula" sheetId="8" r:id="rId1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2" l="1"/>
  <c r="H14" i="4"/>
  <c r="C42" i="2"/>
  <c r="D42" i="2"/>
  <c r="E42" i="2"/>
  <c r="F42" i="2"/>
  <c r="G42" i="2"/>
  <c r="B42" i="2"/>
  <c r="G77" i="3"/>
  <c r="G74" i="3"/>
  <c r="G55" i="3"/>
  <c r="G35" i="2"/>
  <c r="G25" i="1"/>
  <c r="G6" i="11"/>
  <c r="B54" i="10"/>
  <c r="H9" i="9"/>
  <c r="G84" i="3"/>
  <c r="H84" i="3" s="1"/>
  <c r="I84" i="3" s="1"/>
  <c r="J84" i="3" s="1"/>
  <c r="K84" i="3" s="1"/>
  <c r="L84" i="3" s="1"/>
  <c r="C84" i="3"/>
  <c r="D84" i="3"/>
  <c r="E84" i="3"/>
  <c r="F84" i="3"/>
  <c r="B84" i="3"/>
  <c r="G73" i="3"/>
  <c r="H73" i="3" s="1"/>
  <c r="I3" i="7"/>
  <c r="H48" i="4"/>
  <c r="I48" i="4" s="1"/>
  <c r="J48" i="4" s="1"/>
  <c r="K48" i="4" s="1"/>
  <c r="L48" i="4" s="1"/>
  <c r="G24" i="1"/>
  <c r="G35" i="4"/>
  <c r="I35" i="4" s="1"/>
  <c r="J35" i="4" s="1"/>
  <c r="K35" i="4" s="1"/>
  <c r="L35" i="4" s="1"/>
  <c r="G37" i="11"/>
  <c r="G35" i="11"/>
  <c r="G19" i="9"/>
  <c r="G4" i="9"/>
  <c r="G46" i="9"/>
  <c r="G48" i="9" s="1"/>
  <c r="F46" i="9"/>
  <c r="H12" i="2"/>
  <c r="G32" i="2"/>
  <c r="G28" i="1"/>
  <c r="H28" i="1"/>
  <c r="I28" i="1"/>
  <c r="J28" i="1"/>
  <c r="K28" i="1"/>
  <c r="L28" i="1"/>
  <c r="G27" i="1"/>
  <c r="G26" i="1"/>
  <c r="G9" i="1"/>
  <c r="H42" i="3"/>
  <c r="H35" i="3"/>
  <c r="H31" i="3"/>
  <c r="H17" i="3"/>
  <c r="H16" i="3"/>
  <c r="C47" i="10"/>
  <c r="C46" i="10"/>
  <c r="B47" i="10"/>
  <c r="B46" i="10"/>
  <c r="C40" i="10"/>
  <c r="B41" i="10"/>
  <c r="B42" i="10"/>
  <c r="B43" i="10"/>
  <c r="B40" i="10"/>
  <c r="B32" i="10"/>
  <c r="B33" i="10"/>
  <c r="B34" i="10"/>
  <c r="B35" i="10"/>
  <c r="B36" i="10"/>
  <c r="B37" i="10"/>
  <c r="B31" i="10"/>
  <c r="C26" i="10"/>
  <c r="C27" i="10"/>
  <c r="C29" i="10"/>
  <c r="B24" i="10"/>
  <c r="B25" i="10"/>
  <c r="B26" i="10"/>
  <c r="B27" i="10"/>
  <c r="B28" i="10"/>
  <c r="B29" i="10"/>
  <c r="B23" i="10"/>
  <c r="B15" i="10"/>
  <c r="B16" i="10"/>
  <c r="B17" i="10"/>
  <c r="B18" i="10"/>
  <c r="B19" i="10"/>
  <c r="B20" i="10"/>
  <c r="B14" i="10"/>
  <c r="C10" i="10"/>
  <c r="C12" i="10"/>
  <c r="B7" i="10"/>
  <c r="B8" i="10"/>
  <c r="B9" i="10"/>
  <c r="B10" i="10"/>
  <c r="B11" i="10"/>
  <c r="B12" i="10"/>
  <c r="B6" i="10"/>
  <c r="I14" i="4"/>
  <c r="J14" i="4"/>
  <c r="K14" i="4"/>
  <c r="L14" i="4"/>
  <c r="I13" i="4"/>
  <c r="J13" i="4"/>
  <c r="K13" i="4"/>
  <c r="L13" i="4"/>
  <c r="C8" i="4"/>
  <c r="F18" i="4"/>
  <c r="B24" i="1"/>
  <c r="I16" i="4"/>
  <c r="J16" i="4"/>
  <c r="K16" i="4"/>
  <c r="L16" i="4"/>
  <c r="H16" i="4"/>
  <c r="I36" i="4"/>
  <c r="J36" i="4" s="1"/>
  <c r="K36" i="4" s="1"/>
  <c r="L36" i="4" s="1"/>
  <c r="I29" i="4"/>
  <c r="J29" i="4" s="1"/>
  <c r="K29" i="4" s="1"/>
  <c r="L29" i="4" s="1"/>
  <c r="I28" i="4"/>
  <c r="J28" i="4" s="1"/>
  <c r="K28" i="4" s="1"/>
  <c r="L28" i="4" s="1"/>
  <c r="I26" i="4"/>
  <c r="J26" i="4" s="1"/>
  <c r="K26" i="4" s="1"/>
  <c r="L26" i="4" s="1"/>
  <c r="I33" i="4"/>
  <c r="J33" i="4" s="1"/>
  <c r="K33" i="4" s="1"/>
  <c r="L33" i="4" s="1"/>
  <c r="I32" i="4"/>
  <c r="J32" i="4" s="1"/>
  <c r="K32" i="4" s="1"/>
  <c r="L32" i="4" s="1"/>
  <c r="I24" i="1"/>
  <c r="J24" i="1"/>
  <c r="K24" i="1"/>
  <c r="L24" i="1"/>
  <c r="H24" i="1"/>
  <c r="C55" i="3"/>
  <c r="D55" i="3"/>
  <c r="E55" i="3"/>
  <c r="F55" i="3"/>
  <c r="B55" i="3"/>
  <c r="I32" i="1"/>
  <c r="J32" i="1"/>
  <c r="K32" i="1"/>
  <c r="L32" i="1"/>
  <c r="H32" i="1"/>
  <c r="I30" i="1"/>
  <c r="J30" i="1"/>
  <c r="K30" i="1"/>
  <c r="L30" i="1"/>
  <c r="H30" i="1"/>
  <c r="G44" i="4" l="1"/>
  <c r="G66" i="4" s="1"/>
  <c r="L44" i="4"/>
  <c r="H44" i="4"/>
  <c r="H66" i="4" s="1"/>
  <c r="B83" i="3"/>
  <c r="C83" i="3"/>
  <c r="D83" i="3"/>
  <c r="E83" i="3"/>
  <c r="F83" i="3"/>
  <c r="D19" i="6"/>
  <c r="D21" i="6" s="1"/>
  <c r="E80" i="3"/>
  <c r="C33" i="2"/>
  <c r="D33" i="2"/>
  <c r="E33" i="2"/>
  <c r="F33" i="2"/>
  <c r="B33" i="2"/>
  <c r="C19" i="9"/>
  <c r="D19" i="9"/>
  <c r="E19" i="9"/>
  <c r="F19" i="9"/>
  <c r="B19" i="9"/>
  <c r="K26" i="6"/>
  <c r="K21" i="6"/>
  <c r="K22" i="6"/>
  <c r="K20" i="6"/>
  <c r="H13" i="4"/>
  <c r="H12" i="4" s="1"/>
  <c r="H3" i="4" s="1"/>
  <c r="H19" i="9" l="1"/>
  <c r="L15" i="1"/>
  <c r="L4" i="1" s="1"/>
  <c r="L66" i="4"/>
  <c r="H15" i="1"/>
  <c r="H4" i="1" s="1"/>
  <c r="E11" i="12"/>
  <c r="D34" i="6"/>
  <c r="H38" i="7"/>
  <c r="C35" i="2"/>
  <c r="D35" i="2"/>
  <c r="E35" i="2"/>
  <c r="F35" i="2"/>
  <c r="B35" i="2"/>
  <c r="C31" i="2"/>
  <c r="D31" i="2"/>
  <c r="E31" i="2"/>
  <c r="F31" i="2"/>
  <c r="G31" i="2"/>
  <c r="B31" i="2"/>
  <c r="B6" i="7"/>
  <c r="C80" i="3"/>
  <c r="D80" i="3"/>
  <c r="F80" i="3"/>
  <c r="G80" i="3"/>
  <c r="B80" i="3"/>
  <c r="F45" i="9"/>
  <c r="E45" i="9"/>
  <c r="D45" i="9"/>
  <c r="C45" i="9"/>
  <c r="B45" i="9"/>
  <c r="F44" i="9"/>
  <c r="E44" i="9"/>
  <c r="D44" i="9"/>
  <c r="C44" i="9"/>
  <c r="B44" i="9"/>
  <c r="C46" i="9"/>
  <c r="C48" i="9" s="1"/>
  <c r="D46" i="9"/>
  <c r="D48" i="9" s="1"/>
  <c r="E46" i="9"/>
  <c r="E48" i="9" s="1"/>
  <c r="F48" i="9"/>
  <c r="B46" i="9"/>
  <c r="B48" i="9" s="1"/>
  <c r="D30" i="6"/>
  <c r="N19" i="6"/>
  <c r="D11" i="6"/>
  <c r="D12" i="6" s="1"/>
  <c r="D22" i="6" s="1"/>
  <c r="D29" i="6" s="1"/>
  <c r="C43" i="10"/>
  <c r="F35" i="11"/>
  <c r="E35" i="11"/>
  <c r="F39" i="11"/>
  <c r="E39" i="11"/>
  <c r="D34" i="11"/>
  <c r="D39" i="11" s="1"/>
  <c r="C34" i="11"/>
  <c r="C35" i="11" s="1"/>
  <c r="B34" i="11"/>
  <c r="B39" i="11" s="1"/>
  <c r="F37" i="11"/>
  <c r="E37" i="11"/>
  <c r="D37" i="11"/>
  <c r="C37" i="11"/>
  <c r="B37" i="11"/>
  <c r="C28" i="11"/>
  <c r="D28" i="11" s="1"/>
  <c r="E28" i="11" s="1"/>
  <c r="F28" i="11" s="1"/>
  <c r="F29" i="11"/>
  <c r="E29" i="11"/>
  <c r="D29" i="11"/>
  <c r="C29" i="11"/>
  <c r="B29" i="11"/>
  <c r="F20" i="11"/>
  <c r="C18" i="11"/>
  <c r="D18" i="11"/>
  <c r="E18" i="11"/>
  <c r="F18" i="11"/>
  <c r="B18" i="11"/>
  <c r="G17" i="11"/>
  <c r="L20" i="11"/>
  <c r="G7" i="11"/>
  <c r="G11" i="11" s="1"/>
  <c r="G10" i="11" s="1"/>
  <c r="H20" i="11"/>
  <c r="I20" i="11"/>
  <c r="E54" i="10"/>
  <c r="F54" i="10"/>
  <c r="B58" i="10"/>
  <c r="G47" i="10"/>
  <c r="F47" i="10"/>
  <c r="E47" i="10"/>
  <c r="D47" i="10"/>
  <c r="G46" i="10"/>
  <c r="F46" i="10"/>
  <c r="E46" i="10"/>
  <c r="D46" i="10"/>
  <c r="G40" i="10"/>
  <c r="F40" i="10"/>
  <c r="E40" i="10"/>
  <c r="D40" i="10"/>
  <c r="G29" i="10"/>
  <c r="F29" i="10"/>
  <c r="E29" i="10"/>
  <c r="D29" i="10"/>
  <c r="G27" i="10"/>
  <c r="F27" i="10"/>
  <c r="E27" i="10"/>
  <c r="D27" i="10"/>
  <c r="G26" i="10"/>
  <c r="F26" i="10"/>
  <c r="E26" i="10"/>
  <c r="D26" i="10"/>
  <c r="D35" i="11" l="1"/>
  <c r="G8" i="9"/>
  <c r="G24" i="9"/>
  <c r="G6" i="9"/>
  <c r="J20" i="11"/>
  <c r="C39" i="11"/>
  <c r="B35" i="11"/>
  <c r="I42" i="3"/>
  <c r="D43" i="10" s="1"/>
  <c r="D54" i="10"/>
  <c r="G54" i="10"/>
  <c r="K20" i="11"/>
  <c r="F21" i="11"/>
  <c r="C54" i="10"/>
  <c r="B53" i="10"/>
  <c r="J42" i="3" l="1"/>
  <c r="K42" i="3" s="1"/>
  <c r="D24" i="6"/>
  <c r="E43" i="10" l="1"/>
  <c r="L42" i="3"/>
  <c r="G43" i="10" s="1"/>
  <c r="F43" i="10"/>
  <c r="G12" i="10" l="1"/>
  <c r="F12" i="10"/>
  <c r="E12" i="10"/>
  <c r="D12" i="10"/>
  <c r="G10" i="10"/>
  <c r="F10" i="10"/>
  <c r="E10" i="10"/>
  <c r="D10" i="10"/>
  <c r="C86" i="3"/>
  <c r="D86" i="3"/>
  <c r="E86" i="3"/>
  <c r="F86" i="3"/>
  <c r="B86" i="3"/>
  <c r="G44" i="3"/>
  <c r="G47" i="3" s="1"/>
  <c r="F44" i="3"/>
  <c r="F47" i="3" s="1"/>
  <c r="E44" i="3"/>
  <c r="E47" i="3" s="1"/>
  <c r="D44" i="3"/>
  <c r="D47" i="3" s="1"/>
  <c r="C44" i="3"/>
  <c r="C47" i="3" s="1"/>
  <c r="B44" i="3"/>
  <c r="B47" i="3" s="1"/>
  <c r="C35" i="9"/>
  <c r="C36" i="9" s="1"/>
  <c r="D35" i="9"/>
  <c r="E35" i="9"/>
  <c r="E36" i="9" s="1"/>
  <c r="F35" i="9"/>
  <c r="B35" i="9"/>
  <c r="C77" i="3"/>
  <c r="D77" i="3"/>
  <c r="E77" i="3"/>
  <c r="F77" i="3"/>
  <c r="B77" i="3"/>
  <c r="C74" i="3"/>
  <c r="D74" i="3"/>
  <c r="E74" i="3"/>
  <c r="F74" i="3"/>
  <c r="B74" i="3"/>
  <c r="C73" i="3"/>
  <c r="D73" i="3"/>
  <c r="E73" i="3"/>
  <c r="F73" i="3"/>
  <c r="I73" i="3" s="1"/>
  <c r="B73" i="3"/>
  <c r="C72" i="3"/>
  <c r="D72" i="3"/>
  <c r="E72" i="3"/>
  <c r="F72" i="3"/>
  <c r="B72" i="3"/>
  <c r="C69" i="3"/>
  <c r="D69" i="3"/>
  <c r="E69" i="3"/>
  <c r="F69" i="3"/>
  <c r="G69" i="3"/>
  <c r="H69" i="3" s="1"/>
  <c r="B69" i="3"/>
  <c r="C60" i="3"/>
  <c r="D60" i="3"/>
  <c r="E60" i="3"/>
  <c r="F60" i="3"/>
  <c r="B60" i="3"/>
  <c r="C12" i="3"/>
  <c r="C20" i="3" s="1"/>
  <c r="D12" i="3"/>
  <c r="D20" i="3" s="1"/>
  <c r="E12" i="3"/>
  <c r="E20" i="3" s="1"/>
  <c r="F12" i="3"/>
  <c r="F20" i="3" s="1"/>
  <c r="G12" i="3"/>
  <c r="G20" i="3" s="1"/>
  <c r="B12" i="3"/>
  <c r="B20" i="3" s="1"/>
  <c r="I9" i="9"/>
  <c r="J9" i="9" s="1"/>
  <c r="K9" i="9" s="1"/>
  <c r="L9" i="9" s="1"/>
  <c r="C4" i="9"/>
  <c r="D4" i="9"/>
  <c r="E4" i="9"/>
  <c r="F4" i="9"/>
  <c r="B4" i="9"/>
  <c r="H19" i="2"/>
  <c r="I19" i="2" s="1"/>
  <c r="J19" i="2" s="1"/>
  <c r="K19" i="2" s="1"/>
  <c r="L19" i="2" s="1"/>
  <c r="I12" i="2"/>
  <c r="J12" i="2" s="1"/>
  <c r="K12" i="2" s="1"/>
  <c r="L12" i="2" s="1"/>
  <c r="C32" i="2"/>
  <c r="D32" i="2"/>
  <c r="E32" i="2"/>
  <c r="F32" i="2"/>
  <c r="I32" i="2" s="1"/>
  <c r="J32" i="2" s="1"/>
  <c r="K32" i="2" s="1"/>
  <c r="L32" i="2" s="1"/>
  <c r="B32" i="2"/>
  <c r="C29" i="3"/>
  <c r="C37" i="3" s="1"/>
  <c r="D29" i="3"/>
  <c r="D37" i="3" s="1"/>
  <c r="E29" i="3"/>
  <c r="E37" i="3" s="1"/>
  <c r="F29" i="3"/>
  <c r="F37" i="3" s="1"/>
  <c r="G29" i="3"/>
  <c r="G37" i="3" s="1"/>
  <c r="B29" i="3"/>
  <c r="B37" i="3" s="1"/>
  <c r="C66" i="4"/>
  <c r="C24" i="9" s="1"/>
  <c r="B66" i="4"/>
  <c r="F13" i="2"/>
  <c r="F17" i="2" s="1"/>
  <c r="F49" i="2" s="1"/>
  <c r="C13" i="2"/>
  <c r="C17" i="2" s="1"/>
  <c r="C44" i="2" s="1"/>
  <c r="D13" i="2"/>
  <c r="D17" i="2" s="1"/>
  <c r="D44" i="2" s="1"/>
  <c r="E13" i="2"/>
  <c r="E17" i="2" s="1"/>
  <c r="B13" i="2"/>
  <c r="B17" i="2" s="1"/>
  <c r="G48" i="7"/>
  <c r="H48" i="7" s="1"/>
  <c r="I48" i="7" s="1"/>
  <c r="E48" i="7"/>
  <c r="D48" i="7" s="1"/>
  <c r="C48" i="7" s="1"/>
  <c r="G38" i="7"/>
  <c r="F38" i="7"/>
  <c r="E38" i="7"/>
  <c r="D38" i="7"/>
  <c r="G26" i="7"/>
  <c r="H26" i="7" s="1"/>
  <c r="I26" i="7" s="1"/>
  <c r="E26" i="7"/>
  <c r="D26" i="7" s="1"/>
  <c r="C26" i="7" s="1"/>
  <c r="G3" i="7"/>
  <c r="B28" i="5"/>
  <c r="B27" i="5"/>
  <c r="B26" i="5"/>
  <c r="B25" i="5"/>
  <c r="B24" i="5"/>
  <c r="B19" i="5"/>
  <c r="K19" i="5" s="1" a="1"/>
  <c r="B18" i="5"/>
  <c r="M18" i="5" s="1" a="1"/>
  <c r="B17" i="5"/>
  <c r="N17" i="5" s="1" a="1"/>
  <c r="B16" i="5"/>
  <c r="F16" i="5" s="1" a="1"/>
  <c r="B15" i="5"/>
  <c r="K15" i="5" s="1" a="1"/>
  <c r="D6" i="5"/>
  <c r="J10" i="5" a="1"/>
  <c r="G8" i="5" a="1"/>
  <c r="E7" i="5"/>
  <c r="C6" i="5"/>
  <c r="H6" i="5"/>
  <c r="L10" i="5"/>
  <c r="K9" i="5"/>
  <c r="D7" i="5"/>
  <c r="H10" i="5"/>
  <c r="G9" i="5" a="1"/>
  <c r="E8" i="5"/>
  <c r="C7" i="5"/>
  <c r="A6" i="5" a="1"/>
  <c r="J6" i="5" a="1"/>
  <c r="K10" i="5"/>
  <c r="D8" i="5"/>
  <c r="K7" i="5"/>
  <c r="J8" i="5" a="1"/>
  <c r="L17" i="5" a="1"/>
  <c r="G10" i="5" a="1"/>
  <c r="E9" i="5"/>
  <c r="C8" i="5"/>
  <c r="A7" i="5" a="1"/>
  <c r="J7" i="5" a="1"/>
  <c r="L15" i="5" a="1"/>
  <c r="E17" i="5" a="1"/>
  <c r="E6" i="5"/>
  <c r="D9" i="5"/>
  <c r="L6" i="5"/>
  <c r="P16" i="5" a="1"/>
  <c r="H8" i="5"/>
  <c r="E10" i="5"/>
  <c r="C9" i="5"/>
  <c r="A8" i="5" a="1"/>
  <c r="K6" i="5"/>
  <c r="L18" i="5" a="1"/>
  <c r="G17" i="5"/>
  <c r="F17" i="5" a="1"/>
  <c r="J17" i="5"/>
  <c r="D10" i="5"/>
  <c r="L7" i="5"/>
  <c r="C10" i="5"/>
  <c r="A9" i="5" a="1"/>
  <c r="L9" i="5"/>
  <c r="H7" i="5"/>
  <c r="J9" i="5" a="1"/>
  <c r="H17" i="5"/>
  <c r="L8" i="5"/>
  <c r="Q17" i="5" a="1"/>
  <c r="A10" i="5" a="1"/>
  <c r="J18" i="5"/>
  <c r="N16" i="5" a="1"/>
  <c r="G6" i="5" a="1"/>
  <c r="O17" i="5" a="1"/>
  <c r="G7" i="5" a="1"/>
  <c r="K8" i="5"/>
  <c r="Q18" i="5" a="1"/>
  <c r="K16" i="5" a="1"/>
  <c r="J15" i="5"/>
  <c r="H77" i="3" l="1"/>
  <c r="I16" i="5"/>
  <c r="I25" i="5" s="1"/>
  <c r="O16" i="5" a="1"/>
  <c r="O16" i="5" s="1"/>
  <c r="P17" i="5" a="1"/>
  <c r="P17" i="5" s="1"/>
  <c r="L16" i="5" a="1"/>
  <c r="L16" i="5" s="1"/>
  <c r="G16" i="5"/>
  <c r="M16" i="5" a="1"/>
  <c r="M16" i="5" s="1"/>
  <c r="Q16" i="5" a="1"/>
  <c r="Q16" i="5" s="1"/>
  <c r="C16" i="5" a="1"/>
  <c r="C16" i="5" s="1"/>
  <c r="D16" i="5" a="1"/>
  <c r="D16" i="5" s="1"/>
  <c r="H74" i="3"/>
  <c r="I16" i="3"/>
  <c r="D17" i="10" s="1"/>
  <c r="C17" i="10"/>
  <c r="I18" i="3"/>
  <c r="J18" i="3" s="1"/>
  <c r="K18" i="3" s="1"/>
  <c r="L18" i="3" s="1"/>
  <c r="C19" i="10"/>
  <c r="C7" i="10"/>
  <c r="E16" i="5" a="1"/>
  <c r="E16" i="5" s="1"/>
  <c r="B36" i="9"/>
  <c r="D36" i="9"/>
  <c r="F36" i="9"/>
  <c r="B48" i="3"/>
  <c r="F48" i="3"/>
  <c r="G48" i="3"/>
  <c r="B65" i="10" s="1"/>
  <c r="C8" i="9"/>
  <c r="B41" i="5"/>
  <c r="K41" i="5" s="1"/>
  <c r="N21" i="6" s="1"/>
  <c r="C18" i="10"/>
  <c r="C36" i="10"/>
  <c r="E48" i="3"/>
  <c r="D48" i="3"/>
  <c r="C32" i="10"/>
  <c r="C48" i="3"/>
  <c r="H15" i="7"/>
  <c r="G15" i="7"/>
  <c r="J19" i="5"/>
  <c r="J28" i="5" s="1"/>
  <c r="K18" i="5" a="1"/>
  <c r="K18" i="5" s="1"/>
  <c r="O18" i="5" a="1"/>
  <c r="O18" i="5" s="1"/>
  <c r="N18" i="5" a="1"/>
  <c r="N18" i="5" s="1"/>
  <c r="F18" i="5" a="1"/>
  <c r="F18" i="5" s="1"/>
  <c r="P18" i="5" a="1"/>
  <c r="P18" i="5" s="1"/>
  <c r="D18" i="5" a="1"/>
  <c r="D18" i="5" s="1"/>
  <c r="I18" i="5"/>
  <c r="I27" i="5" s="1"/>
  <c r="C18" i="5" a="1"/>
  <c r="C18" i="5" s="1"/>
  <c r="H18" i="5"/>
  <c r="H27" i="5" s="1"/>
  <c r="G18" i="5"/>
  <c r="B42" i="5"/>
  <c r="O42" i="5" s="1" a="1"/>
  <c r="K17" i="5" a="1"/>
  <c r="K17" i="5" s="1"/>
  <c r="D17" i="5" a="1"/>
  <c r="D17" i="5" s="1"/>
  <c r="I17" i="5"/>
  <c r="I26" i="5" s="1"/>
  <c r="C49" i="2"/>
  <c r="E49" i="2"/>
  <c r="E44" i="2"/>
  <c r="E20" i="2"/>
  <c r="E22" i="2" s="1"/>
  <c r="D49" i="2"/>
  <c r="D20" i="2"/>
  <c r="D22" i="2" s="1"/>
  <c r="B44" i="2"/>
  <c r="B49" i="2"/>
  <c r="B20" i="2"/>
  <c r="B22" i="2" s="1"/>
  <c r="F44" i="2"/>
  <c r="F20" i="2"/>
  <c r="F22" i="2" s="1"/>
  <c r="C20" i="2"/>
  <c r="C22" i="2" s="1"/>
  <c r="B6" i="9"/>
  <c r="C6" i="9"/>
  <c r="B24" i="9"/>
  <c r="B8" i="9"/>
  <c r="J73" i="3"/>
  <c r="E15" i="7"/>
  <c r="D15" i="7"/>
  <c r="G4" i="7"/>
  <c r="F15" i="7"/>
  <c r="K16" i="5"/>
  <c r="Q18" i="5"/>
  <c r="G7" i="5"/>
  <c r="O17" i="5"/>
  <c r="G6" i="5"/>
  <c r="N16" i="5"/>
  <c r="A10" i="5"/>
  <c r="Q17" i="5"/>
  <c r="H26" i="5"/>
  <c r="J9" i="5"/>
  <c r="A9" i="5"/>
  <c r="C28" i="5"/>
  <c r="F10" i="5"/>
  <c r="K19" i="5"/>
  <c r="F17" i="5"/>
  <c r="L18" i="5"/>
  <c r="A8" i="5"/>
  <c r="F9" i="5"/>
  <c r="C27" i="5"/>
  <c r="M18" i="5"/>
  <c r="P16" i="5"/>
  <c r="E17" i="5"/>
  <c r="L15" i="5"/>
  <c r="J7" i="5"/>
  <c r="F16" i="5"/>
  <c r="A7" i="5"/>
  <c r="F8" i="5"/>
  <c r="C26" i="5"/>
  <c r="G10" i="5"/>
  <c r="L17" i="5"/>
  <c r="J8" i="5"/>
  <c r="J6" i="5"/>
  <c r="A6" i="5"/>
  <c r="F7" i="5"/>
  <c r="C25" i="5"/>
  <c r="G9" i="5"/>
  <c r="K15" i="5"/>
  <c r="N17" i="5"/>
  <c r="C24" i="5"/>
  <c r="F6" i="5"/>
  <c r="G8" i="5"/>
  <c r="J10" i="5"/>
  <c r="J24" i="5"/>
  <c r="J26" i="5"/>
  <c r="J27" i="5"/>
  <c r="B40" i="5"/>
  <c r="B39" i="5"/>
  <c r="B43" i="5"/>
  <c r="P15" i="5" a="1"/>
  <c r="D15" i="5" a="1"/>
  <c r="G15" i="5"/>
  <c r="O15" i="5" a="1"/>
  <c r="P19" i="5" a="1"/>
  <c r="Q15" i="5" a="1"/>
  <c r="E19" i="5" a="1"/>
  <c r="C17" i="5" a="1"/>
  <c r="M19" i="5" a="1"/>
  <c r="H19" i="5"/>
  <c r="E15" i="5" a="1"/>
  <c r="F19" i="5" a="1"/>
  <c r="I19" i="5"/>
  <c r="D19" i="5" a="1"/>
  <c r="H15" i="5"/>
  <c r="F15" i="5" a="1"/>
  <c r="L19" i="5" a="1"/>
  <c r="O19" i="5" a="1"/>
  <c r="M17" i="5" a="1"/>
  <c r="E41" i="5" a="1"/>
  <c r="C15" i="5" a="1"/>
  <c r="E18" i="5" a="1"/>
  <c r="N19" i="5" a="1"/>
  <c r="N15" i="5" a="1"/>
  <c r="M15" i="5" a="1"/>
  <c r="G19" i="5"/>
  <c r="C19" i="5" a="1"/>
  <c r="H16" i="5"/>
  <c r="Q19" i="5" a="1"/>
  <c r="J16" i="5"/>
  <c r="D41" i="5" a="1"/>
  <c r="G41" i="5" a="1"/>
  <c r="I15" i="5"/>
  <c r="N42" i="5" l="1"/>
  <c r="D42" i="5" a="1"/>
  <c r="D42" i="5" s="1"/>
  <c r="E42" i="5" a="1"/>
  <c r="E42" i="5" s="1"/>
  <c r="F42" i="5" a="1"/>
  <c r="F42" i="5" s="1"/>
  <c r="L42" i="5"/>
  <c r="G19" i="10"/>
  <c r="L41" i="5"/>
  <c r="H41" i="5"/>
  <c r="M41" i="5"/>
  <c r="N41" i="5"/>
  <c r="C41" i="5" a="1"/>
  <c r="C41" i="5" s="1"/>
  <c r="F41" i="5" a="1"/>
  <c r="F41" i="5" s="1"/>
  <c r="J41" i="5" a="1"/>
  <c r="J41" i="5" s="1"/>
  <c r="O41" i="5" a="1"/>
  <c r="O41" i="5" s="1"/>
  <c r="I41" i="5"/>
  <c r="F19" i="10"/>
  <c r="E19" i="10"/>
  <c r="D19" i="10"/>
  <c r="F7" i="10"/>
  <c r="D7" i="10"/>
  <c r="G7" i="10"/>
  <c r="E7" i="10"/>
  <c r="J16" i="3"/>
  <c r="E17" i="10"/>
  <c r="I35" i="3"/>
  <c r="I31" i="3"/>
  <c r="I17" i="3"/>
  <c r="D18" i="10" s="1"/>
  <c r="L26" i="5"/>
  <c r="K26" i="5"/>
  <c r="M26" i="5"/>
  <c r="G5" i="7"/>
  <c r="H39" i="7"/>
  <c r="J42" i="5" a="1"/>
  <c r="J42" i="5" s="1"/>
  <c r="I42" i="5"/>
  <c r="M42" i="5"/>
  <c r="K42" i="5"/>
  <c r="N22" i="6" s="1"/>
  <c r="H42" i="5"/>
  <c r="C42" i="5" a="1"/>
  <c r="C42" i="5" s="1"/>
  <c r="G42" i="5" a="1"/>
  <c r="G42" i="5" s="1"/>
  <c r="K27" i="5"/>
  <c r="L27" i="5"/>
  <c r="K73" i="3"/>
  <c r="I77" i="3"/>
  <c r="I74" i="3"/>
  <c r="I69" i="3"/>
  <c r="M27" i="5"/>
  <c r="L25" i="5"/>
  <c r="E39" i="7"/>
  <c r="G39" i="7"/>
  <c r="F39" i="7"/>
  <c r="D39" i="7"/>
  <c r="I24" i="5"/>
  <c r="G41" i="5"/>
  <c r="D41" i="5"/>
  <c r="J25" i="5"/>
  <c r="M25" i="5" s="1"/>
  <c r="Q19" i="5"/>
  <c r="M28" i="5" s="1"/>
  <c r="H25" i="5"/>
  <c r="K25" i="5" s="1"/>
  <c r="C19" i="5"/>
  <c r="O42" i="5"/>
  <c r="M15" i="5"/>
  <c r="N15" i="5"/>
  <c r="N19" i="5"/>
  <c r="E18" i="5"/>
  <c r="F27" i="5" s="1"/>
  <c r="C15" i="5"/>
  <c r="E41" i="5"/>
  <c r="M17" i="5"/>
  <c r="O19" i="5"/>
  <c r="L19" i="5"/>
  <c r="F15" i="5"/>
  <c r="G24" i="5" s="1"/>
  <c r="H24" i="5"/>
  <c r="D19" i="5"/>
  <c r="E28" i="5" s="1"/>
  <c r="I28" i="5"/>
  <c r="F19" i="5"/>
  <c r="G28" i="5" s="1"/>
  <c r="E15" i="5"/>
  <c r="F24" i="5" s="1"/>
  <c r="H28" i="5"/>
  <c r="M19" i="5"/>
  <c r="C17" i="5"/>
  <c r="E19" i="5"/>
  <c r="F28" i="5" s="1"/>
  <c r="Q15" i="5"/>
  <c r="M24" i="5" s="1"/>
  <c r="P19" i="5"/>
  <c r="O15" i="5"/>
  <c r="D15" i="5"/>
  <c r="E24" i="5" s="1"/>
  <c r="P15" i="5"/>
  <c r="I9" i="5"/>
  <c r="G27" i="5"/>
  <c r="E27" i="5"/>
  <c r="D27" i="5"/>
  <c r="A41" i="5"/>
  <c r="A26" i="5"/>
  <c r="A17" i="5"/>
  <c r="F26" i="5"/>
  <c r="D26" i="5"/>
  <c r="I8" i="5"/>
  <c r="E26" i="5"/>
  <c r="G26" i="5"/>
  <c r="D24" i="5"/>
  <c r="I6" i="5"/>
  <c r="A25" i="5"/>
  <c r="A16" i="5"/>
  <c r="A40" i="5"/>
  <c r="A27" i="5"/>
  <c r="A18" i="5"/>
  <c r="A42" i="5"/>
  <c r="A19" i="5"/>
  <c r="A28" i="5"/>
  <c r="A43" i="5"/>
  <c r="E25" i="5"/>
  <c r="I7" i="5"/>
  <c r="G25" i="5"/>
  <c r="F25" i="5"/>
  <c r="D25" i="5"/>
  <c r="A24" i="5"/>
  <c r="A39" i="5"/>
  <c r="A15" i="5"/>
  <c r="I10" i="5"/>
  <c r="D28" i="5"/>
  <c r="J30" i="5"/>
  <c r="J33" i="5" s="1"/>
  <c r="O43" i="5" a="1"/>
  <c r="N40" i="5"/>
  <c r="O39" i="5" a="1"/>
  <c r="M40" i="5"/>
  <c r="F39" i="5" a="1"/>
  <c r="J39" i="5" a="1"/>
  <c r="G43" i="5" a="1"/>
  <c r="D43" i="5" a="1"/>
  <c r="G40" i="5" a="1"/>
  <c r="F43" i="5" a="1"/>
  <c r="N43" i="5"/>
  <c r="C40" i="5" a="1"/>
  <c r="E39" i="5" a="1"/>
  <c r="H39" i="5"/>
  <c r="M43" i="5"/>
  <c r="L40" i="5"/>
  <c r="L39" i="5"/>
  <c r="J40" i="5" a="1"/>
  <c r="I43" i="5"/>
  <c r="C43" i="5" a="1"/>
  <c r="K40" i="5"/>
  <c r="N20" i="6" s="1"/>
  <c r="N39" i="5"/>
  <c r="M39" i="5"/>
  <c r="K39" i="5"/>
  <c r="E40" i="5" a="1"/>
  <c r="G39" i="5" a="1"/>
  <c r="L43" i="5"/>
  <c r="K43" i="5"/>
  <c r="O21" i="6" s="1"/>
  <c r="I40" i="5"/>
  <c r="C39" i="5" a="1"/>
  <c r="F40" i="5" a="1"/>
  <c r="E43" i="5" a="1"/>
  <c r="D40" i="5" a="1"/>
  <c r="J43" i="5" a="1"/>
  <c r="H40" i="5"/>
  <c r="H43" i="5"/>
  <c r="D39" i="5" a="1"/>
  <c r="I39" i="5"/>
  <c r="O40" i="5" a="1"/>
  <c r="L28" i="5" l="1"/>
  <c r="K16" i="3"/>
  <c r="F17" i="10" s="1"/>
  <c r="K24" i="5"/>
  <c r="J17" i="3"/>
  <c r="E18" i="10" s="1"/>
  <c r="J31" i="3"/>
  <c r="D32" i="10"/>
  <c r="J35" i="3"/>
  <c r="D36" i="10"/>
  <c r="O20" i="6"/>
  <c r="O22" i="6"/>
  <c r="N26" i="6"/>
  <c r="O26" i="6" s="1"/>
  <c r="O19" i="6"/>
  <c r="J69" i="3"/>
  <c r="J74" i="3"/>
  <c r="J77" i="3"/>
  <c r="L73" i="3"/>
  <c r="J31" i="5"/>
  <c r="J34" i="5" s="1"/>
  <c r="K28" i="5"/>
  <c r="O40" i="5"/>
  <c r="D39" i="5"/>
  <c r="J43" i="5"/>
  <c r="D40" i="5"/>
  <c r="E43" i="5"/>
  <c r="F40" i="5"/>
  <c r="C39" i="5"/>
  <c r="G39" i="5"/>
  <c r="E40" i="5"/>
  <c r="C43" i="5"/>
  <c r="J40" i="5"/>
  <c r="E39" i="5"/>
  <c r="C40" i="5"/>
  <c r="F43" i="5"/>
  <c r="G40" i="5"/>
  <c r="D43" i="5"/>
  <c r="G43" i="5"/>
  <c r="J39" i="5"/>
  <c r="F39" i="5"/>
  <c r="O39" i="5"/>
  <c r="O43" i="5"/>
  <c r="F31" i="5"/>
  <c r="F34" i="5" s="1"/>
  <c r="F30" i="5"/>
  <c r="F33" i="5" s="1"/>
  <c r="E30" i="5"/>
  <c r="E33" i="5" s="1"/>
  <c r="E31" i="5"/>
  <c r="E34" i="5" s="1"/>
  <c r="M30" i="5"/>
  <c r="M33" i="5" s="1"/>
  <c r="M31" i="5"/>
  <c r="M34" i="5" s="1"/>
  <c r="P27" i="5"/>
  <c r="O27" i="5"/>
  <c r="N27" i="5"/>
  <c r="G31" i="5"/>
  <c r="G34" i="5" s="1"/>
  <c r="G30" i="5"/>
  <c r="G33" i="5" s="1"/>
  <c r="P26" i="5"/>
  <c r="O26" i="5"/>
  <c r="N26" i="5"/>
  <c r="H31" i="5"/>
  <c r="H34" i="5" s="1"/>
  <c r="H30" i="5"/>
  <c r="H33" i="5" s="1"/>
  <c r="P24" i="5"/>
  <c r="N24" i="5"/>
  <c r="O24" i="5"/>
  <c r="D30" i="5"/>
  <c r="D33" i="5" s="1"/>
  <c r="D31" i="5"/>
  <c r="D34" i="5" s="1"/>
  <c r="P28" i="5"/>
  <c r="O28" i="5"/>
  <c r="N28" i="5"/>
  <c r="I30" i="5"/>
  <c r="I33" i="5" s="1"/>
  <c r="I31" i="5"/>
  <c r="I34" i="5" s="1"/>
  <c r="L24" i="5"/>
  <c r="P25" i="5"/>
  <c r="O25" i="5"/>
  <c r="N25" i="5"/>
  <c r="L16" i="3" l="1"/>
  <c r="G17" i="10" s="1"/>
  <c r="O23" i="6"/>
  <c r="D25" i="6" s="1"/>
  <c r="D31" i="6" s="1"/>
  <c r="D32" i="6" s="1"/>
  <c r="E36" i="10"/>
  <c r="K35" i="3"/>
  <c r="K31" i="3"/>
  <c r="E32" i="10"/>
  <c r="K17" i="3"/>
  <c r="F18" i="10" s="1"/>
  <c r="K77" i="3"/>
  <c r="K74" i="3"/>
  <c r="K69" i="3"/>
  <c r="O30" i="5"/>
  <c r="O33" i="5" s="1"/>
  <c r="O31" i="5"/>
  <c r="O34" i="5" s="1"/>
  <c r="N30" i="5"/>
  <c r="N33" i="5" s="1"/>
  <c r="N31" i="5"/>
  <c r="N34" i="5" s="1"/>
  <c r="P30" i="5"/>
  <c r="P33" i="5" s="1"/>
  <c r="P31" i="5"/>
  <c r="P34" i="5" s="1"/>
  <c r="K31" i="5"/>
  <c r="K34" i="5" s="1"/>
  <c r="K30" i="5"/>
  <c r="K33" i="5" s="1"/>
  <c r="L31" i="5"/>
  <c r="L34" i="5" s="1"/>
  <c r="L30" i="5"/>
  <c r="L33" i="5" s="1"/>
  <c r="B52" i="7" l="1"/>
  <c r="B30" i="7"/>
  <c r="H5" i="11"/>
  <c r="B3" i="7"/>
  <c r="L17" i="3"/>
  <c r="G18" i="10"/>
  <c r="G32" i="10"/>
  <c r="F32" i="10"/>
  <c r="L35" i="3"/>
  <c r="G36" i="10" s="1"/>
  <c r="F36" i="10"/>
  <c r="L77" i="3"/>
  <c r="L69" i="3"/>
  <c r="L74" i="3"/>
  <c r="D8" i="4"/>
  <c r="E8" i="4"/>
  <c r="F8" i="4"/>
  <c r="B8" i="4"/>
  <c r="C20" i="4"/>
  <c r="D20" i="4"/>
  <c r="E20" i="4"/>
  <c r="F20" i="4"/>
  <c r="C19" i="4"/>
  <c r="D19" i="4"/>
  <c r="E19" i="4"/>
  <c r="F19" i="4"/>
  <c r="C18" i="4"/>
  <c r="D18" i="4"/>
  <c r="E18" i="4"/>
  <c r="B20" i="4"/>
  <c r="G20" i="4" s="1"/>
  <c r="B19" i="4"/>
  <c r="B18" i="4"/>
  <c r="B12" i="4"/>
  <c r="C12" i="4"/>
  <c r="B17" i="4"/>
  <c r="C17" i="4"/>
  <c r="D17" i="4"/>
  <c r="E17" i="4"/>
  <c r="F17" i="4"/>
  <c r="G17" i="4" s="1"/>
  <c r="D44" i="4"/>
  <c r="I44" i="4"/>
  <c r="I66" i="4" s="1"/>
  <c r="J44" i="4"/>
  <c r="J66" i="4" s="1"/>
  <c r="K44" i="4"/>
  <c r="K66" i="4" s="1"/>
  <c r="C9" i="1"/>
  <c r="D9" i="1"/>
  <c r="E9" i="1"/>
  <c r="F9" i="1"/>
  <c r="B9" i="1"/>
  <c r="I27" i="1"/>
  <c r="J27" i="1"/>
  <c r="K27" i="1"/>
  <c r="L27" i="1"/>
  <c r="H26" i="1"/>
  <c r="H25" i="1"/>
  <c r="H27" i="1"/>
  <c r="D16" i="1"/>
  <c r="D25" i="1" s="1"/>
  <c r="C16" i="1"/>
  <c r="C25" i="1" s="1"/>
  <c r="B16" i="1"/>
  <c r="B25" i="1" s="1"/>
  <c r="E44" i="4"/>
  <c r="F44" i="4"/>
  <c r="C19" i="1"/>
  <c r="C28" i="1" s="1"/>
  <c r="D19" i="1"/>
  <c r="D28" i="1" s="1"/>
  <c r="E19" i="1"/>
  <c r="E28" i="1" s="1"/>
  <c r="F19" i="1"/>
  <c r="F28" i="1" s="1"/>
  <c r="H19" i="1"/>
  <c r="H8" i="1" s="1"/>
  <c r="I19" i="1"/>
  <c r="J19" i="1"/>
  <c r="K19" i="1"/>
  <c r="L19" i="1"/>
  <c r="B19" i="1"/>
  <c r="B28" i="1" s="1"/>
  <c r="C18" i="1"/>
  <c r="C27" i="1" s="1"/>
  <c r="D18" i="1"/>
  <c r="D27" i="1" s="1"/>
  <c r="E18" i="1"/>
  <c r="E27" i="1" s="1"/>
  <c r="F18" i="1"/>
  <c r="F27" i="1" s="1"/>
  <c r="H18" i="1"/>
  <c r="I18" i="1"/>
  <c r="J18" i="1"/>
  <c r="K18" i="1"/>
  <c r="L18" i="1"/>
  <c r="B18" i="1"/>
  <c r="B27" i="1" s="1"/>
  <c r="C17" i="1"/>
  <c r="C26" i="1" s="1"/>
  <c r="D17" i="1"/>
  <c r="D26" i="1" s="1"/>
  <c r="H17" i="1"/>
  <c r="I17" i="1"/>
  <c r="J17" i="1"/>
  <c r="K17" i="1"/>
  <c r="L17" i="1"/>
  <c r="B17" i="1"/>
  <c r="B26" i="1" s="1"/>
  <c r="E16" i="1"/>
  <c r="E25" i="1" s="1"/>
  <c r="F16" i="1"/>
  <c r="F25" i="1" s="1"/>
  <c r="H16" i="1"/>
  <c r="I16" i="1"/>
  <c r="J16" i="1"/>
  <c r="K16" i="1"/>
  <c r="L16" i="1"/>
  <c r="C24" i="1"/>
  <c r="E56" i="1"/>
  <c r="E17" i="1" s="1"/>
  <c r="F56" i="1"/>
  <c r="F17" i="1" s="1"/>
  <c r="F26" i="1" s="1"/>
  <c r="D24" i="1"/>
  <c r="E24" i="1"/>
  <c r="H5" i="1" l="1"/>
  <c r="C13" i="4"/>
  <c r="K8" i="1"/>
  <c r="I8" i="1"/>
  <c r="L8" i="1"/>
  <c r="J8" i="1"/>
  <c r="I7" i="1"/>
  <c r="H7" i="1"/>
  <c r="J15" i="1"/>
  <c r="J4" i="1" s="1"/>
  <c r="K15" i="1"/>
  <c r="K4" i="1" s="1"/>
  <c r="I15" i="1"/>
  <c r="I4" i="1" s="1"/>
  <c r="B31" i="7"/>
  <c r="B32" i="7" s="1"/>
  <c r="B33" i="7" s="1"/>
  <c r="B29" i="7"/>
  <c r="B28" i="7" s="1"/>
  <c r="B27" i="7" s="1"/>
  <c r="B53" i="7"/>
  <c r="B54" i="7" s="1"/>
  <c r="B55" i="7" s="1"/>
  <c r="B51" i="7"/>
  <c r="B50" i="7" s="1"/>
  <c r="B49" i="7" s="1"/>
  <c r="G33" i="2"/>
  <c r="I33" i="2" s="1"/>
  <c r="J33" i="2" s="1"/>
  <c r="K33" i="2" s="1"/>
  <c r="L33" i="2" s="1"/>
  <c r="G83" i="3"/>
  <c r="I5" i="11"/>
  <c r="H6" i="11"/>
  <c r="H7" i="11" s="1"/>
  <c r="G18" i="4"/>
  <c r="H18" i="4" s="1"/>
  <c r="G86" i="3"/>
  <c r="H86" i="3" s="1"/>
  <c r="I86" i="3" s="1"/>
  <c r="J86" i="3" s="1"/>
  <c r="K86" i="3" s="1"/>
  <c r="L86" i="3" s="1"/>
  <c r="D12" i="4"/>
  <c r="D13" i="4" s="1"/>
  <c r="D66" i="4"/>
  <c r="G19" i="4"/>
  <c r="G13" i="2"/>
  <c r="G17" i="2" s="1"/>
  <c r="G20" i="2" s="1"/>
  <c r="F66" i="4"/>
  <c r="H20" i="4"/>
  <c r="H6" i="4" s="1"/>
  <c r="E12" i="4"/>
  <c r="E66" i="4"/>
  <c r="H6" i="1"/>
  <c r="L5" i="1"/>
  <c r="K5" i="1"/>
  <c r="J5" i="1"/>
  <c r="K7" i="1"/>
  <c r="I5" i="1"/>
  <c r="J7" i="1"/>
  <c r="K6" i="1"/>
  <c r="J6" i="1"/>
  <c r="I6" i="1"/>
  <c r="L6" i="1"/>
  <c r="G72" i="3"/>
  <c r="G60" i="3"/>
  <c r="L7" i="1"/>
  <c r="E26" i="1"/>
  <c r="H17" i="4"/>
  <c r="H4" i="4" s="1"/>
  <c r="F12" i="4"/>
  <c r="G13" i="4" s="1"/>
  <c r="F24" i="1"/>
  <c r="H72" i="3" l="1"/>
  <c r="I72" i="3" s="1"/>
  <c r="J72" i="3" s="1"/>
  <c r="K72" i="3" s="1"/>
  <c r="L72" i="3" s="1"/>
  <c r="I18" i="4"/>
  <c r="I5" i="4" s="1"/>
  <c r="H5" i="4"/>
  <c r="H11" i="11"/>
  <c r="H12" i="11" s="1"/>
  <c r="I4" i="7"/>
  <c r="J5" i="11"/>
  <c r="I6" i="11"/>
  <c r="I7" i="11" s="1"/>
  <c r="E13" i="4"/>
  <c r="H4" i="9"/>
  <c r="F8" i="9"/>
  <c r="F6" i="9"/>
  <c r="F24" i="9"/>
  <c r="D24" i="9"/>
  <c r="D6" i="9"/>
  <c r="D8" i="9"/>
  <c r="E8" i="9"/>
  <c r="E24" i="9"/>
  <c r="E6" i="9"/>
  <c r="H19" i="4"/>
  <c r="H7" i="4" s="1"/>
  <c r="G44" i="2"/>
  <c r="G49" i="2"/>
  <c r="H49" i="2" s="1"/>
  <c r="K9" i="1"/>
  <c r="J9" i="1"/>
  <c r="J3" i="2" s="1"/>
  <c r="I9" i="1"/>
  <c r="I3" i="2" s="1"/>
  <c r="H9" i="1"/>
  <c r="H3" i="2" s="1"/>
  <c r="L9" i="1"/>
  <c r="G24" i="2"/>
  <c r="G22" i="2"/>
  <c r="F13" i="4"/>
  <c r="J18" i="4"/>
  <c r="J5" i="4" s="1"/>
  <c r="I20" i="4"/>
  <c r="I6" i="4" s="1"/>
  <c r="I17" i="4"/>
  <c r="I4" i="4" s="1"/>
  <c r="B2" i="10" l="1"/>
  <c r="B51" i="10" s="1"/>
  <c r="G18" i="11"/>
  <c r="H24" i="9"/>
  <c r="H23" i="9" s="1"/>
  <c r="I19" i="4"/>
  <c r="I7" i="4" s="1"/>
  <c r="H5" i="3"/>
  <c r="C6" i="10" s="1"/>
  <c r="H22" i="3"/>
  <c r="C23" i="10" s="1"/>
  <c r="I5" i="3"/>
  <c r="J5" i="3"/>
  <c r="J7" i="2"/>
  <c r="J33" i="3"/>
  <c r="I7" i="2"/>
  <c r="I33" i="3"/>
  <c r="H7" i="2"/>
  <c r="H33" i="3"/>
  <c r="C34" i="10" s="1"/>
  <c r="K3" i="2"/>
  <c r="I5" i="7"/>
  <c r="I11" i="11"/>
  <c r="I12" i="11" s="1"/>
  <c r="K5" i="11"/>
  <c r="J6" i="11"/>
  <c r="J7" i="11" s="1"/>
  <c r="J11" i="11" s="1"/>
  <c r="J12" i="11" s="1"/>
  <c r="C53" i="10"/>
  <c r="H19" i="11"/>
  <c r="J22" i="3"/>
  <c r="J35" i="11"/>
  <c r="J27" i="11"/>
  <c r="J36" i="3"/>
  <c r="H27" i="11"/>
  <c r="H35" i="11"/>
  <c r="H37" i="11" s="1"/>
  <c r="H36" i="3"/>
  <c r="C37" i="10" s="1"/>
  <c r="I10" i="3"/>
  <c r="I35" i="11"/>
  <c r="I27" i="11"/>
  <c r="I36" i="3"/>
  <c r="H8" i="9"/>
  <c r="H7" i="9" s="1"/>
  <c r="H6" i="9"/>
  <c r="H5" i="9" s="1"/>
  <c r="I22" i="3"/>
  <c r="I4" i="9"/>
  <c r="J10" i="3"/>
  <c r="H10" i="3"/>
  <c r="C11" i="10" s="1"/>
  <c r="L3" i="2"/>
  <c r="L5" i="3" s="1"/>
  <c r="J17" i="4"/>
  <c r="J4" i="4" s="1"/>
  <c r="J20" i="4"/>
  <c r="J6" i="4" s="1"/>
  <c r="K18" i="4"/>
  <c r="K5" i="4" s="1"/>
  <c r="J19" i="4"/>
  <c r="J7" i="4" s="1"/>
  <c r="K36" i="3" l="1"/>
  <c r="F37" i="10" s="1"/>
  <c r="K5" i="3"/>
  <c r="L7" i="2"/>
  <c r="L33" i="3"/>
  <c r="K7" i="2"/>
  <c r="K33" i="3"/>
  <c r="F34" i="10" s="1"/>
  <c r="K27" i="11"/>
  <c r="K10" i="3"/>
  <c r="F11" i="10" s="1"/>
  <c r="K35" i="11"/>
  <c r="K22" i="3"/>
  <c r="F23" i="10" s="1"/>
  <c r="D6" i="10"/>
  <c r="J19" i="11"/>
  <c r="E53" i="10"/>
  <c r="L5" i="11"/>
  <c r="L6" i="11" s="1"/>
  <c r="K6" i="11"/>
  <c r="K7" i="11" s="1"/>
  <c r="D53" i="10"/>
  <c r="I19" i="11"/>
  <c r="E34" i="10"/>
  <c r="D34" i="10"/>
  <c r="D37" i="10"/>
  <c r="E11" i="10"/>
  <c r="E37" i="10"/>
  <c r="D23" i="10"/>
  <c r="D11" i="10"/>
  <c r="L35" i="11"/>
  <c r="L27" i="11"/>
  <c r="L36" i="3"/>
  <c r="E6" i="10"/>
  <c r="E23" i="10"/>
  <c r="I24" i="9"/>
  <c r="I23" i="9" s="1"/>
  <c r="I8" i="9"/>
  <c r="I7" i="9" s="1"/>
  <c r="I6" i="9"/>
  <c r="I5" i="9" s="1"/>
  <c r="J4" i="9"/>
  <c r="I19" i="9"/>
  <c r="L22" i="3"/>
  <c r="L10" i="3"/>
  <c r="G8" i="4"/>
  <c r="I12" i="4"/>
  <c r="K19" i="4"/>
  <c r="K7" i="4" s="1"/>
  <c r="L18" i="4"/>
  <c r="L5" i="4" s="1"/>
  <c r="K20" i="4"/>
  <c r="K6" i="4" s="1"/>
  <c r="K17" i="4"/>
  <c r="K4" i="4" s="1"/>
  <c r="I31" i="2" l="1"/>
  <c r="J31" i="2" s="1"/>
  <c r="G34" i="10"/>
  <c r="G37" i="10"/>
  <c r="G6" i="10"/>
  <c r="F6" i="10"/>
  <c r="G11" i="10"/>
  <c r="G23" i="10"/>
  <c r="K11" i="11"/>
  <c r="K12" i="11" s="1"/>
  <c r="L7" i="11"/>
  <c r="L11" i="11" s="1"/>
  <c r="L12" i="11" s="1"/>
  <c r="H15" i="3"/>
  <c r="C16" i="10" s="1"/>
  <c r="I15" i="3"/>
  <c r="J24" i="9"/>
  <c r="J23" i="9" s="1"/>
  <c r="K4" i="9"/>
  <c r="G10" i="9"/>
  <c r="J19" i="9"/>
  <c r="J6" i="9"/>
  <c r="J5" i="9" s="1"/>
  <c r="J8" i="9"/>
  <c r="J7" i="9" s="1"/>
  <c r="L17" i="4"/>
  <c r="L4" i="4" s="1"/>
  <c r="L20" i="4"/>
  <c r="L6" i="4" s="1"/>
  <c r="L19" i="4"/>
  <c r="L7" i="4" s="1"/>
  <c r="H8" i="4"/>
  <c r="H4" i="2" s="1"/>
  <c r="H35" i="9" l="1"/>
  <c r="H18" i="9"/>
  <c r="H8" i="3" s="1"/>
  <c r="C9" i="10" s="1"/>
  <c r="G28" i="9"/>
  <c r="L19" i="11"/>
  <c r="G53" i="10"/>
  <c r="F53" i="10"/>
  <c r="K19" i="11"/>
  <c r="H9" i="2"/>
  <c r="H46" i="9"/>
  <c r="H42" i="9" s="1"/>
  <c r="G44" i="9"/>
  <c r="D16" i="10"/>
  <c r="K19" i="9"/>
  <c r="L19" i="9" s="1"/>
  <c r="K6" i="9"/>
  <c r="K5" i="9" s="1"/>
  <c r="K8" i="9"/>
  <c r="K7" i="9" s="1"/>
  <c r="L4" i="9"/>
  <c r="K31" i="2"/>
  <c r="J15" i="3"/>
  <c r="K24" i="9"/>
  <c r="K23" i="9" s="1"/>
  <c r="H27" i="3"/>
  <c r="C28" i="10" s="1"/>
  <c r="H3" i="9"/>
  <c r="H10" i="9" s="1"/>
  <c r="H7" i="3" s="1"/>
  <c r="C8" i="10" s="1"/>
  <c r="J12" i="4"/>
  <c r="I3" i="4"/>
  <c r="I8" i="4" s="1"/>
  <c r="I4" i="2" s="1"/>
  <c r="H28" i="9" l="1"/>
  <c r="H23" i="3"/>
  <c r="C24" i="10" s="1"/>
  <c r="H34" i="3"/>
  <c r="C35" i="10" s="1"/>
  <c r="I35" i="9"/>
  <c r="I18" i="9"/>
  <c r="H32" i="3"/>
  <c r="H43" i="9"/>
  <c r="H44" i="9" s="1"/>
  <c r="H14" i="3"/>
  <c r="C15" i="10" s="1"/>
  <c r="I9" i="2"/>
  <c r="I46" i="9"/>
  <c r="E16" i="10"/>
  <c r="K15" i="3"/>
  <c r="L24" i="9"/>
  <c r="I27" i="3"/>
  <c r="D28" i="10" s="1"/>
  <c r="I3" i="9"/>
  <c r="I10" i="9" s="1"/>
  <c r="I7" i="3" s="1"/>
  <c r="D8" i="10" s="1"/>
  <c r="L8" i="9"/>
  <c r="L7" i="9" s="1"/>
  <c r="L31" i="2"/>
  <c r="L6" i="9"/>
  <c r="L5" i="9" s="1"/>
  <c r="J3" i="4"/>
  <c r="J8" i="4" s="1"/>
  <c r="J4" i="2" s="1"/>
  <c r="K12" i="4"/>
  <c r="L23" i="9" l="1"/>
  <c r="L15" i="3" s="1"/>
  <c r="G16" i="10" s="1"/>
  <c r="H13" i="3"/>
  <c r="C33" i="10"/>
  <c r="H19" i="3"/>
  <c r="C20" i="10" s="1"/>
  <c r="H6" i="2"/>
  <c r="I8" i="3"/>
  <c r="D9" i="10" s="1"/>
  <c r="I28" i="9"/>
  <c r="I23" i="3"/>
  <c r="D24" i="10" s="1"/>
  <c r="I34" i="3"/>
  <c r="D35" i="10" s="1"/>
  <c r="J35" i="9"/>
  <c r="J18" i="9"/>
  <c r="I32" i="3"/>
  <c r="J9" i="2"/>
  <c r="J46" i="9"/>
  <c r="I42" i="9"/>
  <c r="I43" i="9" s="1"/>
  <c r="I44" i="9" s="1"/>
  <c r="I13" i="3" s="1"/>
  <c r="I14" i="3"/>
  <c r="D15" i="10" s="1"/>
  <c r="F16" i="10"/>
  <c r="J27" i="3"/>
  <c r="E28" i="10" s="1"/>
  <c r="J3" i="9"/>
  <c r="J10" i="9" s="1"/>
  <c r="J7" i="3" s="1"/>
  <c r="L12" i="4"/>
  <c r="L3" i="4" s="1"/>
  <c r="L8" i="4" s="1"/>
  <c r="L4" i="2" s="1"/>
  <c r="K3" i="4"/>
  <c r="K8" i="4" s="1"/>
  <c r="K4" i="2" s="1"/>
  <c r="H5" i="2" l="1"/>
  <c r="H13" i="2" s="1"/>
  <c r="C14" i="10"/>
  <c r="J8" i="3"/>
  <c r="J28" i="9"/>
  <c r="L35" i="9"/>
  <c r="L18" i="9"/>
  <c r="J32" i="3"/>
  <c r="D14" i="10"/>
  <c r="D33" i="10"/>
  <c r="I6" i="2"/>
  <c r="I19" i="3"/>
  <c r="K35" i="9"/>
  <c r="K18" i="9"/>
  <c r="J23" i="3"/>
  <c r="E24" i="10" s="1"/>
  <c r="J34" i="3"/>
  <c r="E35" i="10" s="1"/>
  <c r="K9" i="2"/>
  <c r="K46" i="9"/>
  <c r="L9" i="2"/>
  <c r="L46" i="9"/>
  <c r="L14" i="3" s="1"/>
  <c r="I5" i="2"/>
  <c r="J42" i="9"/>
  <c r="J43" i="9" s="1"/>
  <c r="J44" i="9" s="1"/>
  <c r="J13" i="3" s="1"/>
  <c r="J14" i="3"/>
  <c r="E15" i="10" s="1"/>
  <c r="E8" i="10"/>
  <c r="K27" i="3"/>
  <c r="F28" i="10" s="1"/>
  <c r="K3" i="9"/>
  <c r="K10" i="9" s="1"/>
  <c r="K7" i="3" s="1"/>
  <c r="F8" i="10" s="1"/>
  <c r="L27" i="3"/>
  <c r="L3" i="9"/>
  <c r="L10" i="9" s="1"/>
  <c r="L7" i="3" s="1"/>
  <c r="L32" i="3" l="1"/>
  <c r="K32" i="3"/>
  <c r="I13" i="2"/>
  <c r="K8" i="3"/>
  <c r="K28" i="9"/>
  <c r="J6" i="2"/>
  <c r="E33" i="10"/>
  <c r="J19" i="3"/>
  <c r="D20" i="10"/>
  <c r="L8" i="3"/>
  <c r="L28" i="9"/>
  <c r="L23" i="3"/>
  <c r="L34" i="3"/>
  <c r="K23" i="3"/>
  <c r="F24" i="10" s="1"/>
  <c r="K34" i="3"/>
  <c r="F35" i="10" s="1"/>
  <c r="E9" i="10"/>
  <c r="G28" i="10"/>
  <c r="K42" i="9"/>
  <c r="K14" i="3"/>
  <c r="G15" i="10" s="1"/>
  <c r="J5" i="2"/>
  <c r="E14" i="10"/>
  <c r="G8" i="10"/>
  <c r="J13" i="2" l="1"/>
  <c r="F15" i="10"/>
  <c r="G35" i="10"/>
  <c r="G9" i="10"/>
  <c r="F9" i="10"/>
  <c r="K19" i="3"/>
  <c r="F33" i="10"/>
  <c r="K6" i="2"/>
  <c r="G24" i="10"/>
  <c r="E20" i="10"/>
  <c r="L6" i="2"/>
  <c r="G33" i="10"/>
  <c r="L19" i="3"/>
  <c r="L42" i="9"/>
  <c r="L43" i="9" s="1"/>
  <c r="L44" i="9" s="1"/>
  <c r="L13" i="3" s="1"/>
  <c r="K43" i="9"/>
  <c r="K44" i="9" s="1"/>
  <c r="K13" i="3" s="1"/>
  <c r="G20" i="10" l="1"/>
  <c r="F20" i="10"/>
  <c r="L5" i="2"/>
  <c r="L13" i="2" s="1"/>
  <c r="K5" i="2"/>
  <c r="K13" i="2" s="1"/>
  <c r="G14" i="10"/>
  <c r="F14" i="10"/>
  <c r="G28" i="11" l="1"/>
  <c r="H28" i="11" s="1"/>
  <c r="I28" i="11" l="1"/>
  <c r="H40" i="3"/>
  <c r="H41" i="3" l="1"/>
  <c r="C42" i="10" s="1"/>
  <c r="I37" i="11"/>
  <c r="C41" i="10"/>
  <c r="I40" i="3"/>
  <c r="J28" i="11"/>
  <c r="D41" i="10" l="1"/>
  <c r="K28" i="11"/>
  <c r="J40" i="3"/>
  <c r="I41" i="3"/>
  <c r="D42" i="10" s="1"/>
  <c r="J37" i="11"/>
  <c r="I49" i="2"/>
  <c r="J41" i="3" l="1"/>
  <c r="E42" i="10" s="1"/>
  <c r="K37" i="11"/>
  <c r="E41" i="10"/>
  <c r="G21" i="11"/>
  <c r="H17" i="11" s="1"/>
  <c r="B56" i="10"/>
  <c r="B59" i="10" s="1"/>
  <c r="C58" i="10" s="1"/>
  <c r="J49" i="2"/>
  <c r="K40" i="3"/>
  <c r="L28" i="11"/>
  <c r="L40" i="3" s="1"/>
  <c r="F41" i="10" l="1"/>
  <c r="G41" i="10"/>
  <c r="K49" i="2"/>
  <c r="B61" i="10"/>
  <c r="L37" i="11"/>
  <c r="L41" i="3" s="1"/>
  <c r="K41" i="3"/>
  <c r="F42" i="10" s="1"/>
  <c r="G42" i="10" l="1"/>
  <c r="L49" i="2"/>
  <c r="H4" i="3"/>
  <c r="I4" i="3"/>
  <c r="J4" i="3"/>
  <c r="K4" i="3"/>
  <c r="L4" i="3"/>
  <c r="H12" i="3"/>
  <c r="I12" i="3"/>
  <c r="J12" i="3"/>
  <c r="K12" i="3"/>
  <c r="L12" i="3"/>
  <c r="H20" i="3"/>
  <c r="I20" i="3"/>
  <c r="J20" i="3"/>
  <c r="K20" i="3"/>
  <c r="L20" i="3"/>
  <c r="H24" i="3"/>
  <c r="I24" i="3"/>
  <c r="J24" i="3"/>
  <c r="K24" i="3"/>
  <c r="L24" i="3"/>
  <c r="H29" i="3"/>
  <c r="I29" i="3"/>
  <c r="J29" i="3"/>
  <c r="K29" i="3"/>
  <c r="L29" i="3"/>
  <c r="H30" i="3"/>
  <c r="I30" i="3"/>
  <c r="J30" i="3"/>
  <c r="K30" i="3"/>
  <c r="L30" i="3"/>
  <c r="H37" i="3"/>
  <c r="I37" i="3"/>
  <c r="J37" i="3"/>
  <c r="K37" i="3"/>
  <c r="L37" i="3"/>
  <c r="H43" i="3"/>
  <c r="I43" i="3"/>
  <c r="J43" i="3"/>
  <c r="K43" i="3"/>
  <c r="L43" i="3"/>
  <c r="H44" i="3"/>
  <c r="I44" i="3"/>
  <c r="J44" i="3"/>
  <c r="K44" i="3"/>
  <c r="L44" i="3"/>
  <c r="H47" i="3"/>
  <c r="I47" i="3"/>
  <c r="J47" i="3"/>
  <c r="K47" i="3"/>
  <c r="L47" i="3"/>
  <c r="H48" i="3"/>
  <c r="I48" i="3"/>
  <c r="J48" i="3"/>
  <c r="K48" i="3"/>
  <c r="L48" i="3"/>
  <c r="C2" i="10"/>
  <c r="D2" i="10"/>
  <c r="E2" i="10"/>
  <c r="F2" i="10"/>
  <c r="G2" i="10"/>
  <c r="C25" i="10"/>
  <c r="D25" i="10"/>
  <c r="E25" i="10"/>
  <c r="F25" i="10"/>
  <c r="G25" i="10"/>
  <c r="C31" i="10"/>
  <c r="D31" i="10"/>
  <c r="E31" i="10"/>
  <c r="F31" i="10"/>
  <c r="G31" i="10"/>
  <c r="C51" i="10"/>
  <c r="D51" i="10"/>
  <c r="E51" i="10"/>
  <c r="F51" i="10"/>
  <c r="G51" i="10"/>
  <c r="C56" i="10"/>
  <c r="D56" i="10"/>
  <c r="E56" i="10"/>
  <c r="F56" i="10"/>
  <c r="G56" i="10"/>
  <c r="D58" i="10"/>
  <c r="E58" i="10"/>
  <c r="F58" i="10"/>
  <c r="G58" i="10"/>
  <c r="C59" i="10"/>
  <c r="D59" i="10"/>
  <c r="E59" i="10"/>
  <c r="F59" i="10"/>
  <c r="G59" i="10"/>
  <c r="C61" i="10"/>
  <c r="D61" i="10"/>
  <c r="E61" i="10"/>
  <c r="F61" i="10"/>
  <c r="G61" i="10"/>
  <c r="C65" i="10"/>
  <c r="D65" i="10"/>
  <c r="E65" i="10"/>
  <c r="F65" i="10"/>
  <c r="G65" i="10"/>
  <c r="I17" i="11"/>
  <c r="J17" i="11"/>
  <c r="K17" i="11"/>
  <c r="L17" i="11"/>
  <c r="H18" i="11"/>
  <c r="I18" i="11"/>
  <c r="J18" i="11"/>
  <c r="K18" i="11"/>
  <c r="L18" i="11"/>
  <c r="H21" i="11"/>
  <c r="I21" i="11"/>
  <c r="J21" i="11"/>
  <c r="K21" i="11"/>
  <c r="L21" i="11"/>
  <c r="E15" i="12"/>
  <c r="E18" i="12"/>
  <c r="E19" i="12"/>
  <c r="E20" i="12"/>
  <c r="E21" i="12"/>
  <c r="E23" i="12"/>
  <c r="B8" i="7"/>
  <c r="I8" i="7"/>
  <c r="B9" i="7"/>
  <c r="I9" i="7"/>
  <c r="D16" i="7"/>
  <c r="E16" i="7"/>
  <c r="F16" i="7"/>
  <c r="G16" i="7"/>
  <c r="H16" i="7"/>
  <c r="D17" i="7"/>
  <c r="E17" i="7"/>
  <c r="F17" i="7"/>
  <c r="G17" i="7"/>
  <c r="H17" i="7"/>
  <c r="B21" i="7"/>
  <c r="B22" i="7"/>
  <c r="B23" i="7"/>
  <c r="B24" i="7"/>
  <c r="B26" i="7"/>
  <c r="D40" i="7"/>
  <c r="E40" i="7"/>
  <c r="F40" i="7"/>
  <c r="G40" i="7"/>
  <c r="H40" i="7"/>
  <c r="D41" i="7"/>
  <c r="E41" i="7"/>
  <c r="F41" i="7"/>
  <c r="G41" i="7"/>
  <c r="H41" i="7"/>
  <c r="B43" i="7"/>
  <c r="B44" i="7"/>
  <c r="B45" i="7"/>
  <c r="B46" i="7"/>
  <c r="B48" i="7"/>
  <c r="H16" i="2"/>
  <c r="I16" i="2"/>
  <c r="J16" i="2"/>
  <c r="K16" i="2"/>
  <c r="L16" i="2"/>
  <c r="H17" i="2"/>
  <c r="I17" i="2"/>
  <c r="J17" i="2"/>
  <c r="K17" i="2"/>
  <c r="L17" i="2"/>
  <c r="H18" i="2"/>
  <c r="I18" i="2"/>
  <c r="J18" i="2"/>
  <c r="K18" i="2"/>
  <c r="L18" i="2"/>
  <c r="H20" i="2"/>
  <c r="I20" i="2"/>
  <c r="J20" i="2"/>
  <c r="K20" i="2"/>
  <c r="L20" i="2"/>
  <c r="H22" i="2"/>
  <c r="I22" i="2"/>
  <c r="J22" i="2"/>
  <c r="K22" i="2"/>
  <c r="L22" i="2"/>
  <c r="H23" i="2"/>
  <c r="I23" i="2"/>
  <c r="J23" i="2"/>
  <c r="K23" i="2"/>
  <c r="L23" i="2"/>
  <c r="H24" i="2"/>
  <c r="I24" i="2"/>
  <c r="J24" i="2"/>
  <c r="K24" i="2"/>
  <c r="L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tc={36E2B051-5421-4ACA-A7A3-EEF97F52A303}</author>
  </authors>
  <commentList>
    <comment ref="H25" authorId="0" shapeId="0" xr:uid="{36E2B051-5421-4ACA-A7A3-EEF97F52A303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of current price and price target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tc={EE4F47B8-1D66-4EC1-BAF1-632ADB95672F}</author>
    <author>tc={0F4CF145-EB06-4E68-B185-95C40FB073F6}</author>
    <author>tc={9FB43683-1346-419D-AF81-C1CA8AF58167}</author>
    <author>tc={64D1E939-EC5E-4C38-B2C8-2AA3CDA824C5}</author>
    <author>tc={C93A90E8-BCE3-4C02-8C30-614F0673BAF0}</author>
    <author>tc={4FF6A3FE-FC60-4644-8F17-916879BC747E}</author>
    <author>tc={A545C1BE-6657-4AF7-87F0-F43F807E462F}</author>
    <author>tc={2A09F2AB-4321-42AC-B5C3-EF430BE447C5}</author>
    <author>tc={E57AA308-6002-4CDA-9B43-255E2C81C2E0}</author>
    <author>tc={1BC99710-68D4-4953-96E5-07CB5715EF76}</author>
    <author>tc={6BA7FFC2-FC06-4F80-A8DA-5FAAEA0A5F8B}</author>
    <author>tc={0313A6E6-1820-4CC7-BA54-7F1DAD4C4CC8}</author>
  </authors>
  <commentList>
    <comment ref="M25" authorId="0" shapeId="0" xr:uid="{EE4F47B8-1D66-4EC1-BAF1-632ADB9567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Stable to modest decline; mature underground mine. </t>
      </text>
    </comment>
    <comment ref="M26" authorId="1" shapeId="0" xr:uid="{0F4CF145-EB06-4E68-B185-95C40FB073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Gradual gold growth as underground development progresses. </t>
      </text>
    </comment>
    <comment ref="M27" authorId="2" shapeId="0" xr:uid="{9FB43683-1346-419D-AF81-C1CA8AF581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Normalized production post-labor strike; stable but not structural growth. </t>
      </text>
    </comment>
    <comment ref="M28" authorId="3" shapeId="0" xr:uid="{64D1E939-EC5E-4C38-B2C8-2AA3CDA824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Gradual natural decline; no major growth projects announced. </t>
      </text>
    </comment>
    <comment ref="M29" authorId="4" shapeId="0" xr:uid="{C93A90E8-BCE3-4C02-8C30-614F0673BA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Slight decline profile typical of underground depletion. </t>
      </text>
    </comment>
    <comment ref="M30" authorId="5" shapeId="0" xr:uid="{4FF6A3FE-FC60-4644-8F17-916879BC74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Gradual step-down as legacy oxide production winds down.
</t>
      </text>
    </comment>
    <comment ref="M31" authorId="6" shapeId="0" xr:uid="{A545C1BE-6657-4AF7-87F0-F43F807E46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Stable Tier-1 platform; slight variability but broadly steady. </t>
      </text>
    </comment>
    <comment ref="M32" authorId="7" shapeId="0" xr:uid="{2A09F2AB-4321-42AC-B5C3-EF430BE447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Major uplift from 2027 onward from shaft expansion. </t>
      </text>
    </comment>
    <comment ref="M33" authorId="8" shapeId="0" xr:uid="{E57AA308-6002-4CDA-9B43-255E2C81C2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Gradual gold uplift as panel caves mature; copper leverage improves margins. </t>
      </text>
    </comment>
    <comment ref="M34" authorId="9" shapeId="0" xr:uid="{1BC99710-68D4-4953-96E5-07CB5715EF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Stable high-volume contributor; modest operational improvements. </t>
      </text>
    </comment>
    <comment ref="M35" authorId="10" shapeId="0" xr:uid="{6BA7FFC2-FC06-4F80-A8DA-5FAAEA0A5F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Structural production increase from 2026 onward. </t>
      </text>
    </comment>
    <comment ref="M36" authorId="11" shapeId="0" xr:uid="{0313A6E6-1820-4CC7-BA54-7F1DAD4C4C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Gradual natural decline but remains one of the largest contributors. 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<sst xmlns="http://schemas.openxmlformats.org/spreadsheetml/2006/main" count="1026" uniqueCount="420">
  <si>
    <t>Volume</t>
  </si>
  <si>
    <t>Gold</t>
  </si>
  <si>
    <t>Silver</t>
  </si>
  <si>
    <t>2026E</t>
  </si>
  <si>
    <t>2027E</t>
  </si>
  <si>
    <t>2028E</t>
  </si>
  <si>
    <t>2029E</t>
  </si>
  <si>
    <t>2030E</t>
  </si>
  <si>
    <t>Ounces Sold</t>
  </si>
  <si>
    <t>Copper</t>
  </si>
  <si>
    <t>Zinc</t>
  </si>
  <si>
    <t>Lead</t>
  </si>
  <si>
    <t>CC&amp;V</t>
  </si>
  <si>
    <t>Porcupine</t>
  </si>
  <si>
    <t>Brucejack</t>
  </si>
  <si>
    <t>Red Chris</t>
  </si>
  <si>
    <t>Merian</t>
  </si>
  <si>
    <t>Cerro Negro</t>
  </si>
  <si>
    <t>Yanacocha</t>
  </si>
  <si>
    <t>Boddington</t>
  </si>
  <si>
    <t>Tanami</t>
  </si>
  <si>
    <t>Cadia</t>
  </si>
  <si>
    <t>Lihir</t>
  </si>
  <si>
    <t>Ahafo</t>
  </si>
  <si>
    <t>Akyem</t>
  </si>
  <si>
    <t>NGM</t>
  </si>
  <si>
    <t>Total Gold</t>
  </si>
  <si>
    <t>Penasquito</t>
  </si>
  <si>
    <t>Telfer</t>
  </si>
  <si>
    <t>Divested</t>
  </si>
  <si>
    <t>Eleonore</t>
  </si>
  <si>
    <t>Musslewhite</t>
  </si>
  <si>
    <t>Tefler</t>
  </si>
  <si>
    <t>millions</t>
  </si>
  <si>
    <t>Total</t>
  </si>
  <si>
    <t>penasquito</t>
  </si>
  <si>
    <t>Price</t>
  </si>
  <si>
    <t>Millions</t>
  </si>
  <si>
    <t>Revenue</t>
  </si>
  <si>
    <t>Thousands</t>
  </si>
  <si>
    <t>2025E</t>
  </si>
  <si>
    <t>Metal (Unit)</t>
  </si>
  <si>
    <t>Gold ($/oz)</t>
  </si>
  <si>
    <t>Silver ($/oz)</t>
  </si>
  <si>
    <t>Copper ($/lb)</t>
  </si>
  <si>
    <t>Lead ($/lb)</t>
  </si>
  <si>
    <t>Zinc ($/lb)</t>
  </si>
  <si>
    <t>More stable, industrial metals with less speculative demand than precious metals — modest annual increases are assumed.</t>
  </si>
  <si>
    <t>https://www.reuters.com/world/africa/jp-morgan-sees-gold-6300-an-ounce-by-year-end-robust-centralbank-investor-demand-2026-02-02/?utm_source=chatgpt.com</t>
  </si>
  <si>
    <t>https://www.thestreet.com/investing/j-p-morgan-revises-gold-price-target-for-2026?utm_source=chatgpt.com</t>
  </si>
  <si>
    <t>https://www.jpmorgan.com/insights/global-research/commodities/copper-outlook</t>
  </si>
  <si>
    <t>Ratio</t>
  </si>
  <si>
    <t>The below table is for referal only</t>
  </si>
  <si>
    <t>Ounces produced</t>
  </si>
  <si>
    <t>Sales</t>
  </si>
  <si>
    <t>Costs applicable to sales</t>
  </si>
  <si>
    <t>Depreciation and amortization</t>
  </si>
  <si>
    <t>Reclamation and remediation</t>
  </si>
  <si>
    <t>Exploration</t>
  </si>
  <si>
    <t>Advanced projects, research and development</t>
  </si>
  <si>
    <t>General and administrative</t>
  </si>
  <si>
    <t>Impairment charges</t>
  </si>
  <si>
    <t>Loss on assets held for sale</t>
  </si>
  <si>
    <t>Other expense, net</t>
  </si>
  <si>
    <t>Total costs and expenses</t>
  </si>
  <si>
    <t>Other income (loss), net</t>
  </si>
  <si>
    <t>Gain on asset and investment sales, net</t>
  </si>
  <si>
    <t>Interest expense, net</t>
  </si>
  <si>
    <t>Income (loss) before income and mining tax and other items</t>
  </si>
  <si>
    <t>Income and mining tax benefit (expense)</t>
  </si>
  <si>
    <t>Equity income (loss) of affiliates</t>
  </si>
  <si>
    <t>Net income (loss) from continuing operations</t>
  </si>
  <si>
    <t>Net income (loss) from discontinued operations</t>
  </si>
  <si>
    <t>Net income (loss)</t>
  </si>
  <si>
    <t>Net loss (income) attributable to noncontrolling interests</t>
  </si>
  <si>
    <t>Net income (loss) attributable to stockholders</t>
  </si>
  <si>
    <t>Cash and cash equivalents</t>
  </si>
  <si>
    <t>Trade receivables</t>
  </si>
  <si>
    <t>Investments (current / time deposits)</t>
  </si>
  <si>
    <t>Inventories</t>
  </si>
  <si>
    <t>Stockpiles and ore on leach pads (current)</t>
  </si>
  <si>
    <t>Derivative assets (current)</t>
  </si>
  <si>
    <t>Other current assets</t>
  </si>
  <si>
    <t>Assets held for sale (current)</t>
  </si>
  <si>
    <t>Current assets</t>
  </si>
  <si>
    <t>Property, plant and mine development, net</t>
  </si>
  <si>
    <t>Investments (non-current)</t>
  </si>
  <si>
    <t>Stockpiles and ore on leach pads (non-current)</t>
  </si>
  <si>
    <t>Deferred income tax assets</t>
  </si>
  <si>
    <t>Goodwill</t>
  </si>
  <si>
    <t>Derivative assets (non-current)</t>
  </si>
  <si>
    <t>Other non-current assets</t>
  </si>
  <si>
    <t>Total assets</t>
  </si>
  <si>
    <t>Accounts payable</t>
  </si>
  <si>
    <t>Employee-related benefits (current)</t>
  </si>
  <si>
    <t>Income and mining taxes payable</t>
  </si>
  <si>
    <t>Lease and other financing obligations (current)</t>
  </si>
  <si>
    <t>Debt (current)</t>
  </si>
  <si>
    <t>Other current liabilities</t>
  </si>
  <si>
    <t>Liabilities held for sale (current)</t>
  </si>
  <si>
    <t>Current liabilities</t>
  </si>
  <si>
    <t>Debt (non-current)</t>
  </si>
  <si>
    <t>Lease and other financing obligations (non-current)</t>
  </si>
  <si>
    <t>Reclamation and remediation liabilities</t>
  </si>
  <si>
    <t>Deferred income tax liabilities</t>
  </si>
  <si>
    <t>Employee-related benefits (non-current)</t>
  </si>
  <si>
    <t>Silver streaming agreement</t>
  </si>
  <si>
    <t>Other non-current liabilities</t>
  </si>
  <si>
    <t>Total liabilities</t>
  </si>
  <si>
    <t>Common stock</t>
  </si>
  <si>
    <t>Treasury stock</t>
  </si>
  <si>
    <t>Additional paid-in capital</t>
  </si>
  <si>
    <t>Accumulated other comprehensive income (loss)</t>
  </si>
  <si>
    <t>Retained earnings (accumulated deficit)</t>
  </si>
  <si>
    <t>Newmont stockholders’ equity</t>
  </si>
  <si>
    <t>Noncontrolling interests</t>
  </si>
  <si>
    <t>Total equity</t>
  </si>
  <si>
    <t>Total liabilities and equity</t>
  </si>
  <si>
    <t>USD</t>
  </si>
  <si>
    <t>COMPARABLE COMPANY ANALYSIS</t>
  </si>
  <si>
    <t>COMPANY DATA</t>
  </si>
  <si>
    <t>(in millions)</t>
  </si>
  <si>
    <t>Recent</t>
  </si>
  <si>
    <t>52 week</t>
  </si>
  <si>
    <t>Shares</t>
  </si>
  <si>
    <t>Market</t>
  </si>
  <si>
    <t>Enterprise</t>
  </si>
  <si>
    <t>Book</t>
  </si>
  <si>
    <t>WS 12-mo</t>
  </si>
  <si>
    <t>Company Name</t>
  </si>
  <si>
    <t>Ticker</t>
  </si>
  <si>
    <t>High</t>
  </si>
  <si>
    <t>Out</t>
  </si>
  <si>
    <t>Cap</t>
  </si>
  <si>
    <t>Debt</t>
  </si>
  <si>
    <t>Cash</t>
  </si>
  <si>
    <t>Value</t>
  </si>
  <si>
    <t>Beta</t>
  </si>
  <si>
    <t>Price Target</t>
  </si>
  <si>
    <t/>
  </si>
  <si>
    <t>I/B/E/S  ESTIMATES</t>
  </si>
  <si>
    <t>SALES</t>
  </si>
  <si>
    <t>EPS</t>
  </si>
  <si>
    <t>EBIT</t>
  </si>
  <si>
    <t>EBITDA</t>
  </si>
  <si>
    <t>EPS 5-yr</t>
  </si>
  <si>
    <t>Last FY</t>
  </si>
  <si>
    <t>FYR1</t>
  </si>
  <si>
    <t>FYR2</t>
  </si>
  <si>
    <t>FYR3</t>
  </si>
  <si>
    <t>Growth %</t>
  </si>
  <si>
    <t>Not available</t>
  </si>
  <si>
    <t>VALUATION MULTIPLES</t>
  </si>
  <si>
    <t xml:space="preserve">Price / </t>
  </si>
  <si>
    <t>Price/Sales</t>
  </si>
  <si>
    <t>P/E</t>
  </si>
  <si>
    <t>PEG</t>
  </si>
  <si>
    <t>EV/EBITDA</t>
  </si>
  <si>
    <t>Average</t>
  </si>
  <si>
    <t>Median</t>
  </si>
  <si>
    <t>ws.OperatingProfitMargin[ws.cpa]</t>
  </si>
  <si>
    <t>ws.AssetTurnover[ws.cpa]</t>
  </si>
  <si>
    <t>ws.InventoryTurnover[ws.cpa]</t>
  </si>
  <si>
    <t>ws.ReceivablesTurnover[ws.cpa]</t>
  </si>
  <si>
    <t>ws.TotalDebtPctCommonEquity[ws.cpa]</t>
  </si>
  <si>
    <t>ws.LTDebtPctCommonEquity[ws.cpa]</t>
  </si>
  <si>
    <t>ws.LTDebtPctTotalCapital[ws.cpa]</t>
  </si>
  <si>
    <t>ws.QuickRatio[ws.cpa]</t>
  </si>
  <si>
    <t>ws.CurrentRatio[ws.cpa]</t>
  </si>
  <si>
    <t>RATIO ANALYSIS</t>
  </si>
  <si>
    <t>Gross</t>
  </si>
  <si>
    <t>Operating</t>
  </si>
  <si>
    <t>Net</t>
  </si>
  <si>
    <t>Asset</t>
  </si>
  <si>
    <t>Inventory</t>
  </si>
  <si>
    <t>Receivables</t>
  </si>
  <si>
    <t>Quick</t>
  </si>
  <si>
    <t>Current</t>
  </si>
  <si>
    <t>Interest</t>
  </si>
  <si>
    <t>Margin</t>
  </si>
  <si>
    <t>ROA</t>
  </si>
  <si>
    <t>ROE</t>
  </si>
  <si>
    <t>Turnvover</t>
  </si>
  <si>
    <t>Debt/E</t>
  </si>
  <si>
    <t>LTD/TC</t>
  </si>
  <si>
    <t>Coverage</t>
  </si>
  <si>
    <t>Cost of Equity</t>
  </si>
  <si>
    <t>S&amp;P 500 data</t>
  </si>
  <si>
    <t> </t>
  </si>
  <si>
    <t>Source</t>
  </si>
  <si>
    <t>S&amp;P500 Forward P/E</t>
  </si>
  <si>
    <t>WSJ</t>
  </si>
  <si>
    <t>Current Price (P)</t>
  </si>
  <si>
    <t>Forward EPS (E)</t>
  </si>
  <si>
    <t>P/E ratio</t>
  </si>
  <si>
    <t>Projected EPS growth rate (g)</t>
  </si>
  <si>
    <t>D/E Ratio</t>
  </si>
  <si>
    <t>Tax Rate</t>
  </si>
  <si>
    <t>Implied required return on equity (Re)</t>
  </si>
  <si>
    <t>Forward (Bf)</t>
  </si>
  <si>
    <t xml:space="preserve">Relevered </t>
  </si>
  <si>
    <t>Cost of Equity:</t>
  </si>
  <si>
    <t>Historic equity risk premium</t>
  </si>
  <si>
    <t>Using Forward Beta</t>
  </si>
  <si>
    <t>Using Historic Beta</t>
  </si>
  <si>
    <t>Weighted COE</t>
  </si>
  <si>
    <t>Market COE (beta = 1)</t>
  </si>
  <si>
    <t>Share count in Millions</t>
  </si>
  <si>
    <t>Today</t>
  </si>
  <si>
    <t>Number of Shares in thousands:</t>
  </si>
  <si>
    <t>One year</t>
  </si>
  <si>
    <t>Two year</t>
  </si>
  <si>
    <t>Actual Price:</t>
  </si>
  <si>
    <t>At close oct 22, 2025</t>
  </si>
  <si>
    <t>Price Appreciation</t>
  </si>
  <si>
    <t>Model Valuation:</t>
  </si>
  <si>
    <t>Model 12 Month Price Target:</t>
  </si>
  <si>
    <t>Price Appreciation (12 month)</t>
  </si>
  <si>
    <t>Model Current Valuation with Sensitivity of Ke</t>
  </si>
  <si>
    <t>Time period (years)</t>
  </si>
  <si>
    <t>Nominal FCFE:</t>
  </si>
  <si>
    <t>PV FCFE:</t>
  </si>
  <si>
    <t>Terminal Growth Rate</t>
  </si>
  <si>
    <t>&lt;== Implied terminal value / net income (or P/E) multiple for terminal value</t>
  </si>
  <si>
    <t>PV of Terminal Value</t>
  </si>
  <si>
    <t>Total PV:</t>
  </si>
  <si>
    <t>Valuation per Share ($):</t>
  </si>
  <si>
    <t>Cost Of Equity Ke</t>
  </si>
  <si>
    <t>Model 12 Month Price Target with Sensitivity of Ke</t>
  </si>
  <si>
    <t>Time period</t>
  </si>
  <si>
    <t>Terminal Value in 2030</t>
  </si>
  <si>
    <t>Total production</t>
  </si>
  <si>
    <t>caterpillar project</t>
  </si>
  <si>
    <t>note 8</t>
  </si>
  <si>
    <t>Assumptions</t>
  </si>
  <si>
    <t>Held at a stable percentage of sales reflecting a steady-state asset base post-divestitures.</t>
  </si>
  <si>
    <t>Step-down after 2025 as major development projects move into construction or production phases.</t>
  </si>
  <si>
    <t>Assumed zero beyond near term as impairments are non-recurring and not part of base-case earnings.</t>
  </si>
  <si>
    <t>Modeled only in transition years and eliminated thereafter as divestiture program concludes.</t>
  </si>
  <si>
    <t>Held constant to reflect recurring miscellaneous costs without forecasting episodic volatility.</t>
  </si>
  <si>
    <t>Normalized to zero long term given its volatile and non-core nature.</t>
  </si>
  <si>
    <t>Included only where divestitures are explicitly assumed and set to zero thereafter.</t>
  </si>
  <si>
    <t>Applied a normalized effective tax rate reflecting steady-state jurisdictional mix.</t>
  </si>
  <si>
    <t>Modeled as a stable contribution reflecting mature joint-venture operations.</t>
  </si>
  <si>
    <t>Assumed zero as discontinued assets have been divested.</t>
  </si>
  <si>
    <t>Estimated as a small percentage of consolidated earnings based on historical ownership structures.</t>
  </si>
  <si>
    <t>schedules</t>
  </si>
  <si>
    <t>Materials and supplies</t>
  </si>
  <si>
    <t>In-process</t>
  </si>
  <si>
    <t>Concentrate</t>
  </si>
  <si>
    <t>Precious metals</t>
  </si>
  <si>
    <t>Total Inventories</t>
  </si>
  <si>
    <t>Category / Line Item</t>
  </si>
  <si>
    <t>CURRENT</t>
  </si>
  <si>
    <t>Stockpiles</t>
  </si>
  <si>
    <t>Ore on leach pads</t>
  </si>
  <si>
    <t>Total Current</t>
  </si>
  <si>
    <t>NON-CURRENT</t>
  </si>
  <si>
    <t>Total Non-Current</t>
  </si>
  <si>
    <t>COMBINED TOTALS</t>
  </si>
  <si>
    <t>Total Stockpiles</t>
  </si>
  <si>
    <t>Total Ore on leach pads</t>
  </si>
  <si>
    <t>Grand Total</t>
  </si>
  <si>
    <t>Particulars</t>
  </si>
  <si>
    <t>Cost/Unit</t>
  </si>
  <si>
    <t>ending</t>
  </si>
  <si>
    <t>See Table below</t>
  </si>
  <si>
    <t>Avg Prices</t>
  </si>
  <si>
    <t>Contingently Redeemable Noncontrolling Interest</t>
  </si>
  <si>
    <t>ASSUMPTIONS</t>
  </si>
  <si>
    <t>Repurchase</t>
  </si>
  <si>
    <t>Repurchase Value</t>
  </si>
  <si>
    <t>Share price</t>
  </si>
  <si>
    <t>Dividend</t>
  </si>
  <si>
    <t>Dividend per share</t>
  </si>
  <si>
    <t>Total Shares</t>
  </si>
  <si>
    <t>Total Dividend</t>
  </si>
  <si>
    <t>Growth</t>
  </si>
  <si>
    <t>Retained Earnings</t>
  </si>
  <si>
    <t xml:space="preserve">Opening </t>
  </si>
  <si>
    <t>Net Income</t>
  </si>
  <si>
    <t>Dividends</t>
  </si>
  <si>
    <t>Closing</t>
  </si>
  <si>
    <t>Stock Based Comp</t>
  </si>
  <si>
    <t>Stock Base comp as % of Revenue</t>
  </si>
  <si>
    <t>Treasury Stock</t>
  </si>
  <si>
    <t>Open</t>
  </si>
  <si>
    <t>Repurchases</t>
  </si>
  <si>
    <t>NET INCOME</t>
  </si>
  <si>
    <t>Cash Generated</t>
  </si>
  <si>
    <t>FCFE</t>
  </si>
  <si>
    <t>Opening Cash</t>
  </si>
  <si>
    <t>Closing Cash</t>
  </si>
  <si>
    <t>Shares Repurchased</t>
  </si>
  <si>
    <t>Grew with Ke</t>
  </si>
  <si>
    <t>Additional Paid in Capital</t>
  </si>
  <si>
    <t>Retirement of Common Stock</t>
  </si>
  <si>
    <t>Shares issued for Newcast Transaction</t>
  </si>
  <si>
    <t>Stock Based other aswards</t>
  </si>
  <si>
    <t>% of revenue</t>
  </si>
  <si>
    <t>Retiremnet and awards</t>
  </si>
  <si>
    <t>Held Constant</t>
  </si>
  <si>
    <t>Check</t>
  </si>
  <si>
    <t>Company name</t>
  </si>
  <si>
    <t>Company ticker</t>
  </si>
  <si>
    <t>Yahoo Finance</t>
  </si>
  <si>
    <t>CapIQ / Bloomberg</t>
  </si>
  <si>
    <t>(5 years)</t>
  </si>
  <si>
    <t>Market quote</t>
  </si>
  <si>
    <t>Yahoo!Finance</t>
  </si>
  <si>
    <t>Company</t>
  </si>
  <si>
    <t>LSEG&gt;Estmates&gt;Recommendations &amp; Target Price</t>
  </si>
  <si>
    <t>Historical (Bh)</t>
  </si>
  <si>
    <t>Average Beta</t>
  </si>
  <si>
    <t>Comperable Beta</t>
  </si>
  <si>
    <t>Calculation</t>
  </si>
  <si>
    <t>PPE</t>
  </si>
  <si>
    <t>DEPRECIATION</t>
  </si>
  <si>
    <t>Depre ratio of gross</t>
  </si>
  <si>
    <t>Capex/Cost of Sales</t>
  </si>
  <si>
    <t>RGLD.OQ</t>
  </si>
  <si>
    <t>GFIJ.J</t>
  </si>
  <si>
    <t>AEM.N</t>
  </si>
  <si>
    <t>ABX.TO</t>
  </si>
  <si>
    <t>NEM</t>
  </si>
  <si>
    <t>Newmont Corporation</t>
  </si>
  <si>
    <t>Investments/Capex</t>
  </si>
  <si>
    <t>Scenario Switchboard</t>
  </si>
  <si>
    <t>Revenue &amp; Operating Expenses</t>
  </si>
  <si>
    <t>Valuation Date:</t>
  </si>
  <si>
    <t>Company Name:</t>
  </si>
  <si>
    <t>Sector:</t>
  </si>
  <si>
    <t>Industry:</t>
  </si>
  <si>
    <t>Rating:</t>
  </si>
  <si>
    <t>Current Price</t>
  </si>
  <si>
    <t>Scenario Key</t>
  </si>
  <si>
    <t>Valuation Price</t>
  </si>
  <si>
    <t>Bull</t>
  </si>
  <si>
    <t>12-month Valuation Price</t>
  </si>
  <si>
    <t>Base</t>
  </si>
  <si>
    <t>Valuation Appreciation</t>
  </si>
  <si>
    <t>Bear</t>
  </si>
  <si>
    <t>12-mo Valuation Appreciation</t>
  </si>
  <si>
    <t>Dividend Yield</t>
  </si>
  <si>
    <t>Total Valuation Appreciation</t>
  </si>
  <si>
    <t>Newmont corporation</t>
  </si>
  <si>
    <t>Cost of Sales</t>
  </si>
  <si>
    <t>Gold Price</t>
  </si>
  <si>
    <t>Materials</t>
  </si>
  <si>
    <t>Metals and mining</t>
  </si>
  <si>
    <t>NEWMONT Corporation</t>
  </si>
  <si>
    <t>bull</t>
  </si>
  <si>
    <t>base</t>
  </si>
  <si>
    <t>bear</t>
  </si>
  <si>
    <t>Royal Gold Inc</t>
  </si>
  <si>
    <t>Gold Fields Ltd</t>
  </si>
  <si>
    <t>Agnico Eagle Mines Ltd</t>
  </si>
  <si>
    <t>Barrick Mining Corp</t>
  </si>
  <si>
    <t>all Prices from following table consisting multiple reports and projections</t>
  </si>
  <si>
    <t>% of rand r liabilities</t>
  </si>
  <si>
    <t>percentage of sales</t>
  </si>
  <si>
    <t>% of cost of sales</t>
  </si>
  <si>
    <t>schedules(% of cost of sales)</t>
  </si>
  <si>
    <t>% of sales</t>
  </si>
  <si>
    <t>kept constant at 2024 as past trend is similar</t>
  </si>
  <si>
    <t>Adjusted for share repurchases and equity compensation.</t>
  </si>
  <si>
    <t>Held constant, assuming stable FX and pension assumptions.</t>
  </si>
  <si>
    <t>Rolled forward based on projected net income less dividends.</t>
  </si>
  <si>
    <t>Increased gradually, reflecting ongoing share repurchase activity.</t>
  </si>
  <si>
    <t>Held constant, assuming no issuance of new shares.</t>
  </si>
  <si>
    <t>Projected as a percentage of revenue, consistent with historical behavior.</t>
  </si>
  <si>
    <t>Amortized over the remaining life of the streaming contracts.</t>
  </si>
  <si>
    <t>Modeled as a percentage of sales and accelerated tax depreciation.</t>
  </si>
  <si>
    <t>Projected to grow annually reflecting inflation, mine expansion, and updated closure cost estimates.</t>
  </si>
  <si>
    <t>Projected as a percentage of cost of sales, reflecting supplier payment cycles.</t>
  </si>
  <si>
    <t>Projected using contractual amortization schedules.</t>
  </si>
  <si>
    <t>Reflects scheduled maturities and refinancing assumptions.</t>
  </si>
  <si>
    <t>Projected as a percentage of cost of sales, based on historical averages.</t>
  </si>
  <si>
    <t>Volume of metals sold</t>
  </si>
  <si>
    <t xml:space="preserve">cost of sale/unit </t>
  </si>
  <si>
    <t>Production volume</t>
  </si>
  <si>
    <t>A high-grade underground asset contributing stable production following integration from Newcrest.</t>
  </si>
  <si>
    <t>A long-life copper-gold asset with block cave growth potential.</t>
  </si>
  <si>
    <t>A large-scale polymetallic asset delivering strong gold and co-product exposure</t>
  </si>
  <si>
    <t>A mature Suriname operation generating consistent free cash flow.</t>
  </si>
  <si>
    <t>An established underground operation in Argentina</t>
  </si>
  <si>
    <t>Transitioning through mine sequencing as oxide production evolves.</t>
  </si>
  <si>
    <t>A cornerstone Australian asset with integrated gold and copper production</t>
  </si>
  <si>
    <t>Tanami Expansion 2 secures Tanami’s future as a long-life, low-cost producer.</t>
  </si>
  <si>
    <t>A world-class, long-life copper-gold system anchored by panel cave development.</t>
  </si>
  <si>
    <t>A long-life asset with significant resource base and optimization potential.</t>
  </si>
  <si>
    <t>Ahafo North will deliver 275,000–325,000 ounces annually in its first five full years.</t>
  </si>
  <si>
    <t>A cornerstone joint venture with long reserve life and strong margins.</t>
  </si>
  <si>
    <t>Non-core asset identified under portfolio optimization program</t>
  </si>
  <si>
    <t>Newmont is prioritizing margin resilience and long-life Tier-1 assets over volume growth.</t>
  </si>
  <si>
    <t>Management commentary</t>
  </si>
  <si>
    <t>2025 reset → 2026–2028 rebuild → steady 6Moz+ long-term plateau.</t>
  </si>
  <si>
    <t>projection explanation</t>
  </si>
  <si>
    <t>million 'Ounces Produced</t>
  </si>
  <si>
    <t>Cost of production</t>
  </si>
  <si>
    <t>Revenue Generated(volume sold*metal price)</t>
  </si>
  <si>
    <t>Price of metals</t>
  </si>
  <si>
    <t>https://www.wsj.com/market-data/quotes/futures/GC00/contracts</t>
  </si>
  <si>
    <t>Revenue sheet</t>
  </si>
  <si>
    <t>Cost of sales sheet</t>
  </si>
  <si>
    <t>Kept sold quantity constant as production is constant as historicals.</t>
  </si>
  <si>
    <t>2025A</t>
  </si>
  <si>
    <t xml:space="preserve">what </t>
  </si>
  <si>
    <t>increase reflecting cash buildup.</t>
  </si>
  <si>
    <t>sold in mid 2025 , so pre-sold production.</t>
  </si>
  <si>
    <t xml:space="preserve"> </t>
  </si>
  <si>
    <r>
      <t>(</t>
    </r>
    <r>
      <rPr>
        <sz val="11"/>
        <color rgb="FF0000FF"/>
        <rFont val="Aptos Narrow"/>
        <family val="2"/>
        <scheme val="minor"/>
      </rPr>
      <t>Blue = input</t>
    </r>
    <r>
      <rPr>
        <sz val="11"/>
        <color theme="1"/>
        <rFont val="Aptos Narrow"/>
        <family val="2"/>
        <scheme val="minor"/>
      </rPr>
      <t>, Black = calculation)</t>
    </r>
  </si>
  <si>
    <r>
      <t xml:space="preserve">Projected EPS growth rate (g </t>
    </r>
    <r>
      <rPr>
        <vertAlign val="subscript"/>
        <sz val="11"/>
        <color theme="1"/>
        <rFont val="Calibri (Body)"/>
      </rPr>
      <t>S&amp;P</t>
    </r>
    <r>
      <rPr>
        <sz val="11"/>
        <color theme="1"/>
        <rFont val="Aptos Narrow"/>
        <family val="2"/>
        <scheme val="minor"/>
      </rPr>
      <t>)</t>
    </r>
  </si>
  <si>
    <r>
      <t>Risk-free rate (R</t>
    </r>
    <r>
      <rPr>
        <vertAlign val="subscript"/>
        <sz val="11"/>
        <color theme="1"/>
        <rFont val="Calibri (Body)"/>
      </rPr>
      <t>f</t>
    </r>
    <r>
      <rPr>
        <sz val="11"/>
        <color theme="1"/>
        <rFont val="Aptos Narrow"/>
        <family val="2"/>
        <scheme val="minor"/>
      </rPr>
      <t>)</t>
    </r>
  </si>
  <si>
    <r>
      <t>Implied required return on equity (R</t>
    </r>
    <r>
      <rPr>
        <vertAlign val="subscript"/>
        <sz val="11"/>
        <color theme="1"/>
        <rFont val="Calibri (Body)"/>
      </rPr>
      <t>s&amp;p</t>
    </r>
    <r>
      <rPr>
        <vertAlign val="subscript"/>
        <sz val="11"/>
        <color theme="1"/>
        <rFont val="Aptos Narrow"/>
        <family val="2"/>
        <scheme val="minor"/>
      </rPr>
      <t>500</t>
    </r>
    <r>
      <rPr>
        <sz val="11"/>
        <color theme="1"/>
        <rFont val="Aptos Narrow"/>
        <family val="2"/>
        <scheme val="minor"/>
      </rPr>
      <t>)</t>
    </r>
  </si>
  <si>
    <r>
      <t>Implied equity risk premium (R</t>
    </r>
    <r>
      <rPr>
        <vertAlign val="subscript"/>
        <sz val="11"/>
        <color theme="1"/>
        <rFont val="Calibri (Body)"/>
      </rPr>
      <t>m</t>
    </r>
    <r>
      <rPr>
        <sz val="11"/>
        <color theme="1"/>
        <rFont val="Aptos Narrow"/>
        <family val="2"/>
        <scheme val="minor"/>
      </rPr>
      <t>)</t>
    </r>
  </si>
  <si>
    <r>
      <t>b</t>
    </r>
    <r>
      <rPr>
        <vertAlign val="subscript"/>
        <sz val="11"/>
        <color theme="1"/>
        <rFont val="Calibri (Body)"/>
      </rPr>
      <t>U</t>
    </r>
    <r>
      <rPr>
        <sz val="11"/>
        <color theme="1"/>
        <rFont val="Calibri"/>
        <family val="2"/>
      </rPr>
      <t xml:space="preserve"> = </t>
    </r>
    <r>
      <rPr>
        <sz val="11"/>
        <color theme="1"/>
        <rFont val="Aptos Narrow"/>
        <family val="1"/>
        <charset val="2"/>
        <scheme val="minor"/>
      </rPr>
      <t>b</t>
    </r>
    <r>
      <rPr>
        <vertAlign val="subscript"/>
        <sz val="11"/>
        <color theme="1"/>
        <rFont val="Calibri (Body)"/>
      </rPr>
      <t xml:space="preserve">L / </t>
    </r>
    <r>
      <rPr>
        <sz val="11"/>
        <color theme="1"/>
        <rFont val="Calibri"/>
        <family val="2"/>
      </rPr>
      <t>(1+ ((1-t)D/E))</t>
    </r>
  </si>
  <si>
    <r>
      <t>b</t>
    </r>
    <r>
      <rPr>
        <vertAlign val="subscript"/>
        <sz val="11"/>
        <color theme="1"/>
        <rFont val="Calibri (Body)"/>
      </rPr>
      <t>L</t>
    </r>
    <r>
      <rPr>
        <sz val="11"/>
        <color theme="1"/>
        <rFont val="Calibri"/>
        <family val="2"/>
      </rPr>
      <t xml:space="preserve"> = </t>
    </r>
    <r>
      <rPr>
        <sz val="11"/>
        <color theme="1"/>
        <rFont val="Aptos Narrow"/>
        <family val="1"/>
        <charset val="2"/>
        <scheme val="minor"/>
      </rPr>
      <t>b</t>
    </r>
    <r>
      <rPr>
        <sz val="11"/>
        <color theme="1"/>
        <rFont val="Calibri"/>
        <family val="2"/>
      </rPr>
      <t>u (1+ ((1-t)D/E))</t>
    </r>
  </si>
  <si>
    <t>Projected as 15% of stockholders' equity (D/E ratio), consistent with 2025 post-deleveraging level.</t>
  </si>
  <si>
    <t>% of total debt (net rate ~2.9%), aligned with 2026 guidance of $175M interest expense (net of $175M capitalized interest).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</si>
</sst>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$&quot;#,##0.00_);[Red]\(&quot;$&quot;#,##0.00\)"/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0.0"/>
    <numFmt numFmtId="167" formatCode="&quot;$&quot;#,##0.00"/>
    <numFmt numFmtId="168" formatCode="_ * #,##0.00_ ;_ * \-#,##0.00_ ;_ * &quot;-&quot;??_ ;_ @_ "/>
    <numFmt numFmtId="169" formatCode="&quot;$&quot;#,##0"/>
    <numFmt numFmtId="170" formatCode="0.00\x"/>
    <numFmt numFmtId="171" formatCode="_ &quot;₹&quot;\ * #,##0.00_ ;_ &quot;₹&quot;\ * \-#,##0.00_ ;_ &quot;₹&quot;\ * &quot;-&quot;??_ ;_ @_ "/>
    <numFmt numFmtId="172" formatCode="m/d/yy;@"/>
    <numFmt numFmtId="173" formatCode="0.0\x"/>
    <numFmt numFmtId="174" formatCode="_(* #,##0_);_(* \(#,##0\);_(* &quot;-&quot;??_);_(@_)"/>
    <numFmt numFmtId="175" formatCode="#,##0.0"/>
    <numFmt numFmtId="176" formatCode="_([$$-409]* #,##0.00_);_([$$-409]* \(#,##0.00\);_([$$-409]* &quot;-&quot;??_);_(@_)"/>
  </numFmts>
  <fonts count="7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Helvetica"/>
      <family val="2"/>
    </font>
    <font>
      <sz val="10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0"/>
      <name val="Arial"/>
      <family val="2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4"/>
      <color rgb="FF000000"/>
      <name val="Aptos Narrow"/>
    </font>
    <font>
      <sz val="14"/>
      <color rgb="FF0000FF"/>
      <name val="Aptos Narrow"/>
    </font>
    <font>
      <b/>
      <sz val="14"/>
      <color rgb="FFFFFFFF"/>
      <name val="Aptos Narrow"/>
    </font>
    <font>
      <sz val="14"/>
      <color rgb="FF000000"/>
      <name val="Aptos Narrow"/>
    </font>
    <font>
      <b/>
      <i/>
      <sz val="14"/>
      <color rgb="FF808080"/>
      <name val="Aptos Narrow"/>
    </font>
    <font>
      <sz val="14"/>
      <color rgb="FF0432FF"/>
      <name val="Aptos Narrow"/>
    </font>
    <font>
      <b/>
      <u/>
      <sz val="14"/>
      <color rgb="FF000000"/>
      <name val="Aptos Narrow"/>
    </font>
    <font>
      <b/>
      <sz val="12"/>
      <color rgb="FFFF6200"/>
      <name val="Aptos Narrow"/>
    </font>
    <font>
      <sz val="10"/>
      <name val="Aptos Narrow"/>
    </font>
    <font>
      <b/>
      <sz val="10"/>
      <name val="Aptos Narrow"/>
    </font>
    <font>
      <sz val="10"/>
      <color theme="1"/>
      <name val="Aptos Narrow"/>
    </font>
    <font>
      <i/>
      <sz val="8"/>
      <name val="Aptos Narrow"/>
    </font>
    <font>
      <b/>
      <sz val="10"/>
      <color rgb="FF0000FF"/>
      <name val="Aptos Narrow"/>
    </font>
    <font>
      <b/>
      <sz val="10"/>
      <color theme="0"/>
      <name val="Aptos Narrow"/>
    </font>
    <font>
      <sz val="10"/>
      <color theme="0" tint="-0.249977111117893"/>
      <name val="Aptos Narrow"/>
    </font>
    <font>
      <sz val="12"/>
      <color rgb="FFFF0000"/>
      <name val="Aptos Narrow"/>
    </font>
    <font>
      <sz val="12"/>
      <name val="Aptos Narrow"/>
    </font>
    <font>
      <b/>
      <sz val="12"/>
      <name val="Aptos Narrow"/>
    </font>
    <font>
      <sz val="12"/>
      <color theme="1"/>
      <name val="Aptos Narrow"/>
    </font>
    <font>
      <b/>
      <sz val="12"/>
      <color theme="0"/>
      <name val="Aptos Narrow"/>
    </font>
    <font>
      <sz val="11"/>
      <name val="Aptos Narrow"/>
    </font>
    <font>
      <b/>
      <sz val="11"/>
      <name val="Aptos Narrow"/>
    </font>
    <font>
      <sz val="11"/>
      <color rgb="FF000000"/>
      <name val="Aptos Narrow"/>
    </font>
    <font>
      <b/>
      <sz val="11"/>
      <color rgb="FF0000FF"/>
      <name val="Aptos Narrow"/>
    </font>
    <font>
      <sz val="11"/>
      <color rgb="FF0000FF"/>
      <name val="Aptos Narrow"/>
      <family val="2"/>
      <scheme val="minor"/>
    </font>
    <font>
      <i/>
      <sz val="11"/>
      <name val="Aptos Narrow"/>
    </font>
    <font>
      <sz val="11"/>
      <color rgb="FFFFFFFF"/>
      <name val="Aptos Narrow"/>
    </font>
    <font>
      <b/>
      <sz val="11"/>
      <color rgb="FFFFFFFF"/>
      <name val="Aptos Narrow"/>
    </font>
    <font>
      <sz val="11"/>
      <color rgb="FF3366FF"/>
      <name val="Aptos Narrow"/>
    </font>
    <font>
      <u/>
      <sz val="11"/>
      <color theme="10"/>
      <name val="Aptos Narrow"/>
      <scheme val="minor"/>
    </font>
    <font>
      <vertAlign val="subscript"/>
      <sz val="11"/>
      <color theme="1"/>
      <name val="Calibri (Body)"/>
    </font>
    <font>
      <vertAlign val="subscript"/>
      <sz val="11"/>
      <color theme="1"/>
      <name val="Aptos Narrow"/>
      <family val="2"/>
      <scheme val="minor"/>
    </font>
    <font>
      <b/>
      <sz val="11"/>
      <name val="Aptos Narrow"/>
      <scheme val="minor"/>
    </font>
    <font>
      <b/>
      <sz val="11"/>
      <color rgb="FF000000"/>
      <name val="Aptos Narrow"/>
    </font>
    <font>
      <sz val="11"/>
      <color theme="1"/>
      <name val="Calibri"/>
      <family val="2"/>
    </font>
    <font>
      <sz val="11"/>
      <color theme="1"/>
      <name val="Aptos Narrow"/>
      <family val="1"/>
      <charset val="2"/>
      <scheme val="minor"/>
    </font>
    <font>
      <b/>
      <sz val="11"/>
      <color theme="1"/>
      <name val="Aptos Narrow"/>
      <scheme val="minor"/>
    </font>
    <font>
      <b/>
      <sz val="11"/>
      <color theme="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rgb="FFFFFFFF"/>
      <name val="Aptos Narrow"/>
      <scheme val="minor"/>
    </font>
    <font>
      <b/>
      <sz val="12"/>
      <color rgb="FFFFFFFF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2"/>
      <name val="Aptos Narrow"/>
    </font>
    <font>
      <sz val="11"/>
      <color rgb="FF1F1F1F"/>
      <name val="Aptos Narrow"/>
    </font>
    <font>
      <b/>
      <sz val="11"/>
      <color rgb="FF1F1F1F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sz val="11"/>
      <color theme="2"/>
      <name val="Aptos Narrow"/>
      <scheme val="minor"/>
    </font>
    <font>
      <b/>
      <sz val="10"/>
      <color theme="1"/>
      <name val="Aptos Narrow"/>
    </font>
    <font>
      <sz val="10"/>
      <color theme="0"/>
      <name val="Aptos Narrow"/>
    </font>
    <font>
      <sz val="10"/>
      <color rgb="FFFF0000"/>
      <name val="Aptos Narrow"/>
    </font>
    <font>
      <b/>
      <i/>
      <sz val="11"/>
      <color rgb="FF1F1F1F"/>
      <name val="Aptos Narrow"/>
    </font>
  </fonts>
  <fills count="2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153D64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13A81"/>
        <bgColor indexed="64"/>
      </patternFill>
    </fill>
    <fill>
      <patternFill patternType="solid">
        <fgColor rgb="FF013A81"/>
        <bgColor rgb="FF000000"/>
      </patternFill>
    </fill>
    <fill>
      <patternFill patternType="solid">
        <fgColor rgb="FFA8996E"/>
        <bgColor indexed="64"/>
      </patternFill>
    </fill>
    <fill>
      <patternFill patternType="solid">
        <fgColor rgb="FFFFFF9B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DCE6F1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9F9F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/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thin">
        <color rgb="FFB2B2B2"/>
      </top>
      <bottom style="medium">
        <color indexed="64"/>
      </bottom>
      <diagonal/>
    </border>
    <border>
      <left/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05">
    <xf numFmtId="0" fontId="0" fillId="0" borderId="0" xfId="0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horizontal="right" vertical="center" wrapText="1"/>
    </xf>
    <xf numFmtId="166" fontId="0" fillId="0" borderId="0" xfId="0" applyNumberFormat="1"/>
    <xf numFmtId="0" fontId="4" fillId="0" borderId="0" xfId="3" applyFont="1"/>
    <xf numFmtId="0" fontId="6" fillId="0" borderId="0" xfId="3" applyFont="1"/>
    <xf numFmtId="0" fontId="6" fillId="0" borderId="0" xfId="3" applyFont="1" applyAlignment="1">
      <alignment wrapText="1"/>
    </xf>
    <xf numFmtId="0" fontId="7" fillId="0" borderId="0" xfId="3" applyFont="1"/>
    <xf numFmtId="0" fontId="7" fillId="0" borderId="0" xfId="3" applyFont="1" applyAlignment="1">
      <alignment wrapText="1"/>
    </xf>
    <xf numFmtId="0" fontId="9" fillId="0" borderId="0" xfId="3" applyFont="1"/>
    <xf numFmtId="2" fontId="12" fillId="0" borderId="0" xfId="0" applyNumberFormat="1" applyFont="1"/>
    <xf numFmtId="4" fontId="0" fillId="0" borderId="0" xfId="0" applyNumberFormat="1"/>
    <xf numFmtId="0" fontId="8" fillId="0" borderId="0" xfId="0" applyFont="1"/>
    <xf numFmtId="4" fontId="8" fillId="0" borderId="0" xfId="3" applyNumberFormat="1" applyFont="1"/>
    <xf numFmtId="0" fontId="13" fillId="0" borderId="0" xfId="0" applyFont="1"/>
    <xf numFmtId="0" fontId="11" fillId="0" borderId="0" xfId="0" applyFont="1"/>
    <xf numFmtId="0" fontId="11" fillId="0" borderId="0" xfId="0" applyFont="1" applyAlignment="1">
      <alignment horizontal="left" indent="1"/>
    </xf>
    <xf numFmtId="0" fontId="14" fillId="0" borderId="0" xfId="0" applyFont="1"/>
    <xf numFmtId="0" fontId="16" fillId="0" borderId="0" xfId="0" applyFont="1"/>
    <xf numFmtId="14" fontId="18" fillId="17" borderId="46" xfId="0" applyNumberFormat="1" applyFont="1" applyFill="1" applyBorder="1"/>
    <xf numFmtId="0" fontId="20" fillId="0" borderId="0" xfId="0" applyFont="1"/>
    <xf numFmtId="0" fontId="21" fillId="16" borderId="0" xfId="0" applyFont="1" applyFill="1"/>
    <xf numFmtId="0" fontId="17" fillId="0" borderId="0" xfId="0" applyFont="1" applyAlignment="1">
      <alignment wrapText="1"/>
    </xf>
    <xf numFmtId="0" fontId="20" fillId="9" borderId="0" xfId="0" applyFont="1" applyFill="1"/>
    <xf numFmtId="0" fontId="24" fillId="0" borderId="0" xfId="9" applyFont="1" applyAlignment="1">
      <alignment horizontal="center"/>
    </xf>
    <xf numFmtId="0" fontId="25" fillId="0" borderId="0" xfId="9" applyFont="1"/>
    <xf numFmtId="0" fontId="26" fillId="0" borderId="0" xfId="9" applyFont="1"/>
    <xf numFmtId="0" fontId="26" fillId="0" borderId="22" xfId="9" applyFont="1" applyBorder="1"/>
    <xf numFmtId="10" fontId="26" fillId="0" borderId="23" xfId="9" applyNumberFormat="1" applyFont="1" applyBorder="1"/>
    <xf numFmtId="10" fontId="26" fillId="0" borderId="24" xfId="9" applyNumberFormat="1" applyFont="1" applyBorder="1"/>
    <xf numFmtId="14" fontId="25" fillId="0" borderId="0" xfId="9" applyNumberFormat="1" applyFont="1"/>
    <xf numFmtId="2" fontId="16" fillId="0" borderId="0" xfId="0" applyNumberFormat="1" applyFont="1"/>
    <xf numFmtId="0" fontId="25" fillId="0" borderId="17" xfId="9" applyFont="1" applyBorder="1"/>
    <xf numFmtId="3" fontId="27" fillId="0" borderId="0" xfId="9" applyNumberFormat="1" applyFont="1"/>
    <xf numFmtId="14" fontId="25" fillId="0" borderId="18" xfId="9" applyNumberFormat="1" applyFont="1" applyBorder="1" applyAlignment="1">
      <alignment horizontal="right"/>
    </xf>
    <xf numFmtId="3" fontId="25" fillId="0" borderId="0" xfId="9" applyNumberFormat="1" applyFont="1"/>
    <xf numFmtId="4" fontId="27" fillId="0" borderId="0" xfId="9" applyNumberFormat="1" applyFont="1"/>
    <xf numFmtId="0" fontId="25" fillId="0" borderId="18" xfId="9" applyFont="1" applyBorder="1"/>
    <xf numFmtId="4" fontId="16" fillId="0" borderId="0" xfId="3" applyNumberFormat="1" applyFont="1"/>
    <xf numFmtId="0" fontId="28" fillId="0" borderId="18" xfId="9" applyFont="1" applyBorder="1"/>
    <xf numFmtId="167" fontId="29" fillId="0" borderId="0" xfId="9" applyNumberFormat="1" applyFont="1"/>
    <xf numFmtId="0" fontId="30" fillId="13" borderId="22" xfId="9" applyFont="1" applyFill="1" applyBorder="1" applyAlignment="1">
      <alignment horizontal="centerContinuous"/>
    </xf>
    <xf numFmtId="0" fontId="30" fillId="13" borderId="23" xfId="9" applyFont="1" applyFill="1" applyBorder="1" applyAlignment="1">
      <alignment horizontal="centerContinuous"/>
    </xf>
    <xf numFmtId="0" fontId="30" fillId="13" borderId="24" xfId="9" applyFont="1" applyFill="1" applyBorder="1" applyAlignment="1">
      <alignment horizontal="centerContinuous"/>
    </xf>
    <xf numFmtId="167" fontId="30" fillId="15" borderId="0" xfId="9" applyNumberFormat="1" applyFont="1" applyFill="1" applyAlignment="1">
      <alignment horizontal="centerContinuous"/>
    </xf>
    <xf numFmtId="10" fontId="25" fillId="0" borderId="0" xfId="9" applyNumberFormat="1" applyFont="1"/>
    <xf numFmtId="0" fontId="25" fillId="0" borderId="19" xfId="9" applyFont="1" applyBorder="1"/>
    <xf numFmtId="0" fontId="25" fillId="0" borderId="21" xfId="9" applyFont="1" applyBorder="1"/>
    <xf numFmtId="2" fontId="26" fillId="0" borderId="0" xfId="9" applyNumberFormat="1" applyFont="1"/>
    <xf numFmtId="0" fontId="30" fillId="13" borderId="0" xfId="9" applyFont="1" applyFill="1" applyAlignment="1">
      <alignment horizontal="centerContinuous"/>
    </xf>
    <xf numFmtId="0" fontId="27" fillId="0" borderId="0" xfId="3" applyFont="1"/>
    <xf numFmtId="0" fontId="26" fillId="0" borderId="0" xfId="9" applyFont="1" applyAlignment="1">
      <alignment horizontal="centerContinuous"/>
    </xf>
    <xf numFmtId="172" fontId="26" fillId="0" borderId="11" xfId="9" applyNumberFormat="1" applyFont="1" applyBorder="1"/>
    <xf numFmtId="2" fontId="25" fillId="0" borderId="0" xfId="9" applyNumberFormat="1" applyFont="1"/>
    <xf numFmtId="0" fontId="26" fillId="0" borderId="11" xfId="9" applyFont="1" applyBorder="1"/>
    <xf numFmtId="0" fontId="25" fillId="0" borderId="11" xfId="9" applyFont="1" applyBorder="1"/>
    <xf numFmtId="37" fontId="25" fillId="0" borderId="11" xfId="9" applyNumberFormat="1" applyFont="1" applyBorder="1"/>
    <xf numFmtId="37" fontId="25" fillId="0" borderId="0" xfId="9" applyNumberFormat="1" applyFont="1"/>
    <xf numFmtId="0" fontId="31" fillId="0" borderId="0" xfId="9" applyFont="1"/>
    <xf numFmtId="9" fontId="25" fillId="0" borderId="0" xfId="5" applyFont="1"/>
    <xf numFmtId="10" fontId="26" fillId="0" borderId="25" xfId="9" applyNumberFormat="1" applyFont="1" applyBorder="1"/>
    <xf numFmtId="165" fontId="26" fillId="0" borderId="0" xfId="9" applyNumberFormat="1" applyFont="1"/>
    <xf numFmtId="173" fontId="25" fillId="0" borderId="0" xfId="9" applyNumberFormat="1" applyFont="1"/>
    <xf numFmtId="4" fontId="25" fillId="0" borderId="0" xfId="9" applyNumberFormat="1" applyFont="1"/>
    <xf numFmtId="3" fontId="25" fillId="0" borderId="11" xfId="9" applyNumberFormat="1" applyFont="1" applyBorder="1"/>
    <xf numFmtId="0" fontId="26" fillId="0" borderId="26" xfId="9" applyFont="1" applyBorder="1"/>
    <xf numFmtId="2" fontId="26" fillId="0" borderId="26" xfId="9" applyNumberFormat="1" applyFont="1" applyBorder="1"/>
    <xf numFmtId="0" fontId="25" fillId="0" borderId="0" xfId="9" applyFont="1" applyAlignment="1">
      <alignment horizontal="centerContinuous"/>
    </xf>
    <xf numFmtId="167" fontId="32" fillId="0" borderId="0" xfId="9" applyNumberFormat="1" applyFont="1" applyAlignment="1">
      <alignment horizontal="right" vertical="center"/>
    </xf>
    <xf numFmtId="10" fontId="33" fillId="0" borderId="0" xfId="9" applyNumberFormat="1" applyFont="1" applyAlignment="1">
      <alignment horizontal="center"/>
    </xf>
    <xf numFmtId="165" fontId="34" fillId="0" borderId="0" xfId="9" applyNumberFormat="1" applyFont="1" applyAlignment="1">
      <alignment horizontal="center"/>
    </xf>
    <xf numFmtId="10" fontId="27" fillId="0" borderId="0" xfId="3" applyNumberFormat="1" applyFont="1"/>
    <xf numFmtId="165" fontId="33" fillId="0" borderId="0" xfId="9" applyNumberFormat="1" applyFont="1" applyAlignment="1">
      <alignment horizontal="right" vertical="center"/>
    </xf>
    <xf numFmtId="167" fontId="33" fillId="0" borderId="27" xfId="9" applyNumberFormat="1" applyFont="1" applyBorder="1" applyAlignment="1">
      <alignment horizontal="center"/>
    </xf>
    <xf numFmtId="167" fontId="33" fillId="0" borderId="28" xfId="9" applyNumberFormat="1" applyFont="1" applyBorder="1" applyAlignment="1">
      <alignment horizontal="center"/>
    </xf>
    <xf numFmtId="167" fontId="33" fillId="8" borderId="28" xfId="9" applyNumberFormat="1" applyFont="1" applyFill="1" applyBorder="1" applyAlignment="1">
      <alignment horizontal="center"/>
    </xf>
    <xf numFmtId="167" fontId="33" fillId="0" borderId="29" xfId="9" applyNumberFormat="1" applyFont="1" applyBorder="1" applyAlignment="1">
      <alignment horizontal="center"/>
    </xf>
    <xf numFmtId="167" fontId="33" fillId="0" borderId="30" xfId="9" applyNumberFormat="1" applyFont="1" applyBorder="1" applyAlignment="1">
      <alignment horizontal="center"/>
    </xf>
    <xf numFmtId="167" fontId="33" fillId="0" borderId="0" xfId="9" applyNumberFormat="1" applyFont="1" applyAlignment="1">
      <alignment horizontal="center"/>
    </xf>
    <xf numFmtId="167" fontId="33" fillId="8" borderId="0" xfId="9" applyNumberFormat="1" applyFont="1" applyFill="1" applyAlignment="1">
      <alignment horizontal="center"/>
    </xf>
    <xf numFmtId="167" fontId="33" fillId="0" borderId="31" xfId="9" applyNumberFormat="1" applyFont="1" applyBorder="1" applyAlignment="1">
      <alignment horizontal="center"/>
    </xf>
    <xf numFmtId="167" fontId="35" fillId="15" borderId="22" xfId="9" applyNumberFormat="1" applyFont="1" applyFill="1" applyBorder="1" applyAlignment="1">
      <alignment horizontal="center" vertical="center"/>
    </xf>
    <xf numFmtId="167" fontId="35" fillId="15" borderId="23" xfId="9" applyNumberFormat="1" applyFont="1" applyFill="1" applyBorder="1" applyAlignment="1">
      <alignment horizontal="center" vertical="center"/>
    </xf>
    <xf numFmtId="167" fontId="35" fillId="15" borderId="24" xfId="9" applyNumberFormat="1" applyFont="1" applyFill="1" applyBorder="1" applyAlignment="1">
      <alignment horizontal="center" vertical="center"/>
    </xf>
    <xf numFmtId="0" fontId="25" fillId="0" borderId="0" xfId="9" applyFont="1" applyAlignment="1">
      <alignment horizontal="center"/>
    </xf>
    <xf numFmtId="165" fontId="34" fillId="0" borderId="0" xfId="9" applyNumberFormat="1" applyFont="1" applyAlignment="1">
      <alignment horizontal="right" vertical="center"/>
    </xf>
    <xf numFmtId="167" fontId="33" fillId="8" borderId="30" xfId="9" applyNumberFormat="1" applyFont="1" applyFill="1" applyBorder="1" applyAlignment="1">
      <alignment horizontal="center" vertical="center"/>
    </xf>
    <xf numFmtId="167" fontId="33" fillId="8" borderId="0" xfId="9" applyNumberFormat="1" applyFont="1" applyFill="1" applyAlignment="1">
      <alignment horizontal="center" vertical="center"/>
    </xf>
    <xf numFmtId="167" fontId="35" fillId="15" borderId="17" xfId="9" applyNumberFormat="1" applyFont="1" applyFill="1" applyBorder="1" applyAlignment="1">
      <alignment horizontal="center" vertical="center"/>
    </xf>
    <xf numFmtId="167" fontId="36" fillId="15" borderId="25" xfId="9" applyNumberFormat="1" applyFont="1" applyFill="1" applyBorder="1" applyAlignment="1">
      <alignment horizontal="center" vertical="center"/>
    </xf>
    <xf numFmtId="167" fontId="35" fillId="15" borderId="18" xfId="9" applyNumberFormat="1" applyFont="1" applyFill="1" applyBorder="1" applyAlignment="1">
      <alignment horizontal="center" vertical="center"/>
    </xf>
    <xf numFmtId="167" fontId="33" fillId="8" borderId="31" xfId="9" applyNumberFormat="1" applyFont="1" applyFill="1" applyBorder="1" applyAlignment="1">
      <alignment horizontal="center" vertical="center"/>
    </xf>
    <xf numFmtId="167" fontId="35" fillId="15" borderId="19" xfId="9" applyNumberFormat="1" applyFont="1" applyFill="1" applyBorder="1" applyAlignment="1">
      <alignment horizontal="center" vertical="center"/>
    </xf>
    <xf numFmtId="167" fontId="35" fillId="15" borderId="20" xfId="9" applyNumberFormat="1" applyFont="1" applyFill="1" applyBorder="1" applyAlignment="1">
      <alignment horizontal="center" vertical="center"/>
    </xf>
    <xf numFmtId="167" fontId="35" fillId="15" borderId="21" xfId="9" applyNumberFormat="1" applyFont="1" applyFill="1" applyBorder="1" applyAlignment="1">
      <alignment horizontal="center" vertical="center"/>
    </xf>
    <xf numFmtId="167" fontId="33" fillId="0" borderId="32" xfId="9" applyNumberFormat="1" applyFont="1" applyBorder="1" applyAlignment="1">
      <alignment horizontal="center"/>
    </xf>
    <xf numFmtId="167" fontId="33" fillId="0" borderId="33" xfId="9" applyNumberFormat="1" applyFont="1" applyBorder="1" applyAlignment="1">
      <alignment horizontal="center"/>
    </xf>
    <xf numFmtId="167" fontId="33" fillId="8" borderId="33" xfId="9" applyNumberFormat="1" applyFont="1" applyFill="1" applyBorder="1" applyAlignment="1">
      <alignment horizontal="center"/>
    </xf>
    <xf numFmtId="167" fontId="33" fillId="0" borderId="34" xfId="9" applyNumberFormat="1" applyFont="1" applyBorder="1" applyAlignment="1">
      <alignment horizontal="center"/>
    </xf>
    <xf numFmtId="4" fontId="25" fillId="0" borderId="0" xfId="9" applyNumberFormat="1" applyFont="1" applyAlignment="1">
      <alignment horizontal="center"/>
    </xf>
    <xf numFmtId="4" fontId="26" fillId="0" borderId="26" xfId="9" applyNumberFormat="1" applyFont="1" applyBorder="1"/>
    <xf numFmtId="4" fontId="26" fillId="0" borderId="0" xfId="9" applyNumberFormat="1" applyFont="1"/>
    <xf numFmtId="0" fontId="25" fillId="0" borderId="0" xfId="9" applyFont="1" applyAlignment="1">
      <alignment horizontal="centerContinuous" vertical="center"/>
    </xf>
    <xf numFmtId="10" fontId="34" fillId="0" borderId="0" xfId="9" applyNumberFormat="1" applyFont="1" applyAlignment="1">
      <alignment horizontal="right" vertical="center"/>
    </xf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2" fillId="0" borderId="0" xfId="0" applyFont="1"/>
    <xf numFmtId="0" fontId="43" fillId="14" borderId="22" xfId="0" applyFont="1" applyFill="1" applyBorder="1"/>
    <xf numFmtId="0" fontId="44" fillId="14" borderId="23" xfId="0" applyFont="1" applyFill="1" applyBorder="1"/>
    <xf numFmtId="0" fontId="43" fillId="14" borderId="23" xfId="0" applyFont="1" applyFill="1" applyBorder="1"/>
    <xf numFmtId="0" fontId="43" fillId="14" borderId="24" xfId="0" applyFont="1" applyFill="1" applyBorder="1"/>
    <xf numFmtId="0" fontId="37" fillId="0" borderId="17" xfId="0" applyFont="1" applyBorder="1"/>
    <xf numFmtId="0" fontId="46" fillId="0" borderId="18" xfId="2" applyFont="1" applyBorder="1"/>
    <xf numFmtId="0" fontId="39" fillId="0" borderId="18" xfId="0" applyFont="1" applyBorder="1"/>
    <xf numFmtId="0" fontId="46" fillId="0" borderId="0" xfId="2" applyFont="1"/>
    <xf numFmtId="0" fontId="37" fillId="0" borderId="18" xfId="0" applyFont="1" applyBorder="1"/>
    <xf numFmtId="0" fontId="44" fillId="14" borderId="17" xfId="0" applyFont="1" applyFill="1" applyBorder="1"/>
    <xf numFmtId="0" fontId="43" fillId="14" borderId="18" xfId="0" applyFont="1" applyFill="1" applyBorder="1"/>
    <xf numFmtId="0" fontId="39" fillId="0" borderId="0" xfId="3" applyFont="1"/>
    <xf numFmtId="0" fontId="38" fillId="0" borderId="17" xfId="0" applyFont="1" applyBorder="1"/>
    <xf numFmtId="0" fontId="39" fillId="0" borderId="1" xfId="3" applyFont="1" applyBorder="1"/>
    <xf numFmtId="0" fontId="27" fillId="0" borderId="1" xfId="3" applyFont="1" applyBorder="1" applyAlignment="1">
      <alignment horizontal="center"/>
    </xf>
    <xf numFmtId="2" fontId="39" fillId="0" borderId="1" xfId="3" applyNumberFormat="1" applyFont="1" applyBorder="1"/>
    <xf numFmtId="10" fontId="39" fillId="0" borderId="1" xfId="3" applyNumberFormat="1" applyFont="1" applyBorder="1"/>
    <xf numFmtId="4" fontId="39" fillId="0" borderId="1" xfId="3" applyNumberFormat="1" applyFont="1" applyBorder="1"/>
    <xf numFmtId="0" fontId="25" fillId="0" borderId="1" xfId="3" quotePrefix="1" applyFont="1" applyBorder="1" applyAlignment="1">
      <alignment horizontal="center"/>
    </xf>
    <xf numFmtId="9" fontId="39" fillId="0" borderId="1" xfId="3" applyNumberFormat="1" applyFont="1" applyBorder="1"/>
    <xf numFmtId="0" fontId="45" fillId="0" borderId="18" xfId="0" applyFont="1" applyBorder="1"/>
    <xf numFmtId="10" fontId="39" fillId="0" borderId="0" xfId="3" applyNumberFormat="1" applyFont="1"/>
    <xf numFmtId="0" fontId="37" fillId="0" borderId="19" xfId="0" applyFont="1" applyBorder="1"/>
    <xf numFmtId="0" fontId="38" fillId="0" borderId="20" xfId="0" applyFont="1" applyBorder="1"/>
    <xf numFmtId="10" fontId="38" fillId="0" borderId="20" xfId="0" applyNumberFormat="1" applyFont="1" applyBorder="1"/>
    <xf numFmtId="0" fontId="37" fillId="0" borderId="20" xfId="0" applyFont="1" applyBorder="1"/>
    <xf numFmtId="0" fontId="37" fillId="0" borderId="21" xfId="0" applyFont="1" applyBorder="1"/>
    <xf numFmtId="10" fontId="16" fillId="0" borderId="0" xfId="1" applyNumberFormat="1" applyFont="1"/>
    <xf numFmtId="0" fontId="54" fillId="10" borderId="22" xfId="0" applyFont="1" applyFill="1" applyBorder="1" applyAlignment="1">
      <alignment horizontal="left"/>
    </xf>
    <xf numFmtId="0" fontId="54" fillId="10" borderId="23" xfId="0" applyFont="1" applyFill="1" applyBorder="1" applyAlignment="1">
      <alignment horizontal="center"/>
    </xf>
    <xf numFmtId="0" fontId="54" fillId="10" borderId="24" xfId="0" applyFont="1" applyFill="1" applyBorder="1" applyAlignment="1">
      <alignment horizontal="center"/>
    </xf>
    <xf numFmtId="0" fontId="16" fillId="0" borderId="37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38" xfId="0" applyNumberFormat="1" applyFont="1" applyBorder="1" applyAlignment="1">
      <alignment horizontal="center"/>
    </xf>
    <xf numFmtId="0" fontId="53" fillId="0" borderId="39" xfId="0" applyFont="1" applyBorder="1" applyAlignment="1">
      <alignment horizontal="left"/>
    </xf>
    <xf numFmtId="0" fontId="53" fillId="0" borderId="40" xfId="0" applyFont="1" applyBorder="1" applyAlignment="1">
      <alignment horizontal="center"/>
    </xf>
    <xf numFmtId="1" fontId="53" fillId="0" borderId="40" xfId="0" applyNumberFormat="1" applyFont="1" applyBorder="1" applyAlignment="1">
      <alignment horizontal="center"/>
    </xf>
    <xf numFmtId="1" fontId="53" fillId="0" borderId="41" xfId="0" applyNumberFormat="1" applyFont="1" applyBorder="1" applyAlignment="1">
      <alignment horizontal="center"/>
    </xf>
    <xf numFmtId="0" fontId="54" fillId="10" borderId="22" xfId="0" applyFont="1" applyFill="1" applyBorder="1"/>
    <xf numFmtId="0" fontId="54" fillId="10" borderId="23" xfId="0" applyFont="1" applyFill="1" applyBorder="1"/>
    <xf numFmtId="0" fontId="54" fillId="10" borderId="23" xfId="0" applyFont="1" applyFill="1" applyBorder="1" applyAlignment="1">
      <alignment horizontal="left" indent="1"/>
    </xf>
    <xf numFmtId="0" fontId="54" fillId="10" borderId="24" xfId="0" applyFont="1" applyFill="1" applyBorder="1" applyAlignment="1">
      <alignment horizontal="left" indent="1"/>
    </xf>
    <xf numFmtId="0" fontId="16" fillId="0" borderId="17" xfId="0" applyFont="1" applyBorder="1"/>
    <xf numFmtId="0" fontId="16" fillId="0" borderId="18" xfId="0" applyFont="1" applyBorder="1"/>
    <xf numFmtId="2" fontId="16" fillId="0" borderId="18" xfId="0" applyNumberFormat="1" applyFont="1" applyBorder="1"/>
    <xf numFmtId="0" fontId="16" fillId="0" borderId="19" xfId="0" applyFont="1" applyBorder="1"/>
    <xf numFmtId="0" fontId="16" fillId="0" borderId="20" xfId="0" applyFont="1" applyBorder="1"/>
    <xf numFmtId="2" fontId="16" fillId="0" borderId="20" xfId="0" applyNumberFormat="1" applyFont="1" applyBorder="1"/>
    <xf numFmtId="2" fontId="16" fillId="0" borderId="21" xfId="0" applyNumberFormat="1" applyFont="1" applyBorder="1"/>
    <xf numFmtId="3" fontId="16" fillId="0" borderId="0" xfId="0" applyNumberFormat="1" applyFont="1"/>
    <xf numFmtId="0" fontId="53" fillId="0" borderId="17" xfId="0" applyFont="1" applyBorder="1" applyAlignment="1">
      <alignment vertical="center" wrapText="1"/>
    </xf>
    <xf numFmtId="166" fontId="16" fillId="0" borderId="0" xfId="0" applyNumberFormat="1" applyFont="1"/>
    <xf numFmtId="0" fontId="53" fillId="0" borderId="0" xfId="0" applyFont="1" applyAlignment="1">
      <alignment vertical="center" wrapText="1"/>
    </xf>
    <xf numFmtId="0" fontId="53" fillId="0" borderId="19" xfId="0" applyFont="1" applyBorder="1" applyAlignment="1">
      <alignment vertical="center" wrapText="1"/>
    </xf>
    <xf numFmtId="166" fontId="16" fillId="0" borderId="20" xfId="0" applyNumberFormat="1" applyFont="1" applyBorder="1"/>
    <xf numFmtId="0" fontId="16" fillId="0" borderId="21" xfId="0" applyFont="1" applyBorder="1"/>
    <xf numFmtId="0" fontId="16" fillId="0" borderId="0" xfId="0" applyFont="1" applyAlignment="1">
      <alignment horizontal="center"/>
    </xf>
    <xf numFmtId="0" fontId="53" fillId="0" borderId="0" xfId="0" applyFont="1"/>
    <xf numFmtId="3" fontId="16" fillId="0" borderId="0" xfId="0" applyNumberFormat="1" applyFont="1" applyAlignment="1">
      <alignment horizontal="right" vertical="center" wrapText="1"/>
    </xf>
    <xf numFmtId="3" fontId="53" fillId="0" borderId="0" xfId="0" applyNumberFormat="1" applyFont="1" applyAlignment="1">
      <alignment horizontal="right" vertical="center" wrapText="1"/>
    </xf>
    <xf numFmtId="3" fontId="16" fillId="0" borderId="18" xfId="0" applyNumberFormat="1" applyFont="1" applyBorder="1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53" fillId="0" borderId="0" xfId="0" applyFont="1" applyAlignment="1">
      <alignment horizontal="right" vertical="center" wrapText="1"/>
    </xf>
    <xf numFmtId="0" fontId="16" fillId="0" borderId="18" xfId="0" applyFont="1" applyBorder="1" applyAlignment="1">
      <alignment horizontal="right" vertical="center" wrapText="1"/>
    </xf>
    <xf numFmtId="0" fontId="16" fillId="0" borderId="20" xfId="0" applyFont="1" applyBorder="1" applyAlignment="1">
      <alignment horizontal="right" vertical="center" wrapText="1"/>
    </xf>
    <xf numFmtId="0" fontId="53" fillId="0" borderId="20" xfId="0" applyFont="1" applyBorder="1" applyAlignment="1">
      <alignment horizontal="right" vertical="center" wrapText="1"/>
    </xf>
    <xf numFmtId="0" fontId="16" fillId="0" borderId="21" xfId="0" applyFont="1" applyBorder="1" applyAlignment="1">
      <alignment horizontal="right" vertical="center" wrapText="1"/>
    </xf>
    <xf numFmtId="0" fontId="16" fillId="0" borderId="17" xfId="0" applyFont="1" applyBorder="1" applyAlignment="1">
      <alignment vertical="center" wrapText="1"/>
    </xf>
    <xf numFmtId="1" fontId="16" fillId="0" borderId="20" xfId="0" applyNumberFormat="1" applyFont="1" applyBorder="1"/>
    <xf numFmtId="1" fontId="16" fillId="0" borderId="21" xfId="0" applyNumberFormat="1" applyFont="1" applyBorder="1"/>
    <xf numFmtId="0" fontId="55" fillId="0" borderId="0" xfId="0" applyFont="1"/>
    <xf numFmtId="0" fontId="56" fillId="0" borderId="0" xfId="0" applyFont="1"/>
    <xf numFmtId="10" fontId="56" fillId="0" borderId="0" xfId="0" applyNumberFormat="1" applyFont="1"/>
    <xf numFmtId="0" fontId="56" fillId="0" borderId="35" xfId="0" applyFont="1" applyBorder="1"/>
    <xf numFmtId="0" fontId="56" fillId="0" borderId="5" xfId="0" applyFont="1" applyBorder="1"/>
    <xf numFmtId="1" fontId="56" fillId="0" borderId="5" xfId="0" applyNumberFormat="1" applyFont="1" applyBorder="1"/>
    <xf numFmtId="1" fontId="56" fillId="0" borderId="36" xfId="0" applyNumberFormat="1" applyFont="1" applyBorder="1"/>
    <xf numFmtId="2" fontId="56" fillId="0" borderId="5" xfId="0" applyNumberFormat="1" applyFont="1" applyBorder="1"/>
    <xf numFmtId="3" fontId="56" fillId="0" borderId="0" xfId="0" applyNumberFormat="1" applyFont="1"/>
    <xf numFmtId="0" fontId="57" fillId="11" borderId="22" xfId="0" applyFont="1" applyFill="1" applyBorder="1"/>
    <xf numFmtId="0" fontId="57" fillId="11" borderId="23" xfId="0" applyFont="1" applyFill="1" applyBorder="1"/>
    <xf numFmtId="0" fontId="57" fillId="11" borderId="23" xfId="0" applyFont="1" applyFill="1" applyBorder="1" applyAlignment="1">
      <alignment horizontal="left" indent="1"/>
    </xf>
    <xf numFmtId="0" fontId="57" fillId="11" borderId="24" xfId="0" applyFont="1" applyFill="1" applyBorder="1" applyAlignment="1">
      <alignment horizontal="left" indent="1"/>
    </xf>
    <xf numFmtId="0" fontId="55" fillId="0" borderId="17" xfId="0" applyFont="1" applyBorder="1" applyAlignment="1">
      <alignment vertical="center" wrapText="1"/>
    </xf>
    <xf numFmtId="166" fontId="56" fillId="0" borderId="0" xfId="0" applyNumberFormat="1" applyFont="1"/>
    <xf numFmtId="166" fontId="56" fillId="0" borderId="18" xfId="0" applyNumberFormat="1" applyFont="1" applyBorder="1"/>
    <xf numFmtId="165" fontId="56" fillId="0" borderId="0" xfId="1" applyNumberFormat="1" applyFont="1" applyBorder="1"/>
    <xf numFmtId="165" fontId="56" fillId="0" borderId="18" xfId="1" applyNumberFormat="1" applyFont="1" applyBorder="1"/>
    <xf numFmtId="0" fontId="53" fillId="0" borderId="0" xfId="0" applyFont="1" applyAlignment="1">
      <alignment horizontal="right"/>
    </xf>
    <xf numFmtId="0" fontId="16" fillId="3" borderId="0" xfId="0" applyFont="1" applyFill="1"/>
    <xf numFmtId="166" fontId="16" fillId="0" borderId="18" xfId="0" applyNumberFormat="1" applyFont="1" applyBorder="1"/>
    <xf numFmtId="165" fontId="16" fillId="0" borderId="0" xfId="1" applyNumberFormat="1" applyFont="1"/>
    <xf numFmtId="0" fontId="16" fillId="0" borderId="0" xfId="0" applyFont="1" applyAlignment="1">
      <alignment vertical="center" wrapText="1"/>
    </xf>
    <xf numFmtId="0" fontId="16" fillId="4" borderId="17" xfId="0" applyFont="1" applyFill="1" applyBorder="1" applyAlignment="1">
      <alignment vertical="center" wrapText="1"/>
    </xf>
    <xf numFmtId="1" fontId="16" fillId="0" borderId="0" xfId="0" applyNumberFormat="1" applyFont="1"/>
    <xf numFmtId="1" fontId="16" fillId="0" borderId="18" xfId="0" applyNumberFormat="1" applyFont="1" applyBorder="1"/>
    <xf numFmtId="0" fontId="16" fillId="2" borderId="0" xfId="0" applyFont="1" applyFill="1"/>
    <xf numFmtId="0" fontId="16" fillId="2" borderId="18" xfId="0" applyFont="1" applyFill="1" applyBorder="1"/>
    <xf numFmtId="0" fontId="53" fillId="0" borderId="20" xfId="0" applyFont="1" applyBorder="1"/>
    <xf numFmtId="166" fontId="53" fillId="0" borderId="20" xfId="0" applyNumberFormat="1" applyFont="1" applyBorder="1"/>
    <xf numFmtId="1" fontId="53" fillId="0" borderId="21" xfId="0" applyNumberFormat="1" applyFont="1" applyBorder="1"/>
    <xf numFmtId="0" fontId="16" fillId="0" borderId="0" xfId="0" applyFont="1" applyAlignment="1">
      <alignment horizontal="right"/>
    </xf>
    <xf numFmtId="3" fontId="16" fillId="0" borderId="18" xfId="0" applyNumberFormat="1" applyFont="1" applyBorder="1"/>
    <xf numFmtId="3" fontId="16" fillId="0" borderId="6" xfId="0" applyNumberFormat="1" applyFont="1" applyBorder="1"/>
    <xf numFmtId="3" fontId="16" fillId="0" borderId="43" xfId="0" applyNumberFormat="1" applyFont="1" applyBorder="1"/>
    <xf numFmtId="0" fontId="53" fillId="0" borderId="44" xfId="0" applyFont="1" applyBorder="1"/>
    <xf numFmtId="10" fontId="16" fillId="0" borderId="0" xfId="1" applyNumberFormat="1" applyFont="1" applyBorder="1"/>
    <xf numFmtId="10" fontId="16" fillId="0" borderId="0" xfId="1" applyNumberFormat="1" applyFont="1" applyFill="1" applyBorder="1"/>
    <xf numFmtId="10" fontId="16" fillId="0" borderId="18" xfId="1" applyNumberFormat="1" applyFont="1" applyBorder="1"/>
    <xf numFmtId="9" fontId="16" fillId="0" borderId="0" xfId="1" applyFont="1" applyBorder="1"/>
    <xf numFmtId="9" fontId="16" fillId="0" borderId="18" xfId="1" applyFont="1" applyBorder="1"/>
    <xf numFmtId="165" fontId="16" fillId="0" borderId="0" xfId="1" applyNumberFormat="1" applyFont="1" applyBorder="1"/>
    <xf numFmtId="165" fontId="16" fillId="0" borderId="0" xfId="1" applyNumberFormat="1" applyFont="1" applyFill="1" applyBorder="1"/>
    <xf numFmtId="165" fontId="16" fillId="0" borderId="0" xfId="0" applyNumberFormat="1" applyFont="1"/>
    <xf numFmtId="165" fontId="16" fillId="0" borderId="18" xfId="0" applyNumberFormat="1" applyFont="1" applyBorder="1"/>
    <xf numFmtId="3" fontId="16" fillId="0" borderId="20" xfId="0" applyNumberFormat="1" applyFont="1" applyBorder="1"/>
    <xf numFmtId="164" fontId="16" fillId="0" borderId="0" xfId="11" applyNumberFormat="1" applyFont="1" applyBorder="1"/>
    <xf numFmtId="164" fontId="16" fillId="0" borderId="0" xfId="11" applyNumberFormat="1" applyFont="1" applyFill="1" applyBorder="1"/>
    <xf numFmtId="164" fontId="16" fillId="0" borderId="18" xfId="11" applyNumberFormat="1" applyFont="1" applyBorder="1"/>
    <xf numFmtId="0" fontId="53" fillId="0" borderId="17" xfId="0" applyFont="1" applyBorder="1"/>
    <xf numFmtId="164" fontId="53" fillId="0" borderId="0" xfId="11" applyNumberFormat="1" applyFont="1" applyBorder="1"/>
    <xf numFmtId="164" fontId="53" fillId="0" borderId="0" xfId="11" applyNumberFormat="1" applyFont="1" applyFill="1" applyBorder="1"/>
    <xf numFmtId="164" fontId="53" fillId="0" borderId="18" xfId="11" applyNumberFormat="1" applyFont="1" applyBorder="1"/>
    <xf numFmtId="0" fontId="53" fillId="0" borderId="19" xfId="0" applyFont="1" applyBorder="1"/>
    <xf numFmtId="164" fontId="53" fillId="0" borderId="20" xfId="11" applyNumberFormat="1" applyFont="1" applyBorder="1"/>
    <xf numFmtId="164" fontId="53" fillId="0" borderId="20" xfId="11" applyNumberFormat="1" applyFont="1" applyFill="1" applyBorder="1"/>
    <xf numFmtId="164" fontId="53" fillId="0" borderId="21" xfId="11" applyNumberFormat="1" applyFont="1" applyBorder="1"/>
    <xf numFmtId="165" fontId="16" fillId="0" borderId="18" xfId="1" applyNumberFormat="1" applyFont="1" applyBorder="1"/>
    <xf numFmtId="0" fontId="16" fillId="0" borderId="42" xfId="0" applyFont="1" applyBorder="1" applyAlignment="1">
      <alignment horizontal="left"/>
    </xf>
    <xf numFmtId="10" fontId="16" fillId="0" borderId="0" xfId="0" applyNumberFormat="1" applyFont="1"/>
    <xf numFmtId="10" fontId="16" fillId="0" borderId="18" xfId="0" applyNumberFormat="1" applyFont="1" applyBorder="1"/>
    <xf numFmtId="3" fontId="53" fillId="0" borderId="0" xfId="0" applyNumberFormat="1" applyFont="1"/>
    <xf numFmtId="9" fontId="16" fillId="0" borderId="0" xfId="1" applyFont="1" applyFill="1" applyBorder="1"/>
    <xf numFmtId="9" fontId="16" fillId="0" borderId="0" xfId="0" applyNumberFormat="1" applyFont="1"/>
    <xf numFmtId="9" fontId="16" fillId="0" borderId="18" xfId="0" applyNumberFormat="1" applyFont="1" applyBorder="1"/>
    <xf numFmtId="3" fontId="53" fillId="0" borderId="20" xfId="0" applyNumberFormat="1" applyFont="1" applyBorder="1"/>
    <xf numFmtId="0" fontId="54" fillId="13" borderId="22" xfId="0" applyFont="1" applyFill="1" applyBorder="1"/>
    <xf numFmtId="0" fontId="54" fillId="13" borderId="23" xfId="0" applyFont="1" applyFill="1" applyBorder="1" applyAlignment="1">
      <alignment horizontal="left" indent="1"/>
    </xf>
    <xf numFmtId="0" fontId="54" fillId="13" borderId="24" xfId="0" applyFont="1" applyFill="1" applyBorder="1" applyAlignment="1">
      <alignment horizontal="left" indent="1"/>
    </xf>
    <xf numFmtId="0" fontId="16" fillId="5" borderId="17" xfId="0" applyFont="1" applyFill="1" applyBorder="1"/>
    <xf numFmtId="0" fontId="16" fillId="5" borderId="0" xfId="0" applyFont="1" applyFill="1"/>
    <xf numFmtId="0" fontId="16" fillId="5" borderId="18" xfId="0" applyFont="1" applyFill="1" applyBorder="1"/>
    <xf numFmtId="0" fontId="53" fillId="5" borderId="17" xfId="0" applyFont="1" applyFill="1" applyBorder="1"/>
    <xf numFmtId="0" fontId="53" fillId="5" borderId="19" xfId="0" applyFont="1" applyFill="1" applyBorder="1"/>
    <xf numFmtId="0" fontId="16" fillId="5" borderId="20" xfId="0" applyFont="1" applyFill="1" applyBorder="1"/>
    <xf numFmtId="0" fontId="16" fillId="5" borderId="21" xfId="0" applyFont="1" applyFill="1" applyBorder="1"/>
    <xf numFmtId="4" fontId="16" fillId="0" borderId="0" xfId="0" applyNumberFormat="1" applyFont="1"/>
    <xf numFmtId="0" fontId="58" fillId="14" borderId="22" xfId="0" applyFont="1" applyFill="1" applyBorder="1" applyAlignment="1">
      <alignment horizontal="center" vertical="center" wrapText="1"/>
    </xf>
    <xf numFmtId="0" fontId="58" fillId="14" borderId="23" xfId="0" applyFont="1" applyFill="1" applyBorder="1" applyAlignment="1">
      <alignment horizontal="right" vertical="center" wrapText="1"/>
    </xf>
    <xf numFmtId="0" fontId="58" fillId="14" borderId="24" xfId="0" applyFont="1" applyFill="1" applyBorder="1" applyAlignment="1">
      <alignment horizontal="right" vertical="center" wrapText="1"/>
    </xf>
    <xf numFmtId="0" fontId="59" fillId="0" borderId="17" xfId="0" applyFont="1" applyBorder="1"/>
    <xf numFmtId="174" fontId="16" fillId="0" borderId="0" xfId="11" applyNumberFormat="1" applyFont="1"/>
    <xf numFmtId="0" fontId="58" fillId="14" borderId="17" xfId="0" applyFont="1" applyFill="1" applyBorder="1" applyAlignment="1">
      <alignment horizontal="center" vertical="center" wrapText="1"/>
    </xf>
    <xf numFmtId="0" fontId="58" fillId="14" borderId="0" xfId="0" applyFont="1" applyFill="1" applyAlignment="1">
      <alignment horizontal="right" vertical="center" wrapText="1"/>
    </xf>
    <xf numFmtId="0" fontId="58" fillId="14" borderId="18" xfId="0" applyFont="1" applyFill="1" applyBorder="1" applyAlignment="1">
      <alignment horizontal="right" vertical="center" wrapText="1"/>
    </xf>
    <xf numFmtId="174" fontId="16" fillId="0" borderId="0" xfId="11" applyNumberFormat="1" applyFont="1" applyBorder="1"/>
    <xf numFmtId="174" fontId="16" fillId="0" borderId="18" xfId="11" applyNumberFormat="1" applyFont="1" applyBorder="1"/>
    <xf numFmtId="175" fontId="16" fillId="0" borderId="0" xfId="0" applyNumberFormat="1" applyFont="1"/>
    <xf numFmtId="175" fontId="16" fillId="0" borderId="18" xfId="0" applyNumberFormat="1" applyFont="1" applyBorder="1"/>
    <xf numFmtId="4" fontId="16" fillId="0" borderId="18" xfId="0" applyNumberFormat="1" applyFont="1" applyBorder="1"/>
    <xf numFmtId="0" fontId="16" fillId="0" borderId="19" xfId="0" applyFont="1" applyBorder="1" applyAlignment="1">
      <alignment vertical="center" wrapText="1"/>
    </xf>
    <xf numFmtId="10" fontId="16" fillId="0" borderId="20" xfId="1" applyNumberFormat="1" applyFont="1" applyBorder="1" applyAlignment="1">
      <alignment horizontal="right" vertical="center" wrapText="1"/>
    </xf>
    <xf numFmtId="165" fontId="16" fillId="0" borderId="20" xfId="0" applyNumberFormat="1" applyFont="1" applyBorder="1" applyAlignment="1">
      <alignment horizontal="right" vertical="center" wrapText="1"/>
    </xf>
    <xf numFmtId="165" fontId="16" fillId="0" borderId="21" xfId="0" applyNumberFormat="1" applyFont="1" applyBorder="1" applyAlignment="1">
      <alignment horizontal="right" vertical="center" wrapText="1"/>
    </xf>
    <xf numFmtId="0" fontId="53" fillId="0" borderId="22" xfId="0" applyFont="1" applyBorder="1"/>
    <xf numFmtId="0" fontId="16" fillId="0" borderId="23" xfId="0" applyFont="1" applyBorder="1"/>
    <xf numFmtId="0" fontId="16" fillId="0" borderId="24" xfId="0" applyFont="1" applyBorder="1"/>
    <xf numFmtId="0" fontId="60" fillId="13" borderId="17" xfId="0" applyFont="1" applyFill="1" applyBorder="1" applyAlignment="1">
      <alignment horizontal="left" vertical="center" wrapText="1" indent="1" readingOrder="1"/>
    </xf>
    <xf numFmtId="0" fontId="60" fillId="13" borderId="0" xfId="0" applyFont="1" applyFill="1" applyAlignment="1">
      <alignment horizontal="left" vertical="center" wrapText="1" indent="1" readingOrder="1"/>
    </xf>
    <xf numFmtId="0" fontId="60" fillId="13" borderId="0" xfId="0" applyFont="1" applyFill="1" applyAlignment="1">
      <alignment vertical="center" wrapText="1" readingOrder="1"/>
    </xf>
    <xf numFmtId="0" fontId="60" fillId="13" borderId="18" xfId="0" applyFont="1" applyFill="1" applyBorder="1" applyAlignment="1">
      <alignment horizontal="left" vertical="center" wrapText="1" indent="1" readingOrder="1"/>
    </xf>
    <xf numFmtId="0" fontId="61" fillId="0" borderId="17" xfId="0" applyFont="1" applyBorder="1" applyAlignment="1">
      <alignment horizontal="left" vertical="center" wrapText="1" indent="1" readingOrder="1"/>
    </xf>
    <xf numFmtId="0" fontId="61" fillId="0" borderId="0" xfId="0" applyFont="1" applyAlignment="1">
      <alignment horizontal="left" vertical="center" wrapText="1" indent="1" readingOrder="1"/>
    </xf>
    <xf numFmtId="3" fontId="61" fillId="0" borderId="0" xfId="0" applyNumberFormat="1" applyFont="1" applyAlignment="1">
      <alignment horizontal="left" vertical="center" wrapText="1" indent="1" readingOrder="1"/>
    </xf>
    <xf numFmtId="3" fontId="61" fillId="0" borderId="0" xfId="0" applyNumberFormat="1" applyFont="1" applyAlignment="1">
      <alignment vertical="center" wrapText="1" readingOrder="1"/>
    </xf>
    <xf numFmtId="10" fontId="61" fillId="0" borderId="0" xfId="1" applyNumberFormat="1" applyFont="1" applyBorder="1" applyAlignment="1">
      <alignment horizontal="left" vertical="center" wrapText="1" indent="1" readingOrder="1"/>
    </xf>
    <xf numFmtId="0" fontId="61" fillId="0" borderId="0" xfId="0" applyFont="1" applyAlignment="1">
      <alignment vertical="center" wrapText="1" readingOrder="1"/>
    </xf>
    <xf numFmtId="0" fontId="62" fillId="0" borderId="17" xfId="0" applyFont="1" applyBorder="1" applyAlignment="1">
      <alignment horizontal="left" vertical="center" wrapText="1" indent="1" readingOrder="1"/>
    </xf>
    <xf numFmtId="0" fontId="63" fillId="0" borderId="0" xfId="0" applyFont="1"/>
    <xf numFmtId="0" fontId="63" fillId="0" borderId="18" xfId="0" applyFont="1" applyBorder="1"/>
    <xf numFmtId="10" fontId="63" fillId="0" borderId="0" xfId="0" applyNumberFormat="1" applyFont="1"/>
    <xf numFmtId="10" fontId="63" fillId="0" borderId="18" xfId="0" applyNumberFormat="1" applyFont="1" applyBorder="1"/>
    <xf numFmtId="9" fontId="61" fillId="0" borderId="0" xfId="1" applyFont="1" applyBorder="1" applyAlignment="1">
      <alignment horizontal="left" vertical="center" wrapText="1" indent="1" readingOrder="1"/>
    </xf>
    <xf numFmtId="2" fontId="64" fillId="0" borderId="0" xfId="0" applyNumberFormat="1" applyFont="1"/>
    <xf numFmtId="2" fontId="64" fillId="0" borderId="18" xfId="0" applyNumberFormat="1" applyFont="1" applyBorder="1"/>
    <xf numFmtId="0" fontId="65" fillId="13" borderId="17" xfId="0" applyFont="1" applyFill="1" applyBorder="1"/>
    <xf numFmtId="174" fontId="16" fillId="0" borderId="20" xfId="0" applyNumberFormat="1" applyFont="1" applyBorder="1"/>
    <xf numFmtId="0" fontId="27" fillId="0" borderId="0" xfId="3" applyFont="1" applyAlignment="1">
      <alignment horizontal="center"/>
    </xf>
    <xf numFmtId="0" fontId="30" fillId="13" borderId="0" xfId="3" applyFont="1" applyFill="1"/>
    <xf numFmtId="0" fontId="30" fillId="13" borderId="0" xfId="3" applyFont="1" applyFill="1" applyAlignment="1">
      <alignment horizontal="center"/>
    </xf>
    <xf numFmtId="0" fontId="66" fillId="5" borderId="0" xfId="3" applyFont="1" applyFill="1"/>
    <xf numFmtId="0" fontId="27" fillId="5" borderId="0" xfId="3" applyFont="1" applyFill="1" applyAlignment="1">
      <alignment horizontal="center"/>
    </xf>
    <xf numFmtId="0" fontId="27" fillId="5" borderId="0" xfId="3" applyFont="1" applyFill="1"/>
    <xf numFmtId="0" fontId="27" fillId="0" borderId="7" xfId="3" applyFont="1" applyBorder="1"/>
    <xf numFmtId="0" fontId="27" fillId="0" borderId="7" xfId="3" applyFont="1" applyBorder="1" applyAlignment="1">
      <alignment horizontal="center"/>
    </xf>
    <xf numFmtId="0" fontId="66" fillId="0" borderId="8" xfId="3" applyFont="1" applyBorder="1" applyAlignment="1">
      <alignment horizontal="center"/>
    </xf>
    <xf numFmtId="0" fontId="66" fillId="0" borderId="6" xfId="3" applyFont="1" applyBorder="1" applyAlignment="1">
      <alignment horizontal="center"/>
    </xf>
    <xf numFmtId="0" fontId="66" fillId="0" borderId="9" xfId="3" applyFont="1" applyBorder="1" applyAlignment="1">
      <alignment horizontal="center"/>
    </xf>
    <xf numFmtId="0" fontId="66" fillId="0" borderId="7" xfId="3" applyFont="1" applyBorder="1" applyAlignment="1">
      <alignment horizontal="center"/>
    </xf>
    <xf numFmtId="0" fontId="66" fillId="0" borderId="4" xfId="3" applyFont="1" applyBorder="1" applyAlignment="1">
      <alignment horizontal="center"/>
    </xf>
    <xf numFmtId="0" fontId="66" fillId="0" borderId="10" xfId="3" applyFont="1" applyBorder="1" applyAlignment="1">
      <alignment horizontal="center"/>
    </xf>
    <xf numFmtId="0" fontId="66" fillId="0" borderId="11" xfId="3" applyFont="1" applyBorder="1" applyAlignment="1">
      <alignment horizontal="center"/>
    </xf>
    <xf numFmtId="0" fontId="66" fillId="0" borderId="5" xfId="3" applyFont="1" applyBorder="1" applyAlignment="1">
      <alignment horizontal="center"/>
    </xf>
    <xf numFmtId="0" fontId="25" fillId="0" borderId="2" xfId="3" applyFont="1" applyBorder="1"/>
    <xf numFmtId="0" fontId="27" fillId="6" borderId="12" xfId="3" applyFont="1" applyFill="1" applyBorder="1" applyAlignment="1">
      <alignment horizontal="center"/>
    </xf>
    <xf numFmtId="167" fontId="25" fillId="0" borderId="8" xfId="3" applyNumberFormat="1" applyFont="1" applyBorder="1"/>
    <xf numFmtId="167" fontId="25" fillId="0" borderId="6" xfId="3" applyNumberFormat="1" applyFont="1" applyBorder="1"/>
    <xf numFmtId="164" fontId="27" fillId="0" borderId="0" xfId="4" applyNumberFormat="1" applyFont="1"/>
    <xf numFmtId="169" fontId="25" fillId="0" borderId="6" xfId="4" applyNumberFormat="1" applyFont="1" applyBorder="1"/>
    <xf numFmtId="169" fontId="25" fillId="0" borderId="0" xfId="4" applyNumberFormat="1" applyFont="1"/>
    <xf numFmtId="4" fontId="25" fillId="0" borderId="7" xfId="3" applyNumberFormat="1" applyFont="1" applyBorder="1"/>
    <xf numFmtId="8" fontId="25" fillId="0" borderId="7" xfId="4" applyNumberFormat="1" applyFont="1" applyBorder="1"/>
    <xf numFmtId="10" fontId="25" fillId="0" borderId="0" xfId="5" applyNumberFormat="1" applyFont="1"/>
    <xf numFmtId="0" fontId="25" fillId="0" borderId="0" xfId="3" applyFont="1"/>
    <xf numFmtId="167" fontId="25" fillId="0" borderId="13" xfId="3" applyNumberFormat="1" applyFont="1" applyBorder="1"/>
    <xf numFmtId="167" fontId="25" fillId="0" borderId="0" xfId="3" applyNumberFormat="1" applyFont="1"/>
    <xf numFmtId="4" fontId="25" fillId="0" borderId="2" xfId="3" applyNumberFormat="1" applyFont="1" applyBorder="1"/>
    <xf numFmtId="8" fontId="25" fillId="0" borderId="2" xfId="4" applyNumberFormat="1" applyFont="1" applyBorder="1"/>
    <xf numFmtId="0" fontId="25" fillId="7" borderId="2" xfId="3" quotePrefix="1" applyFont="1" applyFill="1" applyBorder="1" applyAlignment="1">
      <alignment horizontal="center"/>
    </xf>
    <xf numFmtId="0" fontId="25" fillId="7" borderId="1" xfId="3" applyFont="1" applyFill="1" applyBorder="1" applyAlignment="1">
      <alignment horizontal="center"/>
    </xf>
    <xf numFmtId="167" fontId="25" fillId="0" borderId="14" xfId="3" applyNumberFormat="1" applyFont="1" applyBorder="1"/>
    <xf numFmtId="167" fontId="25" fillId="0" borderId="15" xfId="3" applyNumberFormat="1" applyFont="1" applyBorder="1"/>
    <xf numFmtId="164" fontId="27" fillId="0" borderId="15" xfId="4" applyNumberFormat="1" applyFont="1" applyBorder="1"/>
    <xf numFmtId="169" fontId="25" fillId="0" borderId="15" xfId="4" applyNumberFormat="1" applyFont="1" applyBorder="1"/>
    <xf numFmtId="4" fontId="25" fillId="0" borderId="1" xfId="3" applyNumberFormat="1" applyFont="1" applyBorder="1"/>
    <xf numFmtId="8" fontId="25" fillId="0" borderId="1" xfId="4" applyNumberFormat="1" applyFont="1" applyBorder="1"/>
    <xf numFmtId="0" fontId="66" fillId="5" borderId="0" xfId="3" applyFont="1" applyFill="1" applyAlignment="1">
      <alignment horizontal="center"/>
    </xf>
    <xf numFmtId="0" fontId="35" fillId="5" borderId="0" xfId="3" applyFont="1" applyFill="1"/>
    <xf numFmtId="0" fontId="66" fillId="0" borderId="14" xfId="3" applyFont="1" applyBorder="1" applyAlignment="1">
      <alignment horizontal="centerContinuous"/>
    </xf>
    <xf numFmtId="0" fontId="66" fillId="0" borderId="15" xfId="3" applyFont="1" applyBorder="1" applyAlignment="1">
      <alignment horizontal="centerContinuous"/>
    </xf>
    <xf numFmtId="0" fontId="66" fillId="0" borderId="3" xfId="3" applyFont="1" applyBorder="1" applyAlignment="1">
      <alignment horizontal="centerContinuous"/>
    </xf>
    <xf numFmtId="0" fontId="66" fillId="0" borderId="14" xfId="3" applyFont="1" applyBorder="1" applyAlignment="1">
      <alignment horizontal="center"/>
    </xf>
    <xf numFmtId="0" fontId="66" fillId="0" borderId="15" xfId="3" applyFont="1" applyBorder="1" applyAlignment="1">
      <alignment horizontal="center"/>
    </xf>
    <xf numFmtId="0" fontId="66" fillId="0" borderId="3" xfId="3" applyFont="1" applyBorder="1" applyAlignment="1">
      <alignment horizontal="center"/>
    </xf>
    <xf numFmtId="0" fontId="66" fillId="0" borderId="2" xfId="3" applyFont="1" applyBorder="1" applyAlignment="1">
      <alignment horizontal="center"/>
    </xf>
    <xf numFmtId="0" fontId="27" fillId="0" borderId="2" xfId="3" applyFont="1" applyBorder="1"/>
    <xf numFmtId="0" fontId="27" fillId="0" borderId="2" xfId="3" applyFont="1" applyBorder="1" applyAlignment="1">
      <alignment horizontal="center"/>
    </xf>
    <xf numFmtId="169" fontId="27" fillId="0" borderId="0" xfId="3" applyNumberFormat="1" applyFont="1" applyAlignment="1">
      <alignment horizontal="center"/>
    </xf>
    <xf numFmtId="169" fontId="27" fillId="0" borderId="9" xfId="3" applyNumberFormat="1" applyFont="1" applyBorder="1" applyAlignment="1">
      <alignment horizontal="center"/>
    </xf>
    <xf numFmtId="167" fontId="27" fillId="0" borderId="0" xfId="3" applyNumberFormat="1" applyFont="1" applyAlignment="1">
      <alignment horizontal="center"/>
    </xf>
    <xf numFmtId="167" fontId="27" fillId="0" borderId="16" xfId="3" applyNumberFormat="1" applyFont="1" applyBorder="1" applyAlignment="1">
      <alignment horizontal="center"/>
    </xf>
    <xf numFmtId="167" fontId="27" fillId="0" borderId="13" xfId="3" applyNumberFormat="1" applyFont="1" applyBorder="1" applyAlignment="1">
      <alignment horizontal="center"/>
    </xf>
    <xf numFmtId="165" fontId="25" fillId="0" borderId="7" xfId="5" applyNumberFormat="1" applyFont="1" applyBorder="1" applyAlignment="1">
      <alignment horizontal="center"/>
    </xf>
    <xf numFmtId="169" fontId="27" fillId="0" borderId="16" xfId="3" applyNumberFormat="1" applyFont="1" applyBorder="1" applyAlignment="1">
      <alignment horizontal="center"/>
    </xf>
    <xf numFmtId="0" fontId="27" fillId="0" borderId="0" xfId="3" quotePrefix="1" applyFont="1"/>
    <xf numFmtId="169" fontId="27" fillId="0" borderId="13" xfId="3" applyNumberFormat="1" applyFont="1" applyBorder="1" applyAlignment="1">
      <alignment horizontal="center"/>
    </xf>
    <xf numFmtId="0" fontId="27" fillId="0" borderId="1" xfId="3" applyFont="1" applyBorder="1"/>
    <xf numFmtId="3" fontId="27" fillId="0" borderId="14" xfId="3" applyNumberFormat="1" applyFont="1" applyBorder="1" applyAlignment="1">
      <alignment horizontal="center"/>
    </xf>
    <xf numFmtId="3" fontId="27" fillId="0" borderId="15" xfId="3" applyNumberFormat="1" applyFont="1" applyBorder="1" applyAlignment="1">
      <alignment horizontal="center"/>
    </xf>
    <xf numFmtId="3" fontId="27" fillId="0" borderId="3" xfId="3" applyNumberFormat="1" applyFont="1" applyBorder="1" applyAlignment="1">
      <alignment horizontal="center"/>
    </xf>
    <xf numFmtId="167" fontId="27" fillId="0" borderId="14" xfId="3" applyNumberFormat="1" applyFont="1" applyBorder="1" applyAlignment="1">
      <alignment horizontal="center"/>
    </xf>
    <xf numFmtId="167" fontId="27" fillId="0" borderId="15" xfId="3" applyNumberFormat="1" applyFont="1" applyBorder="1" applyAlignment="1">
      <alignment horizontal="center"/>
    </xf>
    <xf numFmtId="167" fontId="27" fillId="0" borderId="3" xfId="3" applyNumberFormat="1" applyFont="1" applyBorder="1" applyAlignment="1">
      <alignment horizontal="center"/>
    </xf>
    <xf numFmtId="165" fontId="25" fillId="0" borderId="1" xfId="5" applyNumberFormat="1" applyFont="1" applyBorder="1" applyAlignment="1">
      <alignment horizontal="center"/>
    </xf>
    <xf numFmtId="3" fontId="27" fillId="0" borderId="6" xfId="3" applyNumberFormat="1" applyFont="1" applyBorder="1" applyAlignment="1">
      <alignment horizontal="centerContinuous"/>
    </xf>
    <xf numFmtId="3" fontId="27" fillId="0" borderId="9" xfId="3" applyNumberFormat="1" applyFont="1" applyBorder="1" applyAlignment="1">
      <alignment horizontal="centerContinuous"/>
    </xf>
    <xf numFmtId="0" fontId="27" fillId="0" borderId="13" xfId="3" applyFont="1" applyBorder="1" applyAlignment="1">
      <alignment horizontal="center"/>
    </xf>
    <xf numFmtId="167" fontId="27" fillId="0" borderId="2" xfId="3" applyNumberFormat="1" applyFont="1" applyBorder="1" applyAlignment="1">
      <alignment horizontal="center"/>
    </xf>
    <xf numFmtId="170" fontId="27" fillId="0" borderId="13" xfId="4" applyNumberFormat="1" applyFont="1" applyBorder="1" applyAlignment="1">
      <alignment horizontal="center"/>
    </xf>
    <xf numFmtId="170" fontId="27" fillId="0" borderId="0" xfId="4" applyNumberFormat="1" applyFont="1" applyAlignment="1">
      <alignment horizontal="center"/>
    </xf>
    <xf numFmtId="170" fontId="27" fillId="0" borderId="16" xfId="4" applyNumberFormat="1" applyFont="1" applyBorder="1" applyAlignment="1">
      <alignment horizontal="center"/>
    </xf>
    <xf numFmtId="170" fontId="27" fillId="0" borderId="13" xfId="3" applyNumberFormat="1" applyFont="1" applyBorder="1" applyAlignment="1">
      <alignment horizontal="center"/>
    </xf>
    <xf numFmtId="170" fontId="27" fillId="0" borderId="0" xfId="3" applyNumberFormat="1" applyFont="1" applyAlignment="1">
      <alignment horizontal="center"/>
    </xf>
    <xf numFmtId="170" fontId="27" fillId="0" borderId="16" xfId="3" applyNumberFormat="1" applyFont="1" applyBorder="1" applyAlignment="1">
      <alignment horizontal="center"/>
    </xf>
    <xf numFmtId="167" fontId="27" fillId="0" borderId="1" xfId="3" applyNumberFormat="1" applyFont="1" applyBorder="1" applyAlignment="1">
      <alignment horizontal="center"/>
    </xf>
    <xf numFmtId="170" fontId="27" fillId="0" borderId="14" xfId="4" applyNumberFormat="1" applyFont="1" applyBorder="1" applyAlignment="1">
      <alignment horizontal="center"/>
    </xf>
    <xf numFmtId="170" fontId="27" fillId="0" borderId="15" xfId="4" applyNumberFormat="1" applyFont="1" applyBorder="1" applyAlignment="1">
      <alignment horizontal="center"/>
    </xf>
    <xf numFmtId="170" fontId="27" fillId="0" borderId="3" xfId="4" applyNumberFormat="1" applyFont="1" applyBorder="1" applyAlignment="1">
      <alignment horizontal="center"/>
    </xf>
    <xf numFmtId="170" fontId="27" fillId="0" borderId="14" xfId="3" applyNumberFormat="1" applyFont="1" applyBorder="1" applyAlignment="1">
      <alignment horizontal="center"/>
    </xf>
    <xf numFmtId="170" fontId="27" fillId="0" borderId="15" xfId="3" applyNumberFormat="1" applyFont="1" applyBorder="1" applyAlignment="1">
      <alignment horizontal="center"/>
    </xf>
    <xf numFmtId="170" fontId="27" fillId="0" borderId="3" xfId="3" applyNumberFormat="1" applyFont="1" applyBorder="1" applyAlignment="1">
      <alignment horizontal="center"/>
    </xf>
    <xf numFmtId="170" fontId="27" fillId="0" borderId="8" xfId="4" applyNumberFormat="1" applyFont="1" applyBorder="1" applyAlignment="1">
      <alignment horizontal="center"/>
    </xf>
    <xf numFmtId="170" fontId="27" fillId="0" borderId="6" xfId="4" applyNumberFormat="1" applyFont="1" applyBorder="1" applyAlignment="1">
      <alignment horizontal="center"/>
    </xf>
    <xf numFmtId="170" fontId="27" fillId="0" borderId="9" xfId="4" applyNumberFormat="1" applyFont="1" applyBorder="1" applyAlignment="1">
      <alignment horizontal="center"/>
    </xf>
    <xf numFmtId="170" fontId="27" fillId="0" borderId="8" xfId="3" applyNumberFormat="1" applyFont="1" applyBorder="1" applyAlignment="1">
      <alignment horizontal="center"/>
    </xf>
    <xf numFmtId="170" fontId="27" fillId="0" borderId="6" xfId="3" applyNumberFormat="1" applyFont="1" applyBorder="1" applyAlignment="1">
      <alignment horizontal="center"/>
    </xf>
    <xf numFmtId="170" fontId="27" fillId="0" borderId="9" xfId="3" applyNumberFormat="1" applyFont="1" applyBorder="1" applyAlignment="1">
      <alignment horizontal="center"/>
    </xf>
    <xf numFmtId="170" fontId="27" fillId="0" borderId="10" xfId="4" applyNumberFormat="1" applyFont="1" applyBorder="1" applyAlignment="1">
      <alignment horizontal="center"/>
    </xf>
    <xf numFmtId="170" fontId="27" fillId="0" borderId="11" xfId="4" applyNumberFormat="1" applyFont="1" applyBorder="1" applyAlignment="1">
      <alignment horizontal="center"/>
    </xf>
    <xf numFmtId="170" fontId="27" fillId="0" borderId="5" xfId="4" applyNumberFormat="1" applyFont="1" applyBorder="1" applyAlignment="1">
      <alignment horizontal="center"/>
    </xf>
    <xf numFmtId="170" fontId="27" fillId="0" borderId="10" xfId="3" applyNumberFormat="1" applyFont="1" applyBorder="1" applyAlignment="1">
      <alignment horizontal="center"/>
    </xf>
    <xf numFmtId="170" fontId="27" fillId="0" borderId="11" xfId="3" applyNumberFormat="1" applyFont="1" applyBorder="1" applyAlignment="1">
      <alignment horizontal="center"/>
    </xf>
    <xf numFmtId="170" fontId="27" fillId="0" borderId="5" xfId="3" applyNumberFormat="1" applyFont="1" applyBorder="1" applyAlignment="1">
      <alignment horizontal="center"/>
    </xf>
    <xf numFmtId="171" fontId="27" fillId="0" borderId="8" xfId="6" applyFont="1" applyBorder="1" applyAlignment="1">
      <alignment horizontal="center"/>
    </xf>
    <xf numFmtId="171" fontId="27" fillId="0" borderId="6" xfId="6" applyFont="1" applyBorder="1" applyAlignment="1">
      <alignment horizontal="center"/>
    </xf>
    <xf numFmtId="171" fontId="27" fillId="0" borderId="9" xfId="6" applyFont="1" applyBorder="1" applyAlignment="1">
      <alignment horizontal="center"/>
    </xf>
    <xf numFmtId="171" fontId="27" fillId="0" borderId="10" xfId="6" applyFont="1" applyBorder="1" applyAlignment="1">
      <alignment horizontal="center"/>
    </xf>
    <xf numFmtId="171" fontId="27" fillId="0" borderId="11" xfId="6" applyFont="1" applyBorder="1" applyAlignment="1">
      <alignment horizontal="center"/>
    </xf>
    <xf numFmtId="171" fontId="27" fillId="0" borderId="5" xfId="6" applyFont="1" applyBorder="1" applyAlignment="1">
      <alignment horizontal="center"/>
    </xf>
    <xf numFmtId="0" fontId="67" fillId="0" borderId="0" xfId="3" applyFont="1"/>
    <xf numFmtId="0" fontId="67" fillId="0" borderId="0" xfId="3" applyFont="1" applyAlignment="1">
      <alignment horizontal="center"/>
    </xf>
    <xf numFmtId="0" fontId="67" fillId="0" borderId="0" xfId="7" applyFont="1" applyProtection="1">
      <protection locked="0"/>
    </xf>
    <xf numFmtId="167" fontId="68" fillId="0" borderId="0" xfId="7" applyNumberFormat="1" applyFont="1" applyProtection="1">
      <protection locked="0"/>
    </xf>
    <xf numFmtId="0" fontId="25" fillId="0" borderId="7" xfId="3" applyFont="1" applyBorder="1"/>
    <xf numFmtId="0" fontId="26" fillId="0" borderId="7" xfId="3" applyFont="1" applyBorder="1" applyAlignment="1">
      <alignment horizontal="center"/>
    </xf>
    <xf numFmtId="0" fontId="26" fillId="0" borderId="8" xfId="3" applyFont="1" applyBorder="1" applyAlignment="1">
      <alignment horizontal="center"/>
    </xf>
    <xf numFmtId="0" fontId="26" fillId="0" borderId="6" xfId="3" applyFont="1" applyBorder="1" applyAlignment="1">
      <alignment horizontal="center"/>
    </xf>
    <xf numFmtId="0" fontId="26" fillId="0" borderId="9" xfId="3" applyFont="1" applyBorder="1" applyAlignment="1">
      <alignment horizontal="center"/>
    </xf>
    <xf numFmtId="0" fontId="26" fillId="0" borderId="4" xfId="3" applyFont="1" applyBorder="1" applyAlignment="1">
      <alignment horizontal="center"/>
    </xf>
    <xf numFmtId="0" fontId="26" fillId="0" borderId="10" xfId="3" applyFont="1" applyBorder="1" applyAlignment="1">
      <alignment horizontal="center"/>
    </xf>
    <xf numFmtId="0" fontId="26" fillId="0" borderId="11" xfId="3" applyFont="1" applyBorder="1" applyAlignment="1">
      <alignment horizontal="center"/>
    </xf>
    <xf numFmtId="0" fontId="26" fillId="0" borderId="5" xfId="3" applyFont="1" applyBorder="1" applyAlignment="1">
      <alignment horizontal="center"/>
    </xf>
    <xf numFmtId="0" fontId="25" fillId="0" borderId="13" xfId="3" applyFont="1" applyBorder="1" applyAlignment="1">
      <alignment horizontal="center"/>
    </xf>
    <xf numFmtId="165" fontId="25" fillId="0" borderId="8" xfId="5" applyNumberFormat="1" applyFont="1" applyBorder="1" applyAlignment="1">
      <alignment horizontal="center"/>
    </xf>
    <xf numFmtId="165" fontId="25" fillId="0" borderId="6" xfId="5" applyNumberFormat="1" applyFont="1" applyBorder="1" applyAlignment="1">
      <alignment horizontal="center"/>
    </xf>
    <xf numFmtId="2" fontId="25" fillId="0" borderId="8" xfId="5" applyNumberFormat="1" applyFont="1" applyBorder="1" applyAlignment="1">
      <alignment horizontal="center"/>
    </xf>
    <xf numFmtId="2" fontId="25" fillId="8" borderId="6" xfId="5" applyNumberFormat="1" applyFont="1" applyFill="1" applyBorder="1" applyAlignment="1">
      <alignment horizontal="center"/>
    </xf>
    <xf numFmtId="2" fontId="25" fillId="0" borderId="6" xfId="5" applyNumberFormat="1" applyFont="1" applyBorder="1" applyAlignment="1">
      <alignment horizontal="center"/>
    </xf>
    <xf numFmtId="2" fontId="25" fillId="0" borderId="13" xfId="5" applyNumberFormat="1" applyFont="1" applyBorder="1" applyAlignment="1">
      <alignment horizontal="center"/>
    </xf>
    <xf numFmtId="2" fontId="25" fillId="0" borderId="16" xfId="5" applyNumberFormat="1" applyFont="1" applyBorder="1" applyAlignment="1">
      <alignment horizontal="center"/>
    </xf>
    <xf numFmtId="2" fontId="25" fillId="8" borderId="13" xfId="5" applyNumberFormat="1" applyFont="1" applyFill="1" applyBorder="1" applyAlignment="1">
      <alignment horizontal="center"/>
    </xf>
    <xf numFmtId="2" fontId="25" fillId="8" borderId="16" xfId="5" applyNumberFormat="1" applyFont="1" applyFill="1" applyBorder="1" applyAlignment="1">
      <alignment horizontal="center"/>
    </xf>
    <xf numFmtId="2" fontId="25" fillId="0" borderId="2" xfId="5" applyNumberFormat="1" applyFont="1" applyBorder="1" applyAlignment="1">
      <alignment horizontal="center"/>
    </xf>
    <xf numFmtId="165" fontId="25" fillId="0" borderId="13" xfId="5" applyNumberFormat="1" applyFont="1" applyBorder="1" applyAlignment="1">
      <alignment horizontal="center"/>
    </xf>
    <xf numFmtId="165" fontId="25" fillId="0" borderId="0" xfId="5" applyNumberFormat="1" applyFont="1" applyAlignment="1">
      <alignment horizontal="center"/>
    </xf>
    <xf numFmtId="165" fontId="25" fillId="0" borderId="16" xfId="5" applyNumberFormat="1" applyFont="1" applyBorder="1" applyAlignment="1">
      <alignment horizontal="center"/>
    </xf>
    <xf numFmtId="2" fontId="25" fillId="8" borderId="0" xfId="5" applyNumberFormat="1" applyFont="1" applyFill="1" applyAlignment="1">
      <alignment horizontal="center"/>
    </xf>
    <xf numFmtId="2" fontId="25" fillId="0" borderId="0" xfId="5" applyNumberFormat="1" applyFont="1" applyAlignment="1">
      <alignment horizontal="center"/>
    </xf>
    <xf numFmtId="0" fontId="25" fillId="0" borderId="1" xfId="3" applyFont="1" applyBorder="1"/>
    <xf numFmtId="0" fontId="25" fillId="0" borderId="1" xfId="3" applyFont="1" applyBorder="1" applyAlignment="1">
      <alignment horizontal="center"/>
    </xf>
    <xf numFmtId="165" fontId="25" fillId="0" borderId="14" xfId="5" applyNumberFormat="1" applyFont="1" applyBorder="1" applyAlignment="1">
      <alignment horizontal="center"/>
    </xf>
    <xf numFmtId="165" fontId="25" fillId="0" borderId="15" xfId="5" applyNumberFormat="1" applyFont="1" applyBorder="1" applyAlignment="1">
      <alignment horizontal="center"/>
    </xf>
    <xf numFmtId="165" fontId="25" fillId="0" borderId="3" xfId="5" applyNumberFormat="1" applyFont="1" applyBorder="1" applyAlignment="1">
      <alignment horizontal="center"/>
    </xf>
    <xf numFmtId="2" fontId="25" fillId="0" borderId="14" xfId="5" applyNumberFormat="1" applyFont="1" applyBorder="1" applyAlignment="1">
      <alignment horizontal="center"/>
    </xf>
    <xf numFmtId="2" fontId="25" fillId="8" borderId="15" xfId="5" applyNumberFormat="1" applyFont="1" applyFill="1" applyBorder="1" applyAlignment="1">
      <alignment horizontal="center"/>
    </xf>
    <xf numFmtId="2" fontId="25" fillId="0" borderId="15" xfId="5" applyNumberFormat="1" applyFont="1" applyBorder="1" applyAlignment="1">
      <alignment horizontal="center"/>
    </xf>
    <xf numFmtId="2" fontId="25" fillId="0" borderId="3" xfId="5" applyNumberFormat="1" applyFont="1" applyBorder="1" applyAlignment="1">
      <alignment horizontal="center"/>
    </xf>
    <xf numFmtId="2" fontId="25" fillId="8" borderId="14" xfId="5" applyNumberFormat="1" applyFont="1" applyFill="1" applyBorder="1" applyAlignment="1">
      <alignment horizontal="center"/>
    </xf>
    <xf numFmtId="2" fontId="25" fillId="8" borderId="3" xfId="5" applyNumberFormat="1" applyFont="1" applyFill="1" applyBorder="1" applyAlignment="1">
      <alignment horizontal="center"/>
    </xf>
    <xf numFmtId="2" fontId="25" fillId="0" borderId="1" xfId="5" applyNumberFormat="1" applyFont="1" applyBorder="1" applyAlignment="1">
      <alignment horizontal="center"/>
    </xf>
    <xf numFmtId="167" fontId="27" fillId="0" borderId="8" xfId="6" applyNumberFormat="1" applyFont="1" applyBorder="1" applyAlignment="1">
      <alignment horizontal="center"/>
    </xf>
    <xf numFmtId="167" fontId="27" fillId="0" borderId="6" xfId="6" applyNumberFormat="1" applyFont="1" applyBorder="1" applyAlignment="1">
      <alignment horizontal="center"/>
    </xf>
    <xf numFmtId="167" fontId="27" fillId="0" borderId="9" xfId="6" applyNumberFormat="1" applyFont="1" applyBorder="1" applyAlignment="1">
      <alignment horizontal="center"/>
    </xf>
    <xf numFmtId="167" fontId="27" fillId="0" borderId="10" xfId="6" applyNumberFormat="1" applyFont="1" applyBorder="1" applyAlignment="1">
      <alignment horizontal="center"/>
    </xf>
    <xf numFmtId="167" fontId="27" fillId="0" borderId="11" xfId="6" applyNumberFormat="1" applyFont="1" applyBorder="1" applyAlignment="1">
      <alignment horizontal="center"/>
    </xf>
    <xf numFmtId="167" fontId="27" fillId="0" borderId="5" xfId="6" applyNumberFormat="1" applyFont="1" applyBorder="1" applyAlignment="1">
      <alignment horizontal="center"/>
    </xf>
    <xf numFmtId="0" fontId="44" fillId="13" borderId="1" xfId="3" applyFont="1" applyFill="1" applyBorder="1"/>
    <xf numFmtId="0" fontId="50" fillId="23" borderId="7" xfId="3" applyFont="1" applyFill="1" applyBorder="1" applyAlignment="1">
      <alignment wrapText="1"/>
    </xf>
    <xf numFmtId="0" fontId="50" fillId="23" borderId="1" xfId="3" applyFont="1" applyFill="1" applyBorder="1"/>
    <xf numFmtId="2" fontId="50" fillId="24" borderId="1" xfId="3" applyNumberFormat="1" applyFont="1" applyFill="1" applyBorder="1"/>
    <xf numFmtId="0" fontId="16" fillId="25" borderId="17" xfId="0" applyFont="1" applyFill="1" applyBorder="1"/>
    <xf numFmtId="3" fontId="16" fillId="25" borderId="0" xfId="0" applyNumberFormat="1" applyFont="1" applyFill="1"/>
    <xf numFmtId="3" fontId="16" fillId="25" borderId="18" xfId="0" applyNumberFormat="1" applyFont="1" applyFill="1" applyBorder="1"/>
    <xf numFmtId="0" fontId="16" fillId="25" borderId="0" xfId="0" applyFont="1" applyFill="1"/>
    <xf numFmtId="2" fontId="16" fillId="25" borderId="0" xfId="0" applyNumberFormat="1" applyFont="1" applyFill="1"/>
    <xf numFmtId="2" fontId="16" fillId="25" borderId="18" xfId="0" applyNumberFormat="1" applyFont="1" applyFill="1" applyBorder="1"/>
    <xf numFmtId="0" fontId="16" fillId="25" borderId="18" xfId="0" applyFont="1" applyFill="1" applyBorder="1"/>
    <xf numFmtId="3" fontId="53" fillId="0" borderId="18" xfId="0" applyNumberFormat="1" applyFont="1" applyBorder="1"/>
    <xf numFmtId="164" fontId="16" fillId="25" borderId="0" xfId="11" applyNumberFormat="1" applyFont="1" applyFill="1" applyBorder="1"/>
    <xf numFmtId="164" fontId="16" fillId="25" borderId="18" xfId="11" applyNumberFormat="1" applyFont="1" applyFill="1" applyBorder="1"/>
    <xf numFmtId="0" fontId="53" fillId="25" borderId="17" xfId="0" applyFont="1" applyFill="1" applyBorder="1"/>
    <xf numFmtId="164" fontId="53" fillId="25" borderId="0" xfId="11" applyNumberFormat="1" applyFont="1" applyFill="1" applyBorder="1"/>
    <xf numFmtId="164" fontId="53" fillId="25" borderId="18" xfId="11" applyNumberFormat="1" applyFont="1" applyFill="1" applyBorder="1"/>
    <xf numFmtId="4" fontId="53" fillId="0" borderId="0" xfId="0" applyNumberFormat="1" applyFont="1"/>
    <xf numFmtId="0" fontId="61" fillId="25" borderId="17" xfId="0" applyFont="1" applyFill="1" applyBorder="1" applyAlignment="1">
      <alignment horizontal="left" vertical="center" wrapText="1" indent="1" readingOrder="1"/>
    </xf>
    <xf numFmtId="10" fontId="61" fillId="25" borderId="0" xfId="1" applyNumberFormat="1" applyFont="1" applyFill="1" applyBorder="1" applyAlignment="1">
      <alignment horizontal="left" vertical="center" wrapText="1" indent="1" readingOrder="1"/>
    </xf>
    <xf numFmtId="10" fontId="16" fillId="25" borderId="0" xfId="0" applyNumberFormat="1" applyFont="1" applyFill="1"/>
    <xf numFmtId="10" fontId="16" fillId="25" borderId="18" xfId="0" applyNumberFormat="1" applyFont="1" applyFill="1" applyBorder="1"/>
    <xf numFmtId="0" fontId="61" fillId="25" borderId="0" xfId="0" applyFont="1" applyFill="1" applyAlignment="1">
      <alignment horizontal="left" vertical="center" wrapText="1" indent="1" readingOrder="1"/>
    </xf>
    <xf numFmtId="0" fontId="63" fillId="25" borderId="0" xfId="0" applyFont="1" applyFill="1"/>
    <xf numFmtId="0" fontId="63" fillId="25" borderId="18" xfId="0" applyFont="1" applyFill="1" applyBorder="1"/>
    <xf numFmtId="3" fontId="61" fillId="25" borderId="0" xfId="0" applyNumberFormat="1" applyFont="1" applyFill="1" applyAlignment="1">
      <alignment horizontal="left" vertical="center" wrapText="1" indent="1" readingOrder="1"/>
    </xf>
    <xf numFmtId="174" fontId="16" fillId="25" borderId="0" xfId="11" applyNumberFormat="1" applyFont="1" applyFill="1" applyBorder="1"/>
    <xf numFmtId="174" fontId="16" fillId="25" borderId="18" xfId="11" applyNumberFormat="1" applyFont="1" applyFill="1" applyBorder="1"/>
    <xf numFmtId="165" fontId="16" fillId="25" borderId="0" xfId="1" applyNumberFormat="1" applyFont="1" applyFill="1" applyBorder="1"/>
    <xf numFmtId="9" fontId="16" fillId="25" borderId="0" xfId="0" applyNumberFormat="1" applyFont="1" applyFill="1"/>
    <xf numFmtId="9" fontId="16" fillId="25" borderId="18" xfId="0" applyNumberFormat="1" applyFont="1" applyFill="1" applyBorder="1"/>
    <xf numFmtId="0" fontId="69" fillId="0" borderId="17" xfId="0" applyFont="1" applyBorder="1" applyAlignment="1">
      <alignment horizontal="left" vertical="center" wrapText="1" indent="1" readingOrder="1"/>
    </xf>
    <xf numFmtId="0" fontId="69" fillId="0" borderId="0" xfId="0" applyFont="1" applyAlignment="1">
      <alignment horizontal="left" vertical="center" wrapText="1" indent="1" readingOrder="1"/>
    </xf>
    <xf numFmtId="174" fontId="53" fillId="0" borderId="0" xfId="11" applyNumberFormat="1" applyFont="1" applyBorder="1"/>
    <xf numFmtId="174" fontId="53" fillId="0" borderId="18" xfId="11" applyNumberFormat="1" applyFont="1" applyBorder="1"/>
    <xf numFmtId="0" fontId="59" fillId="25" borderId="17" xfId="0" applyFont="1" applyFill="1" applyBorder="1"/>
    <xf numFmtId="175" fontId="16" fillId="25" borderId="0" xfId="0" applyNumberFormat="1" applyFont="1" applyFill="1"/>
    <xf numFmtId="175" fontId="16" fillId="25" borderId="18" xfId="0" applyNumberFormat="1" applyFont="1" applyFill="1" applyBorder="1"/>
    <xf numFmtId="4" fontId="16" fillId="25" borderId="18" xfId="0" applyNumberFormat="1" applyFont="1" applyFill="1" applyBorder="1"/>
    <xf numFmtId="166" fontId="16" fillId="25" borderId="0" xfId="0" applyNumberFormat="1" applyFont="1" applyFill="1"/>
    <xf numFmtId="166" fontId="16" fillId="25" borderId="18" xfId="0" applyNumberFormat="1" applyFont="1" applyFill="1" applyBorder="1"/>
    <xf numFmtId="0" fontId="53" fillId="25" borderId="0" xfId="0" applyFont="1" applyFill="1"/>
    <xf numFmtId="2" fontId="53" fillId="25" borderId="0" xfId="0" applyNumberFormat="1" applyFont="1" applyFill="1"/>
    <xf numFmtId="2" fontId="53" fillId="25" borderId="18" xfId="0" applyNumberFormat="1" applyFont="1" applyFill="1" applyBorder="1"/>
    <xf numFmtId="175" fontId="53" fillId="0" borderId="18" xfId="0" applyNumberFormat="1" applyFont="1" applyBorder="1"/>
    <xf numFmtId="175" fontId="53" fillId="25" borderId="18" xfId="0" applyNumberFormat="1" applyFont="1" applyFill="1" applyBorder="1"/>
    <xf numFmtId="0" fontId="56" fillId="25" borderId="35" xfId="0" applyFont="1" applyFill="1" applyBorder="1"/>
    <xf numFmtId="0" fontId="56" fillId="25" borderId="5" xfId="0" applyFont="1" applyFill="1" applyBorder="1"/>
    <xf numFmtId="2" fontId="56" fillId="25" borderId="5" xfId="0" applyNumberFormat="1" applyFont="1" applyFill="1" applyBorder="1"/>
    <xf numFmtId="0" fontId="55" fillId="25" borderId="17" xfId="0" applyFont="1" applyFill="1" applyBorder="1" applyAlignment="1">
      <alignment vertical="center" wrapText="1"/>
    </xf>
    <xf numFmtId="166" fontId="56" fillId="25" borderId="0" xfId="0" applyNumberFormat="1" applyFont="1" applyFill="1"/>
    <xf numFmtId="165" fontId="56" fillId="25" borderId="0" xfId="1" applyNumberFormat="1" applyFont="1" applyFill="1" applyBorder="1"/>
    <xf numFmtId="165" fontId="56" fillId="25" borderId="18" xfId="1" applyNumberFormat="1" applyFont="1" applyFill="1" applyBorder="1"/>
    <xf numFmtId="2" fontId="56" fillId="25" borderId="0" xfId="0" applyNumberFormat="1" applyFont="1" applyFill="1"/>
    <xf numFmtId="166" fontId="56" fillId="25" borderId="18" xfId="0" applyNumberFormat="1" applyFont="1" applyFill="1" applyBorder="1"/>
    <xf numFmtId="0" fontId="55" fillId="25" borderId="19" xfId="0" applyFont="1" applyFill="1" applyBorder="1" applyAlignment="1">
      <alignment vertical="center" wrapText="1"/>
    </xf>
    <xf numFmtId="166" fontId="56" fillId="25" borderId="20" xfId="0" applyNumberFormat="1" applyFont="1" applyFill="1" applyBorder="1"/>
    <xf numFmtId="166" fontId="56" fillId="25" borderId="21" xfId="0" applyNumberFormat="1" applyFont="1" applyFill="1" applyBorder="1"/>
    <xf numFmtId="0" fontId="16" fillId="25" borderId="17" xfId="0" applyFont="1" applyFill="1" applyBorder="1" applyAlignment="1">
      <alignment vertical="center" wrapText="1"/>
    </xf>
    <xf numFmtId="1" fontId="16" fillId="25" borderId="0" xfId="0" applyNumberFormat="1" applyFont="1" applyFill="1"/>
    <xf numFmtId="1" fontId="16" fillId="25" borderId="18" xfId="0" applyNumberFormat="1" applyFont="1" applyFill="1" applyBorder="1"/>
    <xf numFmtId="0" fontId="53" fillId="25" borderId="17" xfId="0" applyFont="1" applyFill="1" applyBorder="1" applyAlignment="1">
      <alignment vertical="center" wrapText="1"/>
    </xf>
    <xf numFmtId="0" fontId="16" fillId="25" borderId="37" xfId="0" applyFont="1" applyFill="1" applyBorder="1" applyAlignment="1">
      <alignment horizontal="left"/>
    </xf>
    <xf numFmtId="0" fontId="16" fillId="25" borderId="1" xfId="0" applyFont="1" applyFill="1" applyBorder="1" applyAlignment="1">
      <alignment horizontal="center"/>
    </xf>
    <xf numFmtId="1" fontId="16" fillId="25" borderId="1" xfId="0" applyNumberFormat="1" applyFont="1" applyFill="1" applyBorder="1" applyAlignment="1">
      <alignment horizontal="center"/>
    </xf>
    <xf numFmtId="1" fontId="16" fillId="25" borderId="38" xfId="0" applyNumberFormat="1" applyFont="1" applyFill="1" applyBorder="1" applyAlignment="1">
      <alignment horizontal="center"/>
    </xf>
    <xf numFmtId="0" fontId="16" fillId="25" borderId="0" xfId="0" applyFont="1" applyFill="1" applyAlignment="1">
      <alignment horizontal="right" vertical="center" wrapText="1"/>
    </xf>
    <xf numFmtId="0" fontId="53" fillId="25" borderId="0" xfId="0" applyFont="1" applyFill="1" applyAlignment="1">
      <alignment horizontal="right" vertical="center" wrapText="1"/>
    </xf>
    <xf numFmtId="0" fontId="16" fillId="25" borderId="18" xfId="0" applyFont="1" applyFill="1" applyBorder="1" applyAlignment="1">
      <alignment horizontal="right" vertical="center" wrapText="1"/>
    </xf>
    <xf numFmtId="0" fontId="20" fillId="18" borderId="48" xfId="0" applyFont="1" applyFill="1" applyBorder="1"/>
    <xf numFmtId="8" fontId="22" fillId="18" borderId="49" xfId="0" applyNumberFormat="1" applyFont="1" applyFill="1" applyBorder="1"/>
    <xf numFmtId="0" fontId="20" fillId="19" borderId="50" xfId="0" applyFont="1" applyFill="1" applyBorder="1"/>
    <xf numFmtId="167" fontId="20" fillId="19" borderId="51" xfId="0" applyNumberFormat="1" applyFont="1" applyFill="1" applyBorder="1"/>
    <xf numFmtId="0" fontId="20" fillId="21" borderId="50" xfId="0" applyFont="1" applyFill="1" applyBorder="1"/>
    <xf numFmtId="10" fontId="20" fillId="21" borderId="51" xfId="0" applyNumberFormat="1" applyFont="1" applyFill="1" applyBorder="1"/>
    <xf numFmtId="0" fontId="20" fillId="21" borderId="52" xfId="0" applyFont="1" applyFill="1" applyBorder="1"/>
    <xf numFmtId="10" fontId="20" fillId="21" borderId="53" xfId="0" applyNumberFormat="1" applyFont="1" applyFill="1" applyBorder="1"/>
    <xf numFmtId="0" fontId="19" fillId="22" borderId="22" xfId="0" applyFont="1" applyFill="1" applyBorder="1" applyAlignment="1">
      <alignment wrapText="1"/>
    </xf>
    <xf numFmtId="0" fontId="20" fillId="0" borderId="17" xfId="0" applyFont="1" applyBorder="1" applyAlignment="1">
      <alignment wrapText="1"/>
    </xf>
    <xf numFmtId="0" fontId="19" fillId="22" borderId="17" xfId="0" applyFont="1" applyFill="1" applyBorder="1" applyAlignment="1">
      <alignment wrapText="1"/>
    </xf>
    <xf numFmtId="0" fontId="20" fillId="9" borderId="17" xfId="0" applyFont="1" applyFill="1" applyBorder="1" applyAlignment="1">
      <alignment wrapText="1"/>
    </xf>
    <xf numFmtId="0" fontId="20" fillId="9" borderId="19" xfId="0" applyFont="1" applyFill="1" applyBorder="1"/>
    <xf numFmtId="0" fontId="19" fillId="22" borderId="24" xfId="0" applyFont="1" applyFill="1" applyBorder="1"/>
    <xf numFmtId="0" fontId="20" fillId="0" borderId="18" xfId="0" applyFont="1" applyBorder="1"/>
    <xf numFmtId="0" fontId="19" fillId="22" borderId="18" xfId="0" applyFont="1" applyFill="1" applyBorder="1"/>
    <xf numFmtId="0" fontId="21" fillId="16" borderId="18" xfId="0" applyFont="1" applyFill="1" applyBorder="1" applyAlignment="1">
      <alignment horizontal="center"/>
    </xf>
    <xf numFmtId="0" fontId="21" fillId="16" borderId="21" xfId="0" applyFont="1" applyFill="1" applyBorder="1" applyAlignment="1">
      <alignment horizontal="center"/>
    </xf>
    <xf numFmtId="0" fontId="19" fillId="22" borderId="54" xfId="0" applyFont="1" applyFill="1" applyBorder="1" applyAlignment="1">
      <alignment wrapText="1"/>
    </xf>
    <xf numFmtId="0" fontId="19" fillId="22" borderId="55" xfId="0" applyFont="1" applyFill="1" applyBorder="1"/>
    <xf numFmtId="0" fontId="23" fillId="20" borderId="56" xfId="0" applyFont="1" applyFill="1" applyBorder="1" applyAlignment="1">
      <alignment wrapText="1"/>
    </xf>
    <xf numFmtId="0" fontId="20" fillId="9" borderId="57" xfId="0" applyFont="1" applyFill="1" applyBorder="1" applyAlignment="1">
      <alignment horizontal="center"/>
    </xf>
    <xf numFmtId="0" fontId="23" fillId="20" borderId="58" xfId="0" applyFont="1" applyFill="1" applyBorder="1" applyAlignment="1">
      <alignment wrapText="1"/>
    </xf>
    <xf numFmtId="0" fontId="20" fillId="9" borderId="59" xfId="0" applyFont="1" applyFill="1" applyBorder="1" applyAlignment="1">
      <alignment horizontal="center"/>
    </xf>
    <xf numFmtId="0" fontId="17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0" fontId="56" fillId="0" borderId="60" xfId="0" applyFont="1" applyBorder="1"/>
    <xf numFmtId="0" fontId="56" fillId="0" borderId="16" xfId="0" applyFont="1" applyBorder="1"/>
    <xf numFmtId="2" fontId="56" fillId="0" borderId="16" xfId="0" applyNumberFormat="1" applyFont="1" applyBorder="1"/>
    <xf numFmtId="0" fontId="55" fillId="0" borderId="39" xfId="0" applyFont="1" applyBorder="1"/>
    <xf numFmtId="0" fontId="55" fillId="0" borderId="61" xfId="0" applyFont="1" applyBorder="1"/>
    <xf numFmtId="0" fontId="55" fillId="0" borderId="45" xfId="0" applyFont="1" applyBorder="1"/>
    <xf numFmtId="0" fontId="16" fillId="0" borderId="62" xfId="0" applyFont="1" applyBorder="1" applyAlignment="1">
      <alignment horizontal="left"/>
    </xf>
    <xf numFmtId="0" fontId="16" fillId="0" borderId="7" xfId="0" applyFont="1" applyBorder="1" applyAlignment="1">
      <alignment horizontal="center"/>
    </xf>
    <xf numFmtId="1" fontId="16" fillId="0" borderId="7" xfId="0" applyNumberFormat="1" applyFont="1" applyBorder="1" applyAlignment="1">
      <alignment horizontal="center"/>
    </xf>
    <xf numFmtId="0" fontId="16" fillId="0" borderId="47" xfId="0" applyFont="1" applyBorder="1"/>
    <xf numFmtId="0" fontId="16" fillId="25" borderId="47" xfId="0" applyFont="1" applyFill="1" applyBorder="1"/>
    <xf numFmtId="175" fontId="53" fillId="0" borderId="0" xfId="0" applyNumberFormat="1" applyFont="1"/>
    <xf numFmtId="4" fontId="16" fillId="25" borderId="0" xfId="0" applyNumberFormat="1" applyFont="1" applyFill="1"/>
    <xf numFmtId="3" fontId="53" fillId="25" borderId="0" xfId="0" applyNumberFormat="1" applyFont="1" applyFill="1"/>
    <xf numFmtId="175" fontId="53" fillId="25" borderId="0" xfId="0" applyNumberFormat="1" applyFont="1" applyFill="1"/>
    <xf numFmtId="3" fontId="69" fillId="0" borderId="0" xfId="0" applyNumberFormat="1" applyFont="1" applyAlignment="1">
      <alignment horizontal="left" vertical="center" wrapText="1" indent="1" readingOrder="1"/>
    </xf>
    <xf numFmtId="0" fontId="53" fillId="0" borderId="17" xfId="0" applyFont="1" applyBorder="1" applyAlignment="1">
      <alignment horizontal="left"/>
    </xf>
    <xf numFmtId="164" fontId="16" fillId="25" borderId="11" xfId="11" applyNumberFormat="1" applyFont="1" applyFill="1" applyBorder="1"/>
    <xf numFmtId="164" fontId="16" fillId="25" borderId="36" xfId="11" applyNumberFormat="1" applyFont="1" applyFill="1" applyBorder="1"/>
    <xf numFmtId="164" fontId="16" fillId="0" borderId="11" xfId="11" applyNumberFormat="1" applyFont="1" applyBorder="1"/>
    <xf numFmtId="164" fontId="16" fillId="0" borderId="11" xfId="11" applyNumberFormat="1" applyFont="1" applyFill="1" applyBorder="1"/>
    <xf numFmtId="164" fontId="16" fillId="0" borderId="36" xfId="11" applyNumberFormat="1" applyFont="1" applyBorder="1"/>
    <xf numFmtId="164" fontId="53" fillId="0" borderId="26" xfId="11" applyNumberFormat="1" applyFont="1" applyBorder="1"/>
    <xf numFmtId="164" fontId="53" fillId="0" borderId="26" xfId="11" applyNumberFormat="1" applyFont="1" applyFill="1" applyBorder="1"/>
    <xf numFmtId="164" fontId="53" fillId="0" borderId="45" xfId="11" applyNumberFormat="1" applyFont="1" applyBorder="1"/>
    <xf numFmtId="0" fontId="62" fillId="0" borderId="19" xfId="0" applyFont="1" applyBorder="1" applyAlignment="1">
      <alignment horizontal="left" vertical="center" wrapText="1" indent="1" readingOrder="1"/>
    </xf>
    <xf numFmtId="0" fontId="62" fillId="0" borderId="20" xfId="0" applyFont="1" applyBorder="1" applyAlignment="1">
      <alignment horizontal="left" vertical="center" wrapText="1" indent="1" readingOrder="1"/>
    </xf>
    <xf numFmtId="3" fontId="62" fillId="0" borderId="20" xfId="0" applyNumberFormat="1" applyFont="1" applyBorder="1" applyAlignment="1">
      <alignment horizontal="left" vertical="center" wrapText="1" indent="1" readingOrder="1"/>
    </xf>
    <xf numFmtId="3" fontId="62" fillId="0" borderId="20" xfId="0" applyNumberFormat="1" applyFont="1" applyBorder="1" applyAlignment="1">
      <alignment vertical="center" wrapText="1" readingOrder="1"/>
    </xf>
    <xf numFmtId="2" fontId="53" fillId="0" borderId="20" xfId="0" applyNumberFormat="1" applyFont="1" applyBorder="1"/>
    <xf numFmtId="2" fontId="53" fillId="0" borderId="21" xfId="0" applyNumberFormat="1" applyFont="1" applyBorder="1"/>
    <xf numFmtId="2" fontId="64" fillId="0" borderId="20" xfId="0" applyNumberFormat="1" applyFont="1" applyBorder="1"/>
    <xf numFmtId="2" fontId="64" fillId="0" borderId="21" xfId="0" applyNumberFormat="1" applyFont="1" applyBorder="1"/>
    <xf numFmtId="1" fontId="16" fillId="0" borderId="63" xfId="0" applyNumberFormat="1" applyFont="1" applyBorder="1" applyAlignment="1">
      <alignment horizontal="center"/>
    </xf>
    <xf numFmtId="2" fontId="56" fillId="25" borderId="36" xfId="0" applyNumberFormat="1" applyFont="1" applyFill="1" applyBorder="1"/>
    <xf numFmtId="2" fontId="56" fillId="0" borderId="36" xfId="0" applyNumberFormat="1" applyFont="1" applyBorder="1"/>
    <xf numFmtId="2" fontId="56" fillId="0" borderId="18" xfId="0" applyNumberFormat="1" applyFont="1" applyBorder="1"/>
    <xf numFmtId="3" fontId="53" fillId="0" borderId="21" xfId="0" applyNumberFormat="1" applyFont="1" applyBorder="1"/>
    <xf numFmtId="167" fontId="0" fillId="0" borderId="0" xfId="0" applyNumberFormat="1"/>
    <xf numFmtId="0" fontId="40" fillId="9" borderId="0" xfId="0" applyFont="1" applyFill="1"/>
    <xf numFmtId="0" fontId="45" fillId="0" borderId="0" xfId="0" applyFont="1"/>
    <xf numFmtId="10" fontId="40" fillId="9" borderId="0" xfId="0" applyNumberFormat="1" applyFont="1" applyFill="1"/>
    <xf numFmtId="10" fontId="49" fillId="0" borderId="0" xfId="10" applyNumberFormat="1" applyFont="1" applyBorder="1"/>
    <xf numFmtId="10" fontId="38" fillId="0" borderId="0" xfId="0" applyNumberFormat="1" applyFont="1"/>
    <xf numFmtId="0" fontId="44" fillId="14" borderId="0" xfId="0" applyFont="1" applyFill="1"/>
    <xf numFmtId="0" fontId="43" fillId="14" borderId="0" xfId="0" applyFont="1" applyFill="1"/>
    <xf numFmtId="8" fontId="40" fillId="9" borderId="0" xfId="0" applyNumberFormat="1" applyFont="1" applyFill="1"/>
    <xf numFmtId="176" fontId="45" fillId="0" borderId="0" xfId="0" applyNumberFormat="1" applyFont="1"/>
    <xf numFmtId="2" fontId="38" fillId="0" borderId="0" xfId="0" applyNumberFormat="1" applyFont="1"/>
    <xf numFmtId="8" fontId="37" fillId="0" borderId="0" xfId="0" applyNumberFormat="1" applyFont="1"/>
    <xf numFmtId="2" fontId="40" fillId="9" borderId="0" xfId="0" applyNumberFormat="1" applyFont="1" applyFill="1"/>
    <xf numFmtId="10" fontId="37" fillId="0" borderId="0" xfId="0" applyNumberFormat="1" applyFont="1"/>
    <xf numFmtId="0" fontId="38" fillId="12" borderId="0" xfId="0" applyFont="1" applyFill="1"/>
    <xf numFmtId="10" fontId="38" fillId="12" borderId="0" xfId="0" applyNumberFormat="1" applyFont="1" applyFill="1"/>
    <xf numFmtId="0" fontId="26" fillId="0" borderId="0" xfId="9" applyFont="1" applyAlignment="1">
      <alignment horizontal="center"/>
    </xf>
    <xf numFmtId="0" fontId="16" fillId="0" borderId="0" xfId="0" applyFont="1" applyAlignment="1">
      <alignment horizontal="center"/>
    </xf>
    <xf numFmtId="0" fontId="53" fillId="0" borderId="20" xfId="0" applyFont="1" applyBorder="1" applyAlignment="1">
      <alignment horizontal="center"/>
    </xf>
    <xf numFmtId="3" fontId="53" fillId="0" borderId="20" xfId="0" applyNumberFormat="1" applyFont="1" applyBorder="1" applyAlignment="1">
      <alignment horizontal="center"/>
    </xf>
    <xf numFmtId="0" fontId="57" fillId="11" borderId="0" xfId="0" applyFont="1" applyFill="1" applyAlignment="1">
      <alignment horizontal="center"/>
    </xf>
  </cellXfs>
  <cellStyles count="12">
    <cellStyle name="Comma" xfId="11" builtinId="3"/>
    <cellStyle name="Comma 2" xfId="4" xr:uid="{AC2D14A2-B43D-4FBF-9283-F60C62C89C13}"/>
    <cellStyle name="Currency 2" xfId="6" xr:uid="{706F5712-BE48-4822-80F2-9554199AF762}"/>
    <cellStyle name="Hyperlink" xfId="2" builtinId="8"/>
    <cellStyle name="Hyperlink 2" xfId="8" xr:uid="{9364305E-DF91-4CB3-94BC-CEF0CE1DC4ED}"/>
    <cellStyle name="Normal" xfId="0" builtinId="0"/>
    <cellStyle name="Normal 2" xfId="3" xr:uid="{65CA88E9-CF95-45DF-8001-7195E4E73320}"/>
    <cellStyle name="Normal 3" xfId="9" xr:uid="{6FE76BDC-30AB-4CBC-9346-91F24F90D40E}"/>
    <cellStyle name="Normal_PiranhaWeb Comps Model 3" xfId="7" xr:uid="{8A709A6A-04D9-4063-9431-9E2635878BD6}"/>
    <cellStyle name="Percent" xfId="1" builtinId="5"/>
    <cellStyle name="Percent 2" xfId="10" xr:uid="{17BA00E9-9F37-4A23-8DA8-D7882BD189C2}"/>
    <cellStyle name="Percent 3" xfId="5" xr:uid="{35A92E6E-3840-4F25-B6B3-3F975CDD6725}"/>
  </cellStyles>
  <dxfs count="6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0/relationships/richValueRel" Target="richData/richValueRel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Metal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Revenue!$A$4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rgbClr val="FFD700"/>
            </a:solidFill>
            <a:ln>
              <a:noFill/>
            </a:ln>
            <a:effectLst/>
          </c:spPr>
          <c:invertIfNegative val="0"/>
          <c:cat>
            <c:strRef>
              <c:f>Revenue!$B$3:$L$3</c:f>
              <c:strCach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2025A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  <c:pt idx="9">
                  <c:v>2029E</c:v>
                </c:pt>
                <c:pt idx="10">
                  <c:v>2030E</c:v>
                </c:pt>
              </c:strCache>
            </c:strRef>
          </c:cat>
          <c:val>
            <c:numRef>
              <c:f>Revenue!$B$4:$L$4</c:f>
              <c:numCache>
                <c:formatCode>General</c:formatCode>
                <c:ptCount val="11"/>
                <c:pt idx="0">
                  <c:v>10350</c:v>
                </c:pt>
                <c:pt idx="1">
                  <c:v>10543</c:v>
                </c:pt>
                <c:pt idx="2">
                  <c:v>10416</c:v>
                </c:pt>
                <c:pt idx="3">
                  <c:v>10593</c:v>
                </c:pt>
                <c:pt idx="4">
                  <c:v>15746</c:v>
                </c:pt>
                <c:pt idx="5" formatCode="0">
                  <c:v>19304</c:v>
                </c:pt>
                <c:pt idx="6" formatCode="0">
                  <c:v>23141.774999999998</c:v>
                </c:pt>
                <c:pt idx="7" formatCode="0">
                  <c:v>26579.621906666664</c:v>
                </c:pt>
                <c:pt idx="8" formatCode="0">
                  <c:v>27584.599759749999</c:v>
                </c:pt>
                <c:pt idx="9" formatCode="0">
                  <c:v>28482.751847494335</c:v>
                </c:pt>
                <c:pt idx="10" formatCode="0">
                  <c:v>29245.009135484819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A-4738-909F-D01C6AB63339}"/>
            </c:ext>
          </c:extLst>
        </c:ser>
        <c:ser>
          <c:idx val="1"/>
          <c:order val="1"/>
          <c:tx>
            <c:strRef>
              <c:f>Revenue!$A$5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rgbClr val="C0C0C0"/>
            </a:solidFill>
            <a:ln>
              <a:noFill/>
            </a:ln>
            <a:effectLst/>
          </c:spPr>
          <c:invertIfNegative val="0"/>
          <c:cat>
            <c:strRef>
              <c:f>Revenue!$B$3:$L$3</c:f>
              <c:strCach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2025A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  <c:pt idx="9">
                  <c:v>2029E</c:v>
                </c:pt>
                <c:pt idx="10">
                  <c:v>2030E</c:v>
                </c:pt>
              </c:strCache>
            </c:strRef>
          </c:cat>
          <c:val>
            <c:numRef>
              <c:f>Revenue!$B$5:$L$5</c:f>
              <c:numCache>
                <c:formatCode>General</c:formatCode>
                <c:ptCount val="11"/>
                <c:pt idx="0">
                  <c:v>510</c:v>
                </c:pt>
                <c:pt idx="1">
                  <c:v>651</c:v>
                </c:pt>
                <c:pt idx="2">
                  <c:v>549</c:v>
                </c:pt>
                <c:pt idx="3">
                  <c:v>335</c:v>
                </c:pt>
                <c:pt idx="4">
                  <c:v>792</c:v>
                </c:pt>
                <c:pt idx="5" formatCode="0">
                  <c:v>1080</c:v>
                </c:pt>
                <c:pt idx="6" formatCode="0">
                  <c:v>2464</c:v>
                </c:pt>
                <c:pt idx="7" formatCode="0">
                  <c:v>2100</c:v>
                </c:pt>
                <c:pt idx="8" formatCode="0">
                  <c:v>2129.6800000000003</c:v>
                </c:pt>
                <c:pt idx="9" formatCode="0">
                  <c:v>2213.3720000000003</c:v>
                </c:pt>
                <c:pt idx="10" formatCode="0">
                  <c:v>2233.84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5A-4738-909F-D01C6AB63339}"/>
            </c:ext>
          </c:extLst>
        </c:ser>
        <c:ser>
          <c:idx val="2"/>
          <c:order val="2"/>
          <c:tx>
            <c:strRef>
              <c:f>Revenue!$A$6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rgbClr val="B87333"/>
            </a:solidFill>
            <a:ln>
              <a:noFill/>
            </a:ln>
            <a:effectLst/>
          </c:spPr>
          <c:invertIfNegative val="0"/>
          <c:cat>
            <c:strRef>
              <c:f>Revenue!$B$3:$L$3</c:f>
              <c:strCach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2025A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  <c:pt idx="9">
                  <c:v>2029E</c:v>
                </c:pt>
                <c:pt idx="10">
                  <c:v>2030E</c:v>
                </c:pt>
              </c:strCache>
            </c:strRef>
          </c:cat>
          <c:val>
            <c:numRef>
              <c:f>Revenue!$B$6:$L$6</c:f>
              <c:numCache>
                <c:formatCode>General</c:formatCode>
                <c:ptCount val="11"/>
                <c:pt idx="0">
                  <c:v>155</c:v>
                </c:pt>
                <c:pt idx="1">
                  <c:v>295</c:v>
                </c:pt>
                <c:pt idx="2">
                  <c:v>316</c:v>
                </c:pt>
                <c:pt idx="3">
                  <c:v>575</c:v>
                </c:pt>
                <c:pt idx="4">
                  <c:v>1327</c:v>
                </c:pt>
                <c:pt idx="5" formatCode="0">
                  <c:v>1438</c:v>
                </c:pt>
                <c:pt idx="6" formatCode="0">
                  <c:v>1255.5</c:v>
                </c:pt>
                <c:pt idx="7" formatCode="0">
                  <c:v>1894.0880000000002</c:v>
                </c:pt>
                <c:pt idx="8" formatCode="0">
                  <c:v>1964.3066666666668</c:v>
                </c:pt>
                <c:pt idx="9" formatCode="0">
                  <c:v>2137.5833333333335</c:v>
                </c:pt>
                <c:pt idx="10" formatCode="0">
                  <c:v>2194.0306666666665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5A-4738-909F-D01C6AB63339}"/>
            </c:ext>
          </c:extLst>
        </c:ser>
        <c:ser>
          <c:idx val="3"/>
          <c:order val="3"/>
          <c:tx>
            <c:strRef>
              <c:f>Revenue!$A$7</c:f>
              <c:strCache>
                <c:ptCount val="1"/>
                <c:pt idx="0">
                  <c:v>Zinc</c:v>
                </c:pt>
              </c:strCache>
            </c:strRef>
          </c:tx>
          <c:spPr>
            <a:solidFill>
              <a:srgbClr val="7F8C8D"/>
            </a:solidFill>
            <a:ln>
              <a:noFill/>
            </a:ln>
            <a:effectLst/>
          </c:spPr>
          <c:invertIfNegative val="0"/>
          <c:cat>
            <c:strRef>
              <c:f>Revenue!$B$3:$L$3</c:f>
              <c:strCach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2025A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  <c:pt idx="9">
                  <c:v>2029E</c:v>
                </c:pt>
                <c:pt idx="10">
                  <c:v>2030E</c:v>
                </c:pt>
              </c:strCache>
            </c:strRef>
          </c:cat>
          <c:val>
            <c:numRef>
              <c:f>Revenue!$B$7:$L$7</c:f>
              <c:numCache>
                <c:formatCode>General</c:formatCode>
                <c:ptCount val="11"/>
                <c:pt idx="0">
                  <c:v>348</c:v>
                </c:pt>
                <c:pt idx="1">
                  <c:v>561</c:v>
                </c:pt>
                <c:pt idx="2">
                  <c:v>501</c:v>
                </c:pt>
                <c:pt idx="3">
                  <c:v>213</c:v>
                </c:pt>
                <c:pt idx="4">
                  <c:v>622</c:v>
                </c:pt>
                <c:pt idx="5" formatCode="0">
                  <c:v>664</c:v>
                </c:pt>
                <c:pt idx="6" formatCode="0">
                  <c:v>544.17000000000007</c:v>
                </c:pt>
                <c:pt idx="7" formatCode="0">
                  <c:v>769.62666666666667</c:v>
                </c:pt>
                <c:pt idx="8" formatCode="0">
                  <c:v>781.2</c:v>
                </c:pt>
                <c:pt idx="9" formatCode="0">
                  <c:v>792.77333333333331</c:v>
                </c:pt>
                <c:pt idx="10" formatCode="0">
                  <c:v>804.34666666666658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5A-4738-909F-D01C6AB63339}"/>
            </c:ext>
          </c:extLst>
        </c:ser>
        <c:ser>
          <c:idx val="4"/>
          <c:order val="4"/>
          <c:tx>
            <c:strRef>
              <c:f>Revenue!$A$8</c:f>
              <c:strCache>
                <c:ptCount val="1"/>
                <c:pt idx="0">
                  <c:v>Lead</c:v>
                </c:pt>
              </c:strCache>
            </c:strRef>
          </c:tx>
          <c:spPr>
            <a:solidFill>
              <a:srgbClr val="708090"/>
            </a:solidFill>
            <a:ln>
              <a:noFill/>
            </a:ln>
            <a:effectLst/>
          </c:spPr>
          <c:invertIfNegative val="0"/>
          <c:cat>
            <c:strRef>
              <c:f>Revenue!$B$3:$L$3</c:f>
              <c:strCach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2025A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  <c:pt idx="9">
                  <c:v>2029E</c:v>
                </c:pt>
                <c:pt idx="10">
                  <c:v>2030E</c:v>
                </c:pt>
              </c:strCache>
            </c:strRef>
          </c:cat>
          <c:val>
            <c:numRef>
              <c:f>Revenue!$B$8:$L$8</c:f>
              <c:numCache>
                <c:formatCode>General</c:formatCode>
                <c:ptCount val="11"/>
                <c:pt idx="0">
                  <c:v>134</c:v>
                </c:pt>
                <c:pt idx="1">
                  <c:v>172</c:v>
                </c:pt>
                <c:pt idx="2">
                  <c:v>133</c:v>
                </c:pt>
                <c:pt idx="3">
                  <c:v>96</c:v>
                </c:pt>
                <c:pt idx="4">
                  <c:v>195</c:v>
                </c:pt>
                <c:pt idx="5" formatCode="0">
                  <c:v>183</c:v>
                </c:pt>
                <c:pt idx="6" formatCode="0">
                  <c:v>205.32599999999999</c:v>
                </c:pt>
                <c:pt idx="7" formatCode="0">
                  <c:v>257.48</c:v>
                </c:pt>
                <c:pt idx="8" formatCode="0">
                  <c:v>260.62000000000006</c:v>
                </c:pt>
                <c:pt idx="9" formatCode="0">
                  <c:v>262.71333333333331</c:v>
                </c:pt>
                <c:pt idx="10" formatCode="0">
                  <c:v>264.80666666666673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5A-4738-909F-D01C6AB63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3446335"/>
        <c:axId val="483442975"/>
      </c:barChart>
      <c:catAx>
        <c:axId val="48344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42975"/>
        <c:crosses val="autoZero"/>
        <c:auto val="1"/>
        <c:lblAlgn val="ctr"/>
        <c:lblOffset val="100"/>
        <c:noMultiLvlLbl val="0"/>
      </c:catAx>
      <c:valAx>
        <c:axId val="48344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4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d-hoc-news.de/boerse/news/ueberblick/la-accion-de-newmont-se-resiente-ante-un-posible-giro-en-la-fed/68551738" TargetMode="External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254000</xdr:colOff>
      <xdr:row>0</xdr:row>
      <xdr:rowOff>0</xdr:rowOff>
    </xdr:from>
    <xdr:to>
      <xdr:col>4</xdr:col>
      <xdr:colOff>2125</xdr:colOff>
      <xdr:row>9</xdr:row>
      <xdr:rowOff>210810</xdr:rowOff>
    </xdr:to>
    <xdr:pic>
      <xdr:nvPicPr>
        <xdr:cNvPr id="13" name="Picture 4">
          <a:extLst>
            <a:ext uri="{FF2B5EF4-FFF2-40B4-BE49-F238E27FC236}">
              <a16:creationId xmlns:a16="http://schemas.microsoft.com/office/drawing/2014/main" id="{6A1124BB-7BBA-F47D-161C-9AFCCE3B0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730500" y="0"/>
          <a:ext cx="1618835" cy="21634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583882</xdr:colOff>
      <xdr:row>27</xdr:row>
      <xdr:rowOff>77382</xdr:rowOff>
    </xdr:from>
    <xdr:to>
      <xdr:col>28</xdr:col>
      <xdr:colOff>99035</xdr:colOff>
      <xdr:row>39</xdr:row>
      <xdr:rowOff>18659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E076A580-19D6-427D-5156-519843160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97413" y="4780351"/>
          <a:ext cx="4270032" cy="2117157"/>
        </a:xfrm>
        <a:prstGeom prst="rect">
          <a:avLst/>
        </a:prstGeom>
      </xdr:spPr>
    </xdr:pic>
    <xdr:clientData/>
  </xdr:twoCellAnchor>
  <xdr:twoCellAnchor>
    <xdr:from>
      <xdr:col>12</xdr:col>
      <xdr:colOff>402770</xdr:colOff>
      <xdr:row>0</xdr:row>
      <xdr:rowOff>108856</xdr:rowOff>
    </xdr:from>
    <xdr:to>
      <xdr:col>19</xdr:col>
      <xdr:colOff>109633</xdr:colOff>
      <xdr:row>13</xdr:row>
      <xdr:rowOff>111967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A5AEAF-F4CD-9F04-67C3-2EA7A6F45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ravan vemireddy" id="{B7D724AC-0334-46FF-BB73-B1E546776801}" userId="a0348b6f087e2cee" providerId="Windows Live"/>
  <person displayName="Sravan Kumar Reddy Vemireddy" id="{B6C33701-8B48-43B7-9A63-0921C7B4C6DB}" userId="S::svemired@umd.edu::74dab305-3015-4575-a60b-813033a682d2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5" dT="2026-02-07T19:06:21.74" personId="{B6C33701-8B48-43B7-9A63-0921C7B4C6DB}" id="{36E2B051-5421-4ACA-A7A3-EEF97F52A303}">
    <text>Average of current price and price target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25" dT="2026-02-16T18:20:42.22" personId="{B7D724AC-0334-46FF-BB73-B1E546776801}" id="{EE4F47B8-1D66-4EC1-BAF1-632ADB95672F}">
    <text xml:space="preserve">Stable to modest decline; mature underground mine. </text>
  </threadedComment>
  <threadedComment ref="M26" dT="2026-02-16T18:21:16.91" personId="{B7D724AC-0334-46FF-BB73-B1E546776801}" id="{0F4CF145-EB06-4E68-B185-95C40FB073F6}">
    <text xml:space="preserve">Gradual gold growth as underground development progresses. </text>
  </threadedComment>
  <threadedComment ref="M27" dT="2026-02-16T18:21:30.43" personId="{B7D724AC-0334-46FF-BB73-B1E546776801}" id="{9FB43683-1346-419D-AF81-C1CA8AF58167}">
    <text xml:space="preserve">Normalized production post-labor strike; stable but not structural growth. </text>
  </threadedComment>
  <threadedComment ref="M28" dT="2026-02-16T18:22:06.13" personId="{B7D724AC-0334-46FF-BB73-B1E546776801}" id="{64D1E939-EC5E-4C38-B2C8-2AA3CDA824C5}">
    <text xml:space="preserve">Gradual natural decline; no major growth projects announced. </text>
  </threadedComment>
  <threadedComment ref="M29" dT="2026-02-16T18:22:16.93" personId="{B7D724AC-0334-46FF-BB73-B1E546776801}" id="{C93A90E8-BCE3-4C02-8C30-614F0673BAF0}">
    <text xml:space="preserve">Slight decline profile typical of underground depletion. </text>
  </threadedComment>
  <threadedComment ref="M30" dT="2026-02-16T18:22:30.52" personId="{B7D724AC-0334-46FF-BB73-B1E546776801}" id="{4FF6A3FE-FC60-4644-8F17-916879BC747E}">
    <text xml:space="preserve">Gradual step-down as legacy oxide production winds down.
</text>
  </threadedComment>
  <threadedComment ref="M31" dT="2026-02-16T18:22:43.57" personId="{B7D724AC-0334-46FF-BB73-B1E546776801}" id="{A545C1BE-6657-4AF7-87F0-F43F807E462F}">
    <text xml:space="preserve">Stable Tier-1 platform; slight variability but broadly steady. </text>
  </threadedComment>
  <threadedComment ref="M32" dT="2026-02-16T18:22:55.36" personId="{B7D724AC-0334-46FF-BB73-B1E546776801}" id="{2A09F2AB-4321-42AC-B5C3-EF430BE447C5}">
    <text xml:space="preserve">Major uplift from 2027 onward from shaft expansion. </text>
  </threadedComment>
  <threadedComment ref="M33" dT="2026-02-16T18:23:06.63" personId="{B7D724AC-0334-46FF-BB73-B1E546776801}" id="{E57AA308-6002-4CDA-9B43-255E2C81C2E0}">
    <text xml:space="preserve">Gradual gold uplift as panel caves mature; copper leverage improves margins. </text>
  </threadedComment>
  <threadedComment ref="M34" dT="2026-02-16T18:23:20.19" personId="{B7D724AC-0334-46FF-BB73-B1E546776801}" id="{1BC99710-68D4-4953-96E5-07CB5715EF76}">
    <text xml:space="preserve">Stable high-volume contributor; modest operational improvements. </text>
  </threadedComment>
  <threadedComment ref="M35" dT="2026-02-16T18:23:32.12" personId="{B7D724AC-0334-46FF-BB73-B1E546776801}" id="{6BA7FFC2-FC06-4F80-A8DA-5FAAEA0A5F8B}">
    <text xml:space="preserve">Structural production increase from 2026 onward. </text>
  </threadedComment>
  <threadedComment ref="M36" dT="2026-02-16T18:23:45.59" personId="{B7D724AC-0334-46FF-BB73-B1E546776801}" id="{0313A6E6-1820-4CC7-BA54-7F1DAD4C4CC8}">
    <text xml:space="preserve">Gradual natural decline but remains one of the largest contributors.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572B5F2-403C-994E-8790-9DCD7621C38A}">
  <we:reference id="wa200000565" version="1.0.0.80" store="en-US" storeType="OMEX"/>
  <we:alternateReferences>
    <we:reference id="wa200000565" version="1.0.0.80" store="" storeType="OMEX"/>
  </we:alternateReferences>
  <we:properties>
    <we:property name="userSettings_GEDTC-1080295" value="&quot;{\&quot;dex2RequestClickThrough\&quot;:true,\&quot;isKeepRICUpperCase\&quot;:false,\&quot;functionSeparator\&quot;:\&quot;;\&quot;,\&quot;instrumentsHeaderSetting\&quot;:{\&quot;isInclude\&quot;:true,\&quot;headerPosition\&quot;:\&quot;Row\&quot;},\&quot;fieldsHeaderSetting\&quot;:{\&quot;isInclude\&quot;:true,\&quot;headerPosition\&quot;:\&quot;Column\&quot;},\&quot;dateHeaderSetting\&quot;:{\&quot;isInclude\&quot;:false,\&quot;headerPosition\&quot;:\&quot;Column\&quot;},\&quot;commonUserFundamentalsType\&quot;:\&quot;PLATFORM_DEFAULT\&quot;,\&quot;pauseMode\&quot;:false}&quot;"/>
    <we:property name="userSettings_GEDTC-1080297" value="&quot;{\&quot;dex2RequestClickThrough\&quot;:true,\&quot;isKeepRICUpperCase\&quot;:false,\&quot;functionSeparator\&quot;:\&quot;;\&quot;,\&quot;instrumentsHeaderSetting\&quot;:{\&quot;isInclude\&quot;:true,\&quot;headerPosition\&quot;:\&quot;Row\&quot;},\&quot;fieldsHeaderSetting\&quot;:{\&quot;isInclude\&quot;:true,\&quot;headerPosition\&quot;:\&quot;Column\&quot;},\&quot;dateHeaderSetting\&quot;:{\&quot;isInclude\&quot;:false,\&quot;headerPosition\&quot;:\&quot;Column\&quot;},\&quot;commonUserFundamentalsType\&quot;:\&quot;PLATFORM_DEFAULT\&quot;,\&quot;pauseMode\&quot;:false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91256B4E-4D6E-490F-8BD3-4BD82FF73058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  <we:property name="claude.fileId" value="&quot;3b0fa45c-60b8-44c6-a962-b1449b1793d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sj.com/mdc/public/page/2_3021-peyield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hyperlink" Target="https://www.wsj.com/market-data/quotes/futures/GC00/contracts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0BDE-E13A-4214-853F-F678255F4795}">
  <dimension ref="C3:I24"/>
  <sheetViews>
    <sheetView tabSelected="1" zoomScale="58" workbookViewId="0">
      <selection activeCell="L25" sqref="L25"/>
    </sheetView>
  </sheetViews>
  <sheetFormatPr defaultColWidth="11.5546875" defaultRowHeight="14.4"/>
  <cols>
    <col min="4" max="4" width="27.21875" customWidth="1"/>
    <col min="5" max="5" width="27.21875" bestFit="1" customWidth="1"/>
    <col min="8" max="8" width="38.6640625" customWidth="1"/>
    <col min="9" max="9" width="11.77734375" customWidth="1"/>
  </cols>
  <sheetData>
    <row r="3" spans="3:9" ht="18">
      <c r="C3" s="19"/>
      <c r="D3" s="19"/>
      <c r="E3" s="19"/>
      <c r="F3" s="19"/>
      <c r="G3" s="19"/>
      <c r="H3" s="19"/>
      <c r="I3" s="19"/>
    </row>
    <row r="4" spans="3:9" ht="18">
      <c r="C4" s="19"/>
      <c r="D4" s="19"/>
      <c r="E4" s="19"/>
      <c r="F4" s="19"/>
      <c r="G4" s="19"/>
      <c r="H4" s="19"/>
      <c r="I4" s="19"/>
    </row>
    <row r="5" spans="3:9" ht="18">
      <c r="C5" s="19"/>
      <c r="D5" s="22"/>
      <c r="E5" s="545" t="s">
        <v>350</v>
      </c>
      <c r="F5" s="22"/>
      <c r="G5" s="22"/>
      <c r="H5" s="22"/>
      <c r="I5" s="22"/>
    </row>
    <row r="6" spans="3:9" ht="18">
      <c r="C6" s="19"/>
      <c r="D6" s="22"/>
      <c r="E6" s="22"/>
      <c r="F6" s="22"/>
      <c r="G6" s="22"/>
      <c r="H6" s="22"/>
      <c r="I6" s="22"/>
    </row>
    <row r="7" spans="3:9" ht="18">
      <c r="C7" s="19"/>
      <c r="D7" s="22"/>
      <c r="E7" s="22"/>
      <c r="F7" s="22"/>
      <c r="G7" s="22"/>
      <c r="H7" s="23"/>
      <c r="I7" s="23"/>
    </row>
    <row r="8" spans="3:9" ht="18">
      <c r="C8" s="19"/>
      <c r="D8" s="22"/>
      <c r="E8" s="22"/>
      <c r="F8" s="22"/>
      <c r="G8" s="22"/>
      <c r="H8" s="23"/>
      <c r="I8" s="23"/>
    </row>
    <row r="9" spans="3:9" ht="18">
      <c r="C9" s="19"/>
      <c r="D9" s="22"/>
      <c r="E9" s="22"/>
      <c r="F9" s="22"/>
      <c r="G9" s="22"/>
      <c r="H9" s="23"/>
      <c r="I9" s="23"/>
    </row>
    <row r="10" spans="3:9" ht="18.600000000000001" thickBot="1">
      <c r="C10" s="19"/>
      <c r="D10" s="22"/>
      <c r="E10" s="22"/>
      <c r="F10" s="22"/>
      <c r="G10" s="22"/>
      <c r="H10" s="23"/>
      <c r="I10" s="23"/>
    </row>
    <row r="11" spans="3:9" ht="18">
      <c r="C11" s="19"/>
      <c r="D11" s="544" t="s">
        <v>329</v>
      </c>
      <c r="E11" s="24">
        <f ca="1">TODAY()</f>
        <v>46133</v>
      </c>
      <c r="F11" s="22"/>
      <c r="G11" s="22"/>
      <c r="H11" s="528" t="s">
        <v>327</v>
      </c>
      <c r="I11" s="533" t="s">
        <v>188</v>
      </c>
    </row>
    <row r="12" spans="3:9" ht="18">
      <c r="C12" s="19"/>
      <c r="D12" s="544" t="s">
        <v>330</v>
      </c>
      <c r="E12" s="25" t="s">
        <v>345</v>
      </c>
      <c r="F12" s="22"/>
      <c r="G12" s="22"/>
      <c r="H12" s="529"/>
      <c r="I12" s="534"/>
    </row>
    <row r="13" spans="3:9" ht="18">
      <c r="C13" s="19"/>
      <c r="D13" s="544" t="s">
        <v>331</v>
      </c>
      <c r="E13" s="25" t="s">
        <v>348</v>
      </c>
      <c r="F13" s="22"/>
      <c r="G13" s="22"/>
      <c r="H13" s="530" t="s">
        <v>328</v>
      </c>
      <c r="I13" s="535" t="s">
        <v>188</v>
      </c>
    </row>
    <row r="14" spans="3:9" ht="18">
      <c r="C14" s="19"/>
      <c r="D14" s="544" t="s">
        <v>332</v>
      </c>
      <c r="E14" s="25" t="s">
        <v>349</v>
      </c>
      <c r="F14" s="22"/>
      <c r="G14" s="22"/>
      <c r="H14" s="531" t="s">
        <v>347</v>
      </c>
      <c r="I14" s="536">
        <v>2</v>
      </c>
    </row>
    <row r="15" spans="3:9" ht="18.600000000000001" thickBot="1">
      <c r="C15" s="19"/>
      <c r="D15" s="544" t="s">
        <v>333</v>
      </c>
      <c r="E15" s="27" t="str">
        <f ca="1">IF(E23&gt;=Ke!D32,"BUY","SELL")</f>
        <v>BUY</v>
      </c>
      <c r="F15" s="22"/>
      <c r="G15" s="22"/>
      <c r="H15" s="532" t="s">
        <v>346</v>
      </c>
      <c r="I15" s="537">
        <v>2</v>
      </c>
    </row>
    <row r="16" spans="3:9" ht="18.600000000000001" thickBot="1">
      <c r="C16" s="19"/>
      <c r="D16" s="25"/>
      <c r="E16" s="25"/>
      <c r="F16" s="22"/>
      <c r="G16" s="22"/>
      <c r="H16" s="28"/>
      <c r="I16" s="26"/>
    </row>
    <row r="17" spans="3:9" ht="18">
      <c r="C17" s="19"/>
      <c r="D17" s="520" t="s">
        <v>334</v>
      </c>
      <c r="E17" s="521">
        <f>Ke!D17</f>
        <v>101</v>
      </c>
      <c r="F17" s="22"/>
      <c r="G17" s="22"/>
      <c r="H17" s="28"/>
      <c r="I17" s="26"/>
    </row>
    <row r="18" spans="3:9" ht="18">
      <c r="C18" s="19"/>
      <c r="D18" s="522" t="s">
        <v>336</v>
      </c>
      <c r="E18" s="523">
        <f ca="1">DCF!B8</f>
        <v>108.41662496285578</v>
      </c>
      <c r="F18" s="22"/>
      <c r="G18" s="22"/>
      <c r="H18" s="28"/>
      <c r="I18" s="26"/>
    </row>
    <row r="19" spans="3:9" ht="18">
      <c r="C19" s="19"/>
      <c r="D19" s="522" t="s">
        <v>338</v>
      </c>
      <c r="E19" s="523">
        <f ca="1">DCF!B9</f>
        <v>114.20683162542262</v>
      </c>
      <c r="F19" s="22"/>
      <c r="G19" s="22"/>
      <c r="H19" s="28"/>
      <c r="I19" s="26"/>
    </row>
    <row r="20" spans="3:9" ht="18.600000000000001" thickBot="1">
      <c r="C20" s="19"/>
      <c r="D20" s="524" t="s">
        <v>340</v>
      </c>
      <c r="E20" s="525">
        <f ca="1">E18/E17-1</f>
        <v>7.3431930325304817E-2</v>
      </c>
      <c r="F20" s="22"/>
      <c r="G20" s="22"/>
      <c r="H20" s="28"/>
      <c r="I20" s="26"/>
    </row>
    <row r="21" spans="3:9" ht="18">
      <c r="C21" s="19"/>
      <c r="D21" s="524" t="s">
        <v>342</v>
      </c>
      <c r="E21" s="525">
        <f ca="1">E19/E17-1</f>
        <v>0.13076070916260019</v>
      </c>
      <c r="F21" s="22"/>
      <c r="G21" s="22"/>
      <c r="H21" s="538" t="s">
        <v>335</v>
      </c>
      <c r="I21" s="539" t="s">
        <v>188</v>
      </c>
    </row>
    <row r="22" spans="3:9" ht="18">
      <c r="C22" s="19"/>
      <c r="D22" s="524" t="s">
        <v>343</v>
      </c>
      <c r="E22" s="525">
        <v>0.01</v>
      </c>
      <c r="F22" s="22"/>
      <c r="G22" s="22"/>
      <c r="H22" s="540" t="s">
        <v>337</v>
      </c>
      <c r="I22" s="541">
        <v>1</v>
      </c>
    </row>
    <row r="23" spans="3:9" ht="18.600000000000001" thickBot="1">
      <c r="D23" s="526" t="s">
        <v>344</v>
      </c>
      <c r="E23" s="527">
        <f ca="1">E21+E22</f>
        <v>0.14076070916260019</v>
      </c>
      <c r="F23" s="23"/>
      <c r="G23" s="23"/>
      <c r="H23" s="540" t="s">
        <v>339</v>
      </c>
      <c r="I23" s="541">
        <v>2</v>
      </c>
    </row>
    <row r="24" spans="3:9" ht="18.600000000000001" thickBot="1">
      <c r="D24" s="23"/>
      <c r="E24" s="23"/>
      <c r="F24" s="23"/>
      <c r="G24" s="23"/>
      <c r="H24" s="542" t="s">
        <v>341</v>
      </c>
      <c r="I24" s="543">
        <v>3</v>
      </c>
    </row>
  </sheetData>
  <conditionalFormatting sqref="E15">
    <cfRule type="containsText" dxfId="5" priority="1" operator="containsText" text="BUY">
      <formula>NOT(ISERROR(SEARCH("BUY",E15)))</formula>
    </cfRule>
    <cfRule type="containsText" dxfId="4" priority="2" operator="containsText" text="SELL">
      <formula>NOT(ISERROR(SEARCH("SELL",E15)))</formula>
    </cfRule>
  </conditionalFormatting>
  <dataValidations count="1">
    <dataValidation type="list" allowBlank="1" showInputMessage="1" showErrorMessage="1" sqref="I14:I20" xr:uid="{91E467C5-7E59-4A68-BE3A-3FF24407A0B4}">
      <formula1>$I$22:$I$24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85FD-8706-4DE1-B099-3216DE05CFB1}">
  <dimension ref="A1:L61"/>
  <sheetViews>
    <sheetView zoomScale="63" zoomScaleNormal="80" workbookViewId="0">
      <selection activeCell="B45" sqref="B45"/>
    </sheetView>
  </sheetViews>
  <sheetFormatPr defaultColWidth="8.77734375" defaultRowHeight="14.4"/>
  <cols>
    <col min="1" max="1" width="25.77734375" bestFit="1" customWidth="1"/>
    <col min="2" max="6" width="8.88671875" bestFit="1" customWidth="1"/>
    <col min="7" max="7" width="9.109375" bestFit="1" customWidth="1"/>
    <col min="8" max="8" width="8.88671875" bestFit="1" customWidth="1"/>
    <col min="9" max="9" width="10" bestFit="1" customWidth="1"/>
    <col min="10" max="10" width="11.21875" bestFit="1" customWidth="1"/>
    <col min="12" max="12" width="8.88671875" bestFit="1" customWidth="1"/>
  </cols>
  <sheetData>
    <row r="1" spans="1:12" ht="15.6">
      <c r="A1" s="29" t="e" vm="1">
        <v>#VALUE!</v>
      </c>
      <c r="B1" s="29"/>
      <c r="C1" s="30"/>
      <c r="D1" s="30"/>
      <c r="E1" s="30"/>
      <c r="F1" s="30"/>
      <c r="G1" s="30"/>
      <c r="H1" s="30"/>
      <c r="I1" s="30"/>
      <c r="J1" s="23"/>
      <c r="K1" s="23"/>
      <c r="L1" s="23"/>
    </row>
    <row r="2" spans="1:12" ht="15" thickBot="1">
      <c r="A2" s="31"/>
      <c r="B2" s="30"/>
      <c r="C2" s="30"/>
      <c r="D2" s="30"/>
      <c r="E2" s="30"/>
      <c r="F2" s="30"/>
      <c r="G2" s="600" t="s">
        <v>207</v>
      </c>
      <c r="H2" s="600"/>
      <c r="I2" s="600"/>
      <c r="J2" s="23"/>
      <c r="K2" s="23"/>
      <c r="L2" s="23"/>
    </row>
    <row r="3" spans="1:12">
      <c r="A3" s="32" t="s">
        <v>186</v>
      </c>
      <c r="B3" s="33">
        <f>Ke!D32</f>
        <v>9.3134238554566734E-2</v>
      </c>
      <c r="C3" s="34"/>
      <c r="D3" s="30"/>
      <c r="E3" s="30"/>
      <c r="F3" s="30"/>
      <c r="G3" s="35">
        <f ca="1">TODAY()</f>
        <v>46133</v>
      </c>
      <c r="H3" s="30" t="s">
        <v>208</v>
      </c>
      <c r="I3" s="36">
        <f>1087874212/1000000</f>
        <v>1087.8742119999999</v>
      </c>
      <c r="J3" s="23"/>
      <c r="K3" s="23"/>
      <c r="L3" s="23"/>
    </row>
    <row r="4" spans="1:12">
      <c r="A4" s="37" t="s">
        <v>209</v>
      </c>
      <c r="B4" s="38"/>
      <c r="C4" s="39"/>
      <c r="D4" s="40"/>
      <c r="E4" s="30"/>
      <c r="F4" s="30"/>
      <c r="G4" s="35">
        <f ca="1">G3+365</f>
        <v>46498</v>
      </c>
      <c r="H4" s="30" t="s">
        <v>210</v>
      </c>
      <c r="I4" s="41">
        <f>'Changes in Equity'!H7</f>
        <v>1072.0087813629434</v>
      </c>
      <c r="J4" s="23"/>
      <c r="K4" s="23"/>
      <c r="L4" s="23"/>
    </row>
    <row r="5" spans="1:12">
      <c r="A5" s="37"/>
      <c r="B5" s="30"/>
      <c r="C5" s="42"/>
      <c r="D5" s="30"/>
      <c r="E5" s="30"/>
      <c r="F5" s="30"/>
      <c r="G5" s="35">
        <f ca="1">G4+366</f>
        <v>46864</v>
      </c>
      <c r="H5" s="30" t="s">
        <v>211</v>
      </c>
      <c r="I5" s="41">
        <f>'Changes in Equity'!I7</f>
        <v>1053.8666469416999</v>
      </c>
      <c r="J5" s="23"/>
      <c r="K5" s="23"/>
      <c r="L5" s="23"/>
    </row>
    <row r="6" spans="1:12" ht="15" thickBot="1">
      <c r="A6" s="37" t="s">
        <v>212</v>
      </c>
      <c r="B6" s="43">
        <f>Ke!D17</f>
        <v>101</v>
      </c>
      <c r="C6" s="44" t="s">
        <v>213</v>
      </c>
      <c r="D6" s="30"/>
      <c r="E6" s="30"/>
      <c r="F6" s="30"/>
      <c r="G6" s="30"/>
      <c r="H6" s="30"/>
      <c r="I6" s="30"/>
      <c r="J6" s="23"/>
      <c r="K6" s="23"/>
      <c r="L6" s="23"/>
    </row>
    <row r="7" spans="1:12">
      <c r="A7" s="37"/>
      <c r="B7" s="45"/>
      <c r="C7" s="42"/>
      <c r="D7" s="30"/>
      <c r="E7" s="30"/>
      <c r="F7" s="30"/>
      <c r="G7" s="46" t="s">
        <v>214</v>
      </c>
      <c r="H7" s="47"/>
      <c r="I7" s="48"/>
      <c r="J7" s="23"/>
      <c r="K7" s="23"/>
      <c r="L7" s="23"/>
    </row>
    <row r="8" spans="1:12">
      <c r="A8" s="37" t="s">
        <v>215</v>
      </c>
      <c r="B8" s="49">
        <f ca="1">B24</f>
        <v>108.41662496285578</v>
      </c>
      <c r="C8" s="42"/>
      <c r="D8" s="30"/>
      <c r="E8" s="30"/>
      <c r="F8" s="30"/>
      <c r="G8" s="30" t="s">
        <v>214</v>
      </c>
      <c r="H8" s="30"/>
      <c r="I8" s="50">
        <f ca="1">(B8-$B$6)/$B$6</f>
        <v>7.3431930325304734E-2</v>
      </c>
      <c r="J8" s="23"/>
      <c r="K8" s="23"/>
      <c r="L8" s="23"/>
    </row>
    <row r="9" spans="1:12" ht="15" thickBot="1">
      <c r="A9" s="51" t="s">
        <v>216</v>
      </c>
      <c r="B9" s="49">
        <f ca="1">B46</f>
        <v>114.20683162542262</v>
      </c>
      <c r="C9" s="52"/>
      <c r="D9" s="30"/>
      <c r="E9" s="30"/>
      <c r="F9" s="30"/>
      <c r="G9" s="30" t="s">
        <v>217</v>
      </c>
      <c r="H9" s="30"/>
      <c r="I9" s="50">
        <f ca="1">(B9-$B$6)/$B$6</f>
        <v>0.13076070916260024</v>
      </c>
      <c r="J9" s="23"/>
      <c r="K9" s="23"/>
      <c r="L9" s="23"/>
    </row>
    <row r="10" spans="1:12">
      <c r="A10" s="30"/>
      <c r="B10" s="53"/>
      <c r="C10" s="30"/>
      <c r="D10" s="30"/>
      <c r="E10" s="30"/>
      <c r="F10" s="30"/>
      <c r="G10" s="30"/>
      <c r="H10" s="30"/>
      <c r="I10" s="30"/>
      <c r="J10" s="23"/>
      <c r="K10" s="23"/>
      <c r="L10" s="23"/>
    </row>
    <row r="11" spans="1:12">
      <c r="A11" s="30"/>
      <c r="B11" s="30"/>
      <c r="C11" s="30"/>
      <c r="D11" s="30"/>
      <c r="E11" s="30"/>
      <c r="F11" s="30"/>
      <c r="G11" s="30"/>
      <c r="H11" s="30"/>
      <c r="I11" s="30"/>
      <c r="J11" s="23"/>
      <c r="K11" s="23"/>
      <c r="L11" s="23"/>
    </row>
    <row r="12" spans="1:12">
      <c r="A12" s="54" t="s">
        <v>218</v>
      </c>
      <c r="B12" s="54"/>
      <c r="C12" s="54"/>
      <c r="D12" s="54"/>
      <c r="E12" s="54"/>
      <c r="F12" s="54"/>
      <c r="G12" s="54"/>
      <c r="H12" s="54"/>
      <c r="I12" s="54"/>
      <c r="J12" s="55"/>
      <c r="K12" s="55"/>
      <c r="L12" s="55"/>
    </row>
    <row r="13" spans="1:12">
      <c r="A13" s="56"/>
      <c r="B13" s="56"/>
      <c r="C13" s="56"/>
      <c r="D13" s="56"/>
      <c r="E13" s="56"/>
      <c r="F13" s="56"/>
      <c r="G13" s="56"/>
      <c r="H13" s="56"/>
      <c r="I13" s="56"/>
      <c r="J13" s="55"/>
      <c r="K13" s="55"/>
      <c r="L13" s="55"/>
    </row>
    <row r="14" spans="1:12">
      <c r="A14" s="30"/>
      <c r="B14" s="30"/>
      <c r="C14" s="57"/>
      <c r="D14" s="57">
        <v>46387</v>
      </c>
      <c r="E14" s="57">
        <v>46752</v>
      </c>
      <c r="F14" s="57">
        <v>47118</v>
      </c>
      <c r="G14" s="57">
        <v>47483</v>
      </c>
      <c r="H14" s="57">
        <v>47848</v>
      </c>
      <c r="I14" s="57"/>
      <c r="J14" s="55"/>
      <c r="K14" s="55"/>
      <c r="L14" s="55"/>
    </row>
    <row r="15" spans="1:12">
      <c r="A15" s="31" t="s">
        <v>219</v>
      </c>
      <c r="B15" s="30"/>
      <c r="C15" s="58"/>
      <c r="D15" s="58">
        <f ca="1">MAX((D14-$G$3)/365,0)</f>
        <v>0.69589041095890414</v>
      </c>
      <c r="E15" s="58">
        <f t="shared" ref="E15:G15" ca="1" si="0">MAX((E14-$G$3)/365,0)</f>
        <v>1.6958904109589041</v>
      </c>
      <c r="F15" s="58">
        <f t="shared" ca="1" si="0"/>
        <v>2.6986301369863015</v>
      </c>
      <c r="G15" s="58">
        <f t="shared" ca="1" si="0"/>
        <v>3.6986301369863015</v>
      </c>
      <c r="H15" s="58">
        <f ca="1">MAX((H14-$G$3)/365,0)</f>
        <v>4.6986301369863011</v>
      </c>
      <c r="I15" s="58"/>
      <c r="J15" s="55"/>
      <c r="K15" s="55"/>
      <c r="L15" s="55"/>
    </row>
    <row r="16" spans="1:12">
      <c r="A16" s="59" t="s">
        <v>220</v>
      </c>
      <c r="B16" s="60"/>
      <c r="C16" s="61"/>
      <c r="D16" s="61">
        <f ca="1">'Cash flow'!C61</f>
        <v>5326.1378346143938</v>
      </c>
      <c r="E16" s="61">
        <f ca="1">'Cash flow'!D61</f>
        <v>9408.7529746477703</v>
      </c>
      <c r="F16" s="61">
        <f ca="1">'Cash flow'!E61</f>
        <v>9139.8971339335094</v>
      </c>
      <c r="G16" s="61">
        <f ca="1">'Cash flow'!F61</f>
        <v>9344.6590272460817</v>
      </c>
      <c r="H16" s="61">
        <f ca="1">'Cash flow'!G61</f>
        <v>9399.7043724129999</v>
      </c>
      <c r="I16" s="61"/>
      <c r="J16" s="55"/>
      <c r="K16" s="55"/>
      <c r="L16" s="55"/>
    </row>
    <row r="17" spans="1:12">
      <c r="A17" s="31" t="s">
        <v>221</v>
      </c>
      <c r="B17" s="30"/>
      <c r="C17" s="62"/>
      <c r="D17" s="62">
        <f ca="1">D16*D15/((1+$B$3)^D15)</f>
        <v>3483.6999121837221</v>
      </c>
      <c r="E17" s="62">
        <f t="shared" ref="E17:F17" ca="1" si="1">E16/((1+$B$3)^E15)</f>
        <v>8089.9540188065548</v>
      </c>
      <c r="F17" s="62">
        <f t="shared" ca="1" si="1"/>
        <v>7187.4666531886387</v>
      </c>
      <c r="G17" s="62">
        <f ca="1">G16/((1+$B$3)^G15)</f>
        <v>6722.4022641561896</v>
      </c>
      <c r="H17" s="62">
        <f ca="1">H16/((1+$B$3)^H15)</f>
        <v>6185.8834809585196</v>
      </c>
      <c r="I17" s="62"/>
      <c r="J17" s="55"/>
      <c r="K17" s="55"/>
      <c r="L17" s="55"/>
    </row>
    <row r="18" spans="1:12" ht="15" thickBot="1">
      <c r="A18" s="63"/>
      <c r="B18" s="30"/>
      <c r="C18" s="30"/>
      <c r="D18" s="64"/>
      <c r="E18" s="64"/>
      <c r="F18" s="64"/>
      <c r="G18" s="64"/>
      <c r="H18" s="64"/>
      <c r="I18" s="30"/>
      <c r="J18" s="55"/>
      <c r="K18" s="55"/>
      <c r="L18" s="55"/>
    </row>
    <row r="19" spans="1:12" ht="15" thickBot="1">
      <c r="A19" s="31" t="s">
        <v>222</v>
      </c>
      <c r="B19" s="65">
        <v>0.02</v>
      </c>
      <c r="C19" s="66"/>
      <c r="D19" s="66"/>
      <c r="E19" s="66"/>
      <c r="F19" s="66"/>
      <c r="G19" s="66"/>
      <c r="H19" s="30"/>
      <c r="I19" s="30"/>
      <c r="J19" s="55"/>
      <c r="K19" s="55"/>
      <c r="L19" s="55"/>
    </row>
    <row r="20" spans="1:12">
      <c r="A20" s="31"/>
      <c r="B20" s="66"/>
      <c r="C20" s="66"/>
      <c r="D20" s="66"/>
      <c r="E20" s="66"/>
      <c r="F20" s="66"/>
      <c r="G20" s="66"/>
      <c r="H20" s="30"/>
      <c r="I20" s="30"/>
      <c r="J20" s="55"/>
      <c r="K20" s="55"/>
      <c r="L20" s="55"/>
    </row>
    <row r="21" spans="1:12">
      <c r="A21" s="30" t="s">
        <v>230</v>
      </c>
      <c r="B21" s="40">
        <f ca="1">H16*(1+B19)/(B3-B19)</f>
        <v>131097.26236785401</v>
      </c>
      <c r="C21" s="67"/>
      <c r="D21" s="68" t="s">
        <v>223</v>
      </c>
      <c r="E21" s="40"/>
      <c r="F21" s="68"/>
      <c r="G21" s="68"/>
      <c r="H21" s="30"/>
      <c r="I21" s="30"/>
      <c r="J21" s="55"/>
      <c r="K21" s="55"/>
      <c r="L21" s="55"/>
    </row>
    <row r="22" spans="1:12">
      <c r="A22" s="60" t="s">
        <v>224</v>
      </c>
      <c r="B22" s="69">
        <f ca="1">B21/(1+B3)^(H15)</f>
        <v>86274.244119872616</v>
      </c>
      <c r="C22" s="40"/>
      <c r="D22" s="68"/>
      <c r="E22" s="40"/>
      <c r="F22" s="68"/>
      <c r="G22" s="68"/>
      <c r="H22" s="30"/>
      <c r="I22" s="30"/>
      <c r="J22" s="55"/>
      <c r="K22" s="55"/>
      <c r="L22" s="55"/>
    </row>
    <row r="23" spans="1:12">
      <c r="A23" s="30" t="s">
        <v>225</v>
      </c>
      <c r="B23" s="40">
        <f ca="1">SUM(D17:H17)+B22</f>
        <v>117943.65044916625</v>
      </c>
      <c r="C23" s="40"/>
      <c r="D23" s="68"/>
      <c r="E23" s="40"/>
      <c r="F23" s="68"/>
      <c r="G23" s="68"/>
      <c r="H23" s="30"/>
      <c r="I23" s="30"/>
      <c r="J23" s="55"/>
      <c r="K23" s="55"/>
      <c r="L23" s="55"/>
    </row>
    <row r="24" spans="1:12" ht="15" thickBot="1">
      <c r="A24" s="70" t="s">
        <v>226</v>
      </c>
      <c r="B24" s="71">
        <f ca="1">B23/I3</f>
        <v>108.41662496285578</v>
      </c>
      <c r="C24" s="53"/>
      <c r="D24" s="53"/>
      <c r="E24" s="58"/>
      <c r="F24" s="53"/>
      <c r="G24" s="53"/>
      <c r="H24" s="30"/>
      <c r="I24" s="30"/>
      <c r="J24" s="55"/>
      <c r="K24" s="55"/>
      <c r="L24" s="55"/>
    </row>
    <row r="25" spans="1:12">
      <c r="A25" s="30"/>
      <c r="B25" s="30"/>
      <c r="C25" s="72" t="s">
        <v>222</v>
      </c>
      <c r="D25" s="72"/>
      <c r="E25" s="72"/>
      <c r="F25" s="72"/>
      <c r="G25" s="72"/>
      <c r="H25" s="72"/>
      <c r="I25" s="72"/>
      <c r="J25" s="55"/>
      <c r="K25" s="55"/>
      <c r="L25" s="55"/>
    </row>
    <row r="26" spans="1:12" ht="16.2" thickBot="1">
      <c r="A26" s="30"/>
      <c r="B26" s="73">
        <f ca="1">B24</f>
        <v>108.41662496285578</v>
      </c>
      <c r="C26" s="74">
        <f>D26-L27</f>
        <v>4.9999999999999984E-3</v>
      </c>
      <c r="D26" s="74">
        <f>E26-L27</f>
        <v>9.9999999999999985E-3</v>
      </c>
      <c r="E26" s="74">
        <f>F26-L27</f>
        <v>1.4999999999999999E-2</v>
      </c>
      <c r="F26" s="75">
        <v>0.02</v>
      </c>
      <c r="G26" s="74">
        <f>F26+L27</f>
        <v>2.5000000000000001E-2</v>
      </c>
      <c r="H26" s="74">
        <f>G26+L27</f>
        <v>3.0000000000000002E-2</v>
      </c>
      <c r="I26" s="74">
        <f>H26+L27</f>
        <v>3.5000000000000003E-2</v>
      </c>
      <c r="J26" s="55"/>
      <c r="K26" s="55"/>
      <c r="L26" s="76">
        <v>5.0000000000000001E-3</v>
      </c>
    </row>
    <row r="27" spans="1:12" ht="16.2" thickTop="1">
      <c r="A27" s="30"/>
      <c r="B27" s="77">
        <f>B28+L27</f>
        <v>0.10813423855456675</v>
      </c>
      <c r="C27" s="78">
        <f t="dataTable" ref="C27:I33" dt2D="1" dtr="1" r1="B19" r2="B3" ca="1"/>
        <v>79.988826668525277</v>
      </c>
      <c r="D27" s="79">
        <v>82.908615187776945</v>
      </c>
      <c r="E27" s="79">
        <v>86.141906943278443</v>
      </c>
      <c r="F27" s="80">
        <v>89.742058594381092</v>
      </c>
      <c r="G27" s="79">
        <v>93.775263066282633</v>
      </c>
      <c r="H27" s="79">
        <v>98.324656669416967</v>
      </c>
      <c r="I27" s="81">
        <v>103.49611097804971</v>
      </c>
      <c r="J27" s="55"/>
      <c r="K27" s="55"/>
      <c r="L27" s="76">
        <v>5.0000000000000001E-3</v>
      </c>
    </row>
    <row r="28" spans="1:12" ht="16.2" thickBot="1">
      <c r="A28" s="30"/>
      <c r="B28" s="77">
        <f>B29+L27</f>
        <v>0.10313423855456674</v>
      </c>
      <c r="C28" s="82">
        <v>84.167687858858756</v>
      </c>
      <c r="D28" s="83">
        <v>87.455515478502377</v>
      </c>
      <c r="E28" s="83">
        <v>91.116390811902349</v>
      </c>
      <c r="F28" s="84">
        <v>95.217623258935689</v>
      </c>
      <c r="G28" s="83">
        <v>99.843751388438534</v>
      </c>
      <c r="H28" s="83">
        <v>105.10243250829642</v>
      </c>
      <c r="I28" s="85">
        <v>111.13292545601325</v>
      </c>
      <c r="J28" s="55"/>
      <c r="K28" s="55"/>
      <c r="L28" s="55"/>
    </row>
    <row r="29" spans="1:12" ht="16.2" thickBot="1">
      <c r="A29" s="30"/>
      <c r="B29" s="77">
        <f>B30+L27</f>
        <v>9.8134238554566738E-2</v>
      </c>
      <c r="C29" s="82">
        <v>88.796384197414838</v>
      </c>
      <c r="D29" s="83">
        <v>92.519290312966675</v>
      </c>
      <c r="E29" s="86">
        <v>96.690015062607259</v>
      </c>
      <c r="F29" s="87">
        <v>101.39452945770887</v>
      </c>
      <c r="G29" s="88">
        <v>106.7423149783574</v>
      </c>
      <c r="H29" s="83">
        <v>112.87499009843485</v>
      </c>
      <c r="I29" s="85">
        <v>119.97903594547161</v>
      </c>
      <c r="J29" s="55"/>
      <c r="K29" s="55"/>
      <c r="L29" s="55"/>
    </row>
    <row r="30" spans="1:12" ht="16.2" thickBot="1">
      <c r="A30" s="89" t="s">
        <v>227</v>
      </c>
      <c r="B30" s="90">
        <f>Ke!D32</f>
        <v>9.3134238554566734E-2</v>
      </c>
      <c r="C30" s="91">
        <v>93.951492705578147</v>
      </c>
      <c r="D30" s="92">
        <v>98.193212489630483</v>
      </c>
      <c r="E30" s="93">
        <v>102.97780820906296</v>
      </c>
      <c r="F30" s="94">
        <v>108.41662496285578</v>
      </c>
      <c r="G30" s="95">
        <v>114.65369188707308</v>
      </c>
      <c r="H30" s="92">
        <v>121.87866443381989</v>
      </c>
      <c r="I30" s="96">
        <v>130.34644547456031</v>
      </c>
      <c r="J30" s="55"/>
      <c r="K30" s="55"/>
      <c r="L30" s="55"/>
    </row>
    <row r="31" spans="1:12" ht="16.2" thickBot="1">
      <c r="A31" s="30"/>
      <c r="B31" s="77">
        <f>B30-L27</f>
        <v>8.813423855456673E-2</v>
      </c>
      <c r="C31" s="82">
        <v>99.728013268579716</v>
      </c>
      <c r="D31" s="83">
        <v>104.59443003223633</v>
      </c>
      <c r="E31" s="97">
        <v>110.12625561942583</v>
      </c>
      <c r="F31" s="98">
        <v>116.46998219861945</v>
      </c>
      <c r="G31" s="99">
        <v>123.81850850683972</v>
      </c>
      <c r="H31" s="83">
        <v>132.43109649212536</v>
      </c>
      <c r="I31" s="85">
        <v>142.66459562991409</v>
      </c>
      <c r="J31" s="55"/>
      <c r="K31" s="55"/>
      <c r="L31" s="55"/>
    </row>
    <row r="32" spans="1:12" ht="15.6">
      <c r="A32" s="30"/>
      <c r="B32" s="77">
        <f>B31-L27</f>
        <v>8.3134238554566725E-2</v>
      </c>
      <c r="C32" s="82">
        <v>106.24526326479764</v>
      </c>
      <c r="D32" s="83">
        <v>111.87212763318379</v>
      </c>
      <c r="E32" s="83">
        <v>118.32484174873926</v>
      </c>
      <c r="F32" s="84">
        <v>125.79961841914417</v>
      </c>
      <c r="G32" s="83">
        <v>134.56017380726436</v>
      </c>
      <c r="H32" s="83">
        <v>144.96948819267851</v>
      </c>
      <c r="I32" s="85">
        <v>157.54136184941336</v>
      </c>
      <c r="J32" s="55"/>
      <c r="K32" s="55"/>
      <c r="L32" s="55"/>
    </row>
    <row r="33" spans="1:12" ht="16.2" thickBot="1">
      <c r="A33" s="30"/>
      <c r="B33" s="77">
        <f>B32-L27</f>
        <v>7.8134238554566721E-2</v>
      </c>
      <c r="C33" s="100">
        <v>113.65519019936016</v>
      </c>
      <c r="D33" s="101">
        <v>120.21928163978578</v>
      </c>
      <c r="E33" s="101">
        <v>127.82307698584295</v>
      </c>
      <c r="F33" s="102">
        <v>136.73484428356161</v>
      </c>
      <c r="G33" s="101">
        <v>147.32382904786098</v>
      </c>
      <c r="H33" s="101">
        <v>160.11270002253335</v>
      </c>
      <c r="I33" s="103">
        <v>175.86647113297457</v>
      </c>
      <c r="J33" s="55"/>
      <c r="K33" s="55"/>
      <c r="L33" s="55"/>
    </row>
    <row r="34" spans="1:12" ht="15" thickTop="1">
      <c r="A34" s="30"/>
      <c r="B34" s="50"/>
      <c r="C34" s="58"/>
      <c r="D34" s="58"/>
      <c r="E34" s="58"/>
      <c r="F34" s="58"/>
      <c r="G34" s="58"/>
      <c r="H34" s="58"/>
      <c r="I34" s="58"/>
      <c r="J34" s="55"/>
      <c r="K34" s="55"/>
      <c r="L34" s="55"/>
    </row>
    <row r="35" spans="1:12">
      <c r="A35" s="50"/>
      <c r="B35" s="58"/>
      <c r="C35" s="58"/>
      <c r="D35" s="58"/>
      <c r="E35" s="58"/>
      <c r="F35" s="58"/>
      <c r="G35" s="58"/>
      <c r="H35" s="58"/>
      <c r="I35" s="30"/>
      <c r="J35" s="55"/>
      <c r="K35" s="55"/>
      <c r="L35" s="55"/>
    </row>
    <row r="36" spans="1:12">
      <c r="A36" s="54" t="s">
        <v>228</v>
      </c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</row>
    <row r="37" spans="1:12">
      <c r="A37" s="56"/>
      <c r="B37" s="56"/>
      <c r="C37" s="56"/>
      <c r="D37" s="56"/>
      <c r="E37" s="56"/>
      <c r="F37" s="56"/>
      <c r="G37" s="56"/>
      <c r="H37" s="56"/>
      <c r="I37" s="56"/>
      <c r="J37" s="55"/>
      <c r="K37" s="55"/>
      <c r="L37" s="55"/>
    </row>
    <row r="38" spans="1:12">
      <c r="A38" s="30"/>
      <c r="B38" s="30"/>
      <c r="C38" s="57"/>
      <c r="D38" s="57">
        <f t="shared" ref="D38:G38" si="2">D14</f>
        <v>46387</v>
      </c>
      <c r="E38" s="57">
        <f t="shared" si="2"/>
        <v>46752</v>
      </c>
      <c r="F38" s="57">
        <f t="shared" si="2"/>
        <v>47118</v>
      </c>
      <c r="G38" s="57">
        <f t="shared" si="2"/>
        <v>47483</v>
      </c>
      <c r="H38" s="57">
        <f>H14</f>
        <v>47848</v>
      </c>
      <c r="I38" s="57"/>
      <c r="J38" s="55"/>
      <c r="K38" s="55"/>
      <c r="L38" s="55"/>
    </row>
    <row r="39" spans="1:12">
      <c r="A39" s="31" t="s">
        <v>229</v>
      </c>
      <c r="B39" s="30"/>
      <c r="C39" s="58"/>
      <c r="D39" s="58">
        <f ca="1">MAX((D38-$G$4)/365,0)</f>
        <v>0</v>
      </c>
      <c r="E39" s="58">
        <f t="shared" ref="E39:G39" ca="1" si="3">MAX((E38-$G$4)/365,0)</f>
        <v>0.69589041095890414</v>
      </c>
      <c r="F39" s="58">
        <f t="shared" ca="1" si="3"/>
        <v>1.6986301369863013</v>
      </c>
      <c r="G39" s="58">
        <f t="shared" ca="1" si="3"/>
        <v>2.6986301369863015</v>
      </c>
      <c r="H39" s="58">
        <f ca="1">MAX((H38-$G$4)/365,0)</f>
        <v>3.6986301369863015</v>
      </c>
      <c r="I39" s="58"/>
      <c r="J39" s="55"/>
      <c r="K39" s="55"/>
      <c r="L39" s="55"/>
    </row>
    <row r="40" spans="1:12">
      <c r="A40" s="59" t="s">
        <v>220</v>
      </c>
      <c r="B40" s="60"/>
      <c r="C40" s="69"/>
      <c r="D40" s="69">
        <f ca="1">D16*D39</f>
        <v>0</v>
      </c>
      <c r="E40" s="69">
        <f t="shared" ref="E40:G40" ca="1" si="4">E16</f>
        <v>9408.7529746477703</v>
      </c>
      <c r="F40" s="69">
        <f t="shared" ca="1" si="4"/>
        <v>9139.8971339335094</v>
      </c>
      <c r="G40" s="69">
        <f t="shared" ca="1" si="4"/>
        <v>9344.6590272460817</v>
      </c>
      <c r="H40" s="69">
        <f ca="1">H16</f>
        <v>9399.7043724129999</v>
      </c>
      <c r="I40" s="69"/>
      <c r="J40" s="55"/>
      <c r="K40" s="55"/>
      <c r="L40" s="55"/>
    </row>
    <row r="41" spans="1:12">
      <c r="A41" s="31" t="s">
        <v>221</v>
      </c>
      <c r="B41" s="30"/>
      <c r="C41" s="62"/>
      <c r="D41" s="62">
        <f ca="1">D40/((1+$B$3)^D39)</f>
        <v>0</v>
      </c>
      <c r="E41" s="62">
        <f ca="1">E40*E39/((1+$B$3)^E39)</f>
        <v>6154.0412451439688</v>
      </c>
      <c r="F41" s="62">
        <f ca="1">F40/((1+$B$3)^F39)</f>
        <v>7856.8658870697036</v>
      </c>
      <c r="G41" s="62">
        <f ca="1">G40/((1+$B$3)^G39)</f>
        <v>7348.4880802858715</v>
      </c>
      <c r="H41" s="62">
        <f ca="1">H40/((1+$B$3)^H39)</f>
        <v>6762.001028744864</v>
      </c>
      <c r="I41" s="62"/>
      <c r="J41" s="55"/>
      <c r="K41" s="55"/>
      <c r="L41" s="55"/>
    </row>
    <row r="42" spans="1:12">
      <c r="A42" s="31"/>
      <c r="B42" s="104"/>
      <c r="C42" s="40"/>
      <c r="D42" s="40"/>
      <c r="E42" s="40"/>
      <c r="F42" s="40"/>
      <c r="G42" s="40"/>
      <c r="H42" s="40"/>
      <c r="I42" s="40"/>
      <c r="J42" s="55"/>
      <c r="K42" s="55"/>
      <c r="L42" s="55"/>
    </row>
    <row r="43" spans="1:12">
      <c r="A43" s="30" t="s">
        <v>230</v>
      </c>
      <c r="B43" s="40">
        <f ca="1">H40*(1+B19)/(B3-B19)</f>
        <v>131097.26236785401</v>
      </c>
      <c r="C43" s="68"/>
      <c r="D43" s="40"/>
      <c r="E43" s="40"/>
      <c r="F43" s="68"/>
      <c r="G43" s="30"/>
      <c r="H43" s="30"/>
      <c r="I43" s="30"/>
      <c r="J43" s="55"/>
      <c r="K43" s="55"/>
      <c r="L43" s="55"/>
    </row>
    <row r="44" spans="1:12">
      <c r="A44" s="60" t="s">
        <v>224</v>
      </c>
      <c r="B44" s="69">
        <f ca="1">B43/(1+B3)^H39</f>
        <v>94309.33015284776</v>
      </c>
      <c r="C44" s="68"/>
      <c r="D44" s="40"/>
      <c r="E44" s="40"/>
      <c r="F44" s="68"/>
      <c r="G44" s="30"/>
      <c r="H44" s="30"/>
      <c r="I44" s="30"/>
      <c r="J44" s="55"/>
      <c r="K44" s="55"/>
      <c r="L44" s="55"/>
    </row>
    <row r="45" spans="1:12">
      <c r="A45" s="30" t="s">
        <v>225</v>
      </c>
      <c r="B45" s="40">
        <f ca="1">SUM(D41:H41)+B44</f>
        <v>122430.72639409217</v>
      </c>
      <c r="C45" s="68"/>
      <c r="D45" s="40"/>
      <c r="E45" s="40"/>
      <c r="F45" s="68"/>
      <c r="G45" s="30"/>
      <c r="H45" s="30"/>
      <c r="I45" s="30"/>
      <c r="J45" s="55"/>
      <c r="K45" s="55"/>
      <c r="L45" s="55"/>
    </row>
    <row r="46" spans="1:12" ht="15" thickBot="1">
      <c r="A46" s="70" t="s">
        <v>226</v>
      </c>
      <c r="B46" s="105">
        <f ca="1">B45/I4</f>
        <v>114.20683162542262</v>
      </c>
      <c r="C46" s="106"/>
      <c r="D46" s="106"/>
      <c r="E46" s="106"/>
      <c r="F46" s="106"/>
      <c r="G46" s="30"/>
      <c r="H46" s="30"/>
      <c r="I46" s="30"/>
      <c r="J46" s="55"/>
      <c r="K46" s="55"/>
      <c r="L46" s="55"/>
    </row>
    <row r="47" spans="1:12">
      <c r="A47" s="30"/>
      <c r="B47" s="30"/>
      <c r="C47" s="72" t="s">
        <v>222</v>
      </c>
      <c r="D47" s="72"/>
      <c r="E47" s="72"/>
      <c r="F47" s="72"/>
      <c r="G47" s="72"/>
      <c r="H47" s="72"/>
      <c r="I47" s="72"/>
      <c r="J47" s="55"/>
      <c r="K47" s="55"/>
      <c r="L47" s="55"/>
    </row>
    <row r="48" spans="1:12" ht="16.2" thickBot="1">
      <c r="A48" s="30"/>
      <c r="B48" s="73">
        <f ca="1">B46</f>
        <v>114.20683162542262</v>
      </c>
      <c r="C48" s="74">
        <f>D48-$L$26</f>
        <v>4.9999999999999984E-3</v>
      </c>
      <c r="D48" s="74">
        <f>E48-$L$26</f>
        <v>9.9999999999999985E-3</v>
      </c>
      <c r="E48" s="74">
        <f>F48-$L$26</f>
        <v>1.4999999999999999E-2</v>
      </c>
      <c r="F48" s="75">
        <v>0.02</v>
      </c>
      <c r="G48" s="74">
        <f>F48+$L$26</f>
        <v>2.5000000000000001E-2</v>
      </c>
      <c r="H48" s="74">
        <f>G48+$L$26</f>
        <v>3.0000000000000002E-2</v>
      </c>
      <c r="I48" s="74">
        <f>H48+$L$26</f>
        <v>3.5000000000000003E-2</v>
      </c>
      <c r="J48" s="55"/>
      <c r="K48" s="55"/>
      <c r="L48" s="55"/>
    </row>
    <row r="49" spans="1:12" ht="16.2" thickTop="1">
      <c r="A49" s="107"/>
      <c r="B49" s="77">
        <f>B50+$L$27</f>
        <v>0.10813423855456675</v>
      </c>
      <c r="C49" s="78">
        <f t="dataTable" ref="C49:I55" dt2D="1" dtr="1" r1="B19" r2="B3" ca="1"/>
        <v>83.89804103441972</v>
      </c>
      <c r="D49" s="79">
        <v>87.181443419404658</v>
      </c>
      <c r="E49" s="79">
        <v>90.81739095168912</v>
      </c>
      <c r="F49" s="80">
        <v>94.86588502569397</v>
      </c>
      <c r="G49" s="79">
        <v>99.401361857271965</v>
      </c>
      <c r="H49" s="79">
        <v>104.5173110804009</v>
      </c>
      <c r="I49" s="81">
        <v>110.33278891341779</v>
      </c>
      <c r="J49" s="55"/>
      <c r="K49" s="55"/>
      <c r="L49" s="55"/>
    </row>
    <row r="50" spans="1:12" ht="16.2" thickBot="1">
      <c r="A50" s="107"/>
      <c r="B50" s="77">
        <f>B51+$L$27</f>
        <v>0.10313423855456674</v>
      </c>
      <c r="C50" s="82">
        <v>88.167316706920829</v>
      </c>
      <c r="D50" s="83">
        <v>91.847909257126901</v>
      </c>
      <c r="E50" s="83">
        <v>95.946113919330429</v>
      </c>
      <c r="F50" s="84">
        <v>100.53728089567288</v>
      </c>
      <c r="G50" s="83">
        <v>105.71604775924477</v>
      </c>
      <c r="H50" s="83">
        <v>111.60293259408783</v>
      </c>
      <c r="I50" s="85">
        <v>118.35383014261643</v>
      </c>
      <c r="J50" s="55"/>
      <c r="K50" s="55"/>
      <c r="L50" s="55"/>
    </row>
    <row r="51" spans="1:12" ht="16.2" thickBot="1">
      <c r="A51" s="107"/>
      <c r="B51" s="77">
        <f>B52+$L$27</f>
        <v>9.8134238554566738E-2</v>
      </c>
      <c r="C51" s="82">
        <v>92.8954304893212</v>
      </c>
      <c r="D51" s="83">
        <v>97.044186130160043</v>
      </c>
      <c r="E51" s="86">
        <v>101.69198473006989</v>
      </c>
      <c r="F51" s="87">
        <v>106.93463120792561</v>
      </c>
      <c r="G51" s="88">
        <v>112.89413022728196</v>
      </c>
      <c r="H51" s="83">
        <v>119.72829947790301</v>
      </c>
      <c r="I51" s="85">
        <v>127.64495097699755</v>
      </c>
      <c r="J51" s="55"/>
      <c r="K51" s="55"/>
      <c r="L51" s="55"/>
    </row>
    <row r="52" spans="1:12" ht="16.2" thickBot="1">
      <c r="A52" s="107" t="s">
        <v>227</v>
      </c>
      <c r="B52" s="108">
        <f>Ke!D32</f>
        <v>9.3134238554566734E-2</v>
      </c>
      <c r="C52" s="91">
        <v>98.160482201136006</v>
      </c>
      <c r="D52" s="92">
        <v>102.86587421582495</v>
      </c>
      <c r="E52" s="93">
        <v>108.17348519389481</v>
      </c>
      <c r="F52" s="94">
        <v>114.20683162542262</v>
      </c>
      <c r="G52" s="95">
        <v>121.12568680549182</v>
      </c>
      <c r="H52" s="92">
        <v>129.14043786368896</v>
      </c>
      <c r="I52" s="96">
        <v>138.53385169574767</v>
      </c>
      <c r="J52" s="55"/>
      <c r="K52" s="55"/>
      <c r="L52" s="55"/>
    </row>
    <row r="53" spans="1:12" ht="16.2" thickBot="1">
      <c r="A53" s="107"/>
      <c r="B53" s="77">
        <f>B52-$L$27</f>
        <v>8.813423855456673E-2</v>
      </c>
      <c r="C53" s="82">
        <v>104.05936067617209</v>
      </c>
      <c r="D53" s="83">
        <v>109.43304455477521</v>
      </c>
      <c r="E53" s="97">
        <v>115.54149835575789</v>
      </c>
      <c r="F53" s="98">
        <v>122.54648434533925</v>
      </c>
      <c r="G53" s="99">
        <v>130.66100870109997</v>
      </c>
      <c r="H53" s="83">
        <v>140.17135840135956</v>
      </c>
      <c r="I53" s="85">
        <v>151.47158031188764</v>
      </c>
      <c r="J53" s="55"/>
      <c r="K53" s="55"/>
      <c r="L53" s="55"/>
    </row>
    <row r="54" spans="1:12" ht="15.6">
      <c r="A54" s="107"/>
      <c r="B54" s="77">
        <f>B53-$L$27</f>
        <v>8.3134238554566725E-2</v>
      </c>
      <c r="C54" s="82">
        <v>110.71375554057583</v>
      </c>
      <c r="D54" s="83">
        <v>116.89860410383081</v>
      </c>
      <c r="E54" s="83">
        <v>123.99119724521029</v>
      </c>
      <c r="F54" s="84">
        <v>132.20720508260283</v>
      </c>
      <c r="G54" s="83">
        <v>141.83649501358994</v>
      </c>
      <c r="H54" s="83">
        <v>153.27804201138306</v>
      </c>
      <c r="I54" s="85">
        <v>167.09659700626392</v>
      </c>
      <c r="J54" s="55"/>
      <c r="K54" s="55"/>
      <c r="L54" s="55"/>
    </row>
    <row r="55" spans="1:12" ht="16.2" thickBot="1">
      <c r="A55" s="107"/>
      <c r="B55" s="77">
        <f>B54-$L$27</f>
        <v>7.8134238554566721E-2</v>
      </c>
      <c r="C55" s="100">
        <v>118.27863504994046</v>
      </c>
      <c r="D55" s="101">
        <v>125.46034398238729</v>
      </c>
      <c r="E55" s="101">
        <v>133.77958289806816</v>
      </c>
      <c r="F55" s="102">
        <v>143.52986127044926</v>
      </c>
      <c r="G55" s="101">
        <v>155.11516704467553</v>
      </c>
      <c r="H55" s="101">
        <v>169.10734703611689</v>
      </c>
      <c r="I55" s="103">
        <v>186.34339557846371</v>
      </c>
      <c r="J55" s="55"/>
      <c r="K55" s="55"/>
      <c r="L55" s="55"/>
    </row>
    <row r="56" spans="1:12" ht="15" thickTop="1"/>
    <row r="59" spans="1:12">
      <c r="B59" s="584"/>
      <c r="C59" s="584"/>
      <c r="D59" s="584"/>
      <c r="E59" s="584"/>
      <c r="F59" s="584"/>
      <c r="G59" s="584"/>
      <c r="H59" s="584"/>
    </row>
    <row r="60" spans="1:12">
      <c r="B60" s="584"/>
      <c r="C60" s="584"/>
      <c r="D60" s="584"/>
      <c r="E60" s="584"/>
      <c r="F60" s="584"/>
      <c r="G60" s="584"/>
      <c r="H60" s="584"/>
    </row>
    <row r="61" spans="1:12">
      <c r="B61" s="16"/>
      <c r="C61" s="16"/>
      <c r="D61" s="16"/>
      <c r="E61" s="16"/>
      <c r="F61" s="16"/>
      <c r="G61" s="16"/>
      <c r="H61" s="16"/>
    </row>
  </sheetData>
  <mergeCells count="1">
    <mergeCell ref="G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A660-89E5-421C-83B8-502B0A851550}">
  <dimension ref="A1:W34"/>
  <sheetViews>
    <sheetView zoomScale="77" zoomScaleNormal="100" workbookViewId="0">
      <selection activeCell="D18" sqref="D18"/>
    </sheetView>
  </sheetViews>
  <sheetFormatPr defaultColWidth="8.77734375" defaultRowHeight="14.4"/>
  <cols>
    <col min="3" max="3" width="36.33203125" bestFit="1" customWidth="1"/>
    <col min="4" max="4" width="13.109375" bestFit="1" customWidth="1"/>
    <col min="6" max="6" width="13.109375" customWidth="1"/>
    <col min="10" max="10" width="9.44140625" bestFit="1" customWidth="1"/>
    <col min="14" max="14" width="19.6640625" bestFit="1" customWidth="1"/>
    <col min="15" max="15" width="19.109375" bestFit="1" customWidth="1"/>
  </cols>
  <sheetData>
    <row r="1" spans="1:15" ht="14.55" customHeight="1"/>
    <row r="2" spans="1:15" ht="14.55" customHeight="1">
      <c r="A2" s="17"/>
      <c r="B2" s="109" t="s">
        <v>303</v>
      </c>
      <c r="C2" s="109"/>
      <c r="D2" s="110" t="s">
        <v>304</v>
      </c>
      <c r="E2" s="109"/>
      <c r="F2" s="109"/>
      <c r="G2" s="111"/>
      <c r="H2" s="23"/>
      <c r="I2" s="23"/>
      <c r="J2" s="23"/>
      <c r="K2" s="23"/>
      <c r="L2" s="23"/>
      <c r="M2" s="23"/>
      <c r="N2" s="23"/>
      <c r="O2" s="23"/>
    </row>
    <row r="3" spans="1:15" ht="14.55" customHeight="1">
      <c r="A3" s="17"/>
      <c r="B3" s="112" t="s">
        <v>325</v>
      </c>
      <c r="C3" s="112"/>
      <c r="D3" s="112" t="s">
        <v>324</v>
      </c>
      <c r="E3" s="109"/>
      <c r="F3" s="109"/>
      <c r="G3" s="111"/>
      <c r="H3" s="23"/>
      <c r="I3" s="23"/>
      <c r="J3" s="23"/>
      <c r="K3" s="23"/>
      <c r="L3" s="23"/>
      <c r="M3" s="23"/>
      <c r="N3" s="23"/>
      <c r="O3" s="23"/>
    </row>
    <row r="4" spans="1:15" ht="14.55" customHeight="1">
      <c r="A4" s="17"/>
      <c r="B4" s="110" t="s">
        <v>186</v>
      </c>
      <c r="C4" s="110"/>
      <c r="D4" s="110"/>
      <c r="E4" s="109"/>
      <c r="F4" s="109"/>
      <c r="G4" s="111"/>
      <c r="H4" s="23"/>
      <c r="I4" s="23"/>
      <c r="J4" s="23"/>
      <c r="K4" s="23"/>
      <c r="L4" s="23"/>
      <c r="M4" s="23"/>
      <c r="N4" s="23"/>
      <c r="O4" s="23"/>
    </row>
    <row r="5" spans="1:15" ht="14.55" customHeight="1">
      <c r="A5" s="17"/>
      <c r="B5" s="109" t="s">
        <v>411</v>
      </c>
      <c r="C5" s="109"/>
      <c r="D5" s="110"/>
      <c r="E5" s="109"/>
      <c r="F5" s="109"/>
      <c r="G5" s="111"/>
      <c r="H5" s="23"/>
      <c r="I5" s="23"/>
      <c r="J5" s="23"/>
      <c r="K5" s="23"/>
      <c r="L5" s="23"/>
      <c r="M5" s="23"/>
      <c r="N5" s="23"/>
      <c r="O5" s="23"/>
    </row>
    <row r="6" spans="1:15" ht="14.55" customHeight="1" thickBot="1">
      <c r="A6" s="17"/>
      <c r="B6" s="109"/>
      <c r="C6" s="113"/>
      <c r="D6" s="110"/>
      <c r="E6" s="109"/>
      <c r="F6" s="109"/>
      <c r="G6" s="111"/>
      <c r="H6" s="23"/>
      <c r="I6" s="23"/>
      <c r="J6" s="23"/>
      <c r="K6" s="23"/>
      <c r="L6" s="23"/>
      <c r="M6" s="23"/>
      <c r="N6" s="23"/>
      <c r="O6" s="23"/>
    </row>
    <row r="7" spans="1:15" ht="14.55" customHeight="1">
      <c r="A7" s="17"/>
      <c r="B7" s="114" t="s">
        <v>187</v>
      </c>
      <c r="C7" s="116"/>
      <c r="D7" s="115" t="s">
        <v>188</v>
      </c>
      <c r="E7" s="116" t="s">
        <v>188</v>
      </c>
      <c r="F7" s="117" t="s">
        <v>189</v>
      </c>
      <c r="G7" s="111"/>
      <c r="H7" s="23"/>
      <c r="I7" s="23"/>
      <c r="J7" s="23"/>
      <c r="K7" s="23"/>
      <c r="L7" s="23"/>
      <c r="M7" s="23"/>
      <c r="N7" s="23"/>
      <c r="O7" s="23"/>
    </row>
    <row r="8" spans="1:15" ht="14.55" customHeight="1">
      <c r="A8" s="17"/>
      <c r="B8" s="118" t="s">
        <v>188</v>
      </c>
      <c r="C8" s="109" t="s">
        <v>190</v>
      </c>
      <c r="D8" s="585">
        <v>20.57</v>
      </c>
      <c r="E8" s="586"/>
      <c r="F8" s="119" t="s">
        <v>191</v>
      </c>
      <c r="G8" s="111"/>
      <c r="H8" s="23"/>
      <c r="I8" s="23"/>
      <c r="J8" s="23"/>
      <c r="K8" s="23"/>
      <c r="L8" s="23"/>
      <c r="M8" s="23"/>
      <c r="N8" s="23"/>
      <c r="O8" s="23"/>
    </row>
    <row r="9" spans="1:15" ht="14.55" customHeight="1">
      <c r="A9" s="17"/>
      <c r="B9" s="118" t="s">
        <v>188</v>
      </c>
      <c r="C9" s="109" t="s">
        <v>412</v>
      </c>
      <c r="D9" s="587">
        <v>0.122</v>
      </c>
      <c r="E9" s="586" t="s">
        <v>305</v>
      </c>
      <c r="F9" s="120" t="s">
        <v>306</v>
      </c>
      <c r="G9" s="111" t="s">
        <v>307</v>
      </c>
      <c r="H9" s="121"/>
      <c r="I9" s="23"/>
      <c r="J9" s="23"/>
      <c r="K9" s="23"/>
      <c r="L9" s="23"/>
      <c r="M9" s="23"/>
      <c r="N9" s="23"/>
      <c r="O9" s="23"/>
    </row>
    <row r="10" spans="1:15" ht="14.55" customHeight="1">
      <c r="A10" s="17"/>
      <c r="B10" s="118" t="s">
        <v>188</v>
      </c>
      <c r="C10" s="109" t="s">
        <v>413</v>
      </c>
      <c r="D10" s="587">
        <v>4.2999999999999997E-2</v>
      </c>
      <c r="E10" s="586"/>
      <c r="F10" s="120" t="s">
        <v>308</v>
      </c>
      <c r="G10" s="111"/>
      <c r="H10" s="23"/>
      <c r="I10" s="23"/>
      <c r="J10" s="23"/>
      <c r="K10" s="23"/>
      <c r="L10" s="23"/>
      <c r="M10" s="23"/>
      <c r="N10" s="23"/>
      <c r="O10" s="23"/>
    </row>
    <row r="11" spans="1:15" ht="14.55" customHeight="1">
      <c r="A11" s="17"/>
      <c r="B11" s="118" t="s">
        <v>188</v>
      </c>
      <c r="C11" s="109" t="s">
        <v>414</v>
      </c>
      <c r="D11" s="588">
        <f>((1+D9)/D8)+D9</f>
        <v>0.17654545454545453</v>
      </c>
      <c r="E11" s="109"/>
      <c r="F11" s="122" t="s">
        <v>188</v>
      </c>
      <c r="G11" s="111"/>
      <c r="H11" s="23"/>
      <c r="I11" s="23"/>
      <c r="J11" s="23"/>
      <c r="K11" s="23"/>
      <c r="L11" s="23"/>
      <c r="M11" s="23"/>
      <c r="N11" s="23"/>
      <c r="O11" s="23"/>
    </row>
    <row r="12" spans="1:15" ht="14.55" customHeight="1">
      <c r="A12" s="17"/>
      <c r="B12" s="118" t="s">
        <v>188</v>
      </c>
      <c r="C12" s="109" t="s">
        <v>415</v>
      </c>
      <c r="D12" s="589">
        <f>+D11-D10</f>
        <v>0.13354545454545452</v>
      </c>
      <c r="E12" s="109"/>
      <c r="F12" s="122" t="s">
        <v>188</v>
      </c>
      <c r="G12" s="111"/>
      <c r="H12" s="23"/>
      <c r="I12" s="23"/>
      <c r="J12" s="23"/>
      <c r="K12" s="23"/>
      <c r="L12" s="23"/>
      <c r="M12" s="23"/>
      <c r="N12" s="23"/>
      <c r="O12" s="23"/>
    </row>
    <row r="13" spans="1:15" ht="14.55" customHeight="1">
      <c r="A13" s="17"/>
      <c r="B13" s="118" t="s">
        <v>188</v>
      </c>
      <c r="C13" s="109"/>
      <c r="D13" s="110"/>
      <c r="E13" s="109"/>
      <c r="F13" s="122" t="s">
        <v>188</v>
      </c>
      <c r="G13" s="111"/>
      <c r="H13" s="23"/>
      <c r="I13" s="23"/>
      <c r="J13" s="23"/>
      <c r="K13" s="23"/>
      <c r="L13" s="23"/>
      <c r="M13" s="23"/>
      <c r="N13" s="23"/>
      <c r="O13" s="23"/>
    </row>
    <row r="14" spans="1:15" ht="14.55" customHeight="1">
      <c r="A14" s="17"/>
      <c r="B14" s="118" t="s">
        <v>188</v>
      </c>
      <c r="C14" s="109"/>
      <c r="D14" s="110"/>
      <c r="E14" s="109"/>
      <c r="F14" s="122" t="s">
        <v>188</v>
      </c>
      <c r="G14" s="111"/>
      <c r="H14" s="23"/>
      <c r="I14" s="23"/>
      <c r="J14" s="23"/>
      <c r="K14" s="23"/>
      <c r="L14" s="23"/>
      <c r="M14" s="23"/>
      <c r="N14" s="23"/>
      <c r="O14" s="23"/>
    </row>
    <row r="15" spans="1:15" ht="14.55" customHeight="1">
      <c r="A15" s="17"/>
      <c r="B15" s="123" t="s">
        <v>137</v>
      </c>
      <c r="C15" s="590"/>
      <c r="D15" s="590" t="s">
        <v>188</v>
      </c>
      <c r="E15" s="591" t="s">
        <v>188</v>
      </c>
      <c r="F15" s="124" t="s">
        <v>188</v>
      </c>
      <c r="G15" s="111"/>
      <c r="H15" s="23"/>
      <c r="I15" s="125"/>
      <c r="J15" s="125"/>
      <c r="K15" s="125"/>
      <c r="L15" s="125"/>
      <c r="M15" s="125"/>
      <c r="N15" s="125"/>
      <c r="O15" s="125"/>
    </row>
    <row r="16" spans="1:15" ht="14.55" customHeight="1">
      <c r="A16" s="17"/>
      <c r="B16" s="126" t="s">
        <v>325</v>
      </c>
      <c r="C16" s="110"/>
      <c r="D16" s="110"/>
      <c r="E16" s="109"/>
      <c r="F16" s="122" t="s">
        <v>188</v>
      </c>
      <c r="G16" s="111"/>
      <c r="H16" s="23"/>
      <c r="I16" s="125"/>
      <c r="J16" s="125"/>
      <c r="K16" s="125"/>
      <c r="L16" s="125"/>
      <c r="M16" s="125"/>
      <c r="N16" s="125"/>
      <c r="O16" s="125"/>
    </row>
    <row r="17" spans="1:23" ht="14.55" customHeight="1">
      <c r="A17" s="17"/>
      <c r="B17" s="118" t="s">
        <v>188</v>
      </c>
      <c r="C17" s="109" t="s">
        <v>192</v>
      </c>
      <c r="D17" s="592">
        <v>101</v>
      </c>
      <c r="E17" s="593"/>
      <c r="F17" s="120" t="s">
        <v>309</v>
      </c>
      <c r="G17" s="111"/>
      <c r="H17" s="23"/>
      <c r="I17" s="125"/>
      <c r="J17" s="451" t="s">
        <v>188</v>
      </c>
      <c r="K17" s="451" t="s">
        <v>127</v>
      </c>
      <c r="L17" s="451" t="s">
        <v>188</v>
      </c>
      <c r="M17" s="451"/>
      <c r="N17" s="451" t="s">
        <v>188</v>
      </c>
      <c r="O17" s="451" t="s">
        <v>188</v>
      </c>
    </row>
    <row r="18" spans="1:23" ht="14.55" customHeight="1">
      <c r="A18" s="17"/>
      <c r="B18" s="118" t="s">
        <v>188</v>
      </c>
      <c r="C18" s="109" t="s">
        <v>193</v>
      </c>
      <c r="D18" s="592">
        <v>8.92</v>
      </c>
      <c r="E18" s="586"/>
      <c r="F18" s="120" t="s">
        <v>309</v>
      </c>
      <c r="G18" s="111"/>
      <c r="H18" s="23"/>
      <c r="I18" s="125"/>
      <c r="J18" s="452" t="s">
        <v>310</v>
      </c>
      <c r="K18" s="453" t="s">
        <v>196</v>
      </c>
      <c r="L18" s="453" t="s">
        <v>197</v>
      </c>
      <c r="M18" s="453" t="s">
        <v>137</v>
      </c>
      <c r="N18" s="453" t="s">
        <v>416</v>
      </c>
      <c r="O18" s="453" t="s">
        <v>417</v>
      </c>
    </row>
    <row r="19" spans="1:23" ht="14.55" customHeight="1">
      <c r="A19" s="17"/>
      <c r="B19" s="118" t="s">
        <v>188</v>
      </c>
      <c r="C19" s="109" t="s">
        <v>194</v>
      </c>
      <c r="D19" s="594">
        <f>D17/D18</f>
        <v>11.322869955156952</v>
      </c>
      <c r="E19" s="595"/>
      <c r="F19" s="122" t="s">
        <v>188</v>
      </c>
      <c r="G19" s="111"/>
      <c r="H19" s="23"/>
      <c r="I19" s="125"/>
      <c r="J19" s="128" t="s">
        <v>320</v>
      </c>
      <c r="K19" s="129">
        <v>0.25</v>
      </c>
      <c r="L19" s="130">
        <v>0.22</v>
      </c>
      <c r="M19" s="131">
        <v>0.5</v>
      </c>
      <c r="N19" s="129">
        <f>M19/(1+((1-L19)*K19))</f>
        <v>0.41841004184100417</v>
      </c>
      <c r="O19" s="129">
        <f>N19*(1+((1-$L$26)*$K$26))</f>
        <v>0.50558635005745811</v>
      </c>
      <c r="R19" s="12"/>
      <c r="S19" s="13"/>
      <c r="T19" s="14"/>
      <c r="U19" s="10"/>
      <c r="V19" s="10"/>
      <c r="W19" s="10"/>
    </row>
    <row r="20" spans="1:23" ht="14.55" customHeight="1">
      <c r="A20" s="17"/>
      <c r="B20" s="118" t="s">
        <v>188</v>
      </c>
      <c r="C20" s="109" t="s">
        <v>195</v>
      </c>
      <c r="D20" s="587">
        <v>0.58499999999999996</v>
      </c>
      <c r="E20" s="586"/>
      <c r="F20" s="120" t="s">
        <v>311</v>
      </c>
      <c r="G20" s="111" t="s">
        <v>307</v>
      </c>
      <c r="H20" s="23"/>
      <c r="I20" s="125"/>
      <c r="J20" s="128" t="s">
        <v>321</v>
      </c>
      <c r="K20" s="129">
        <f>'Comps no formula'!K40/100</f>
        <v>0.56634752182100001</v>
      </c>
      <c r="L20" s="130">
        <v>0.34200000000000003</v>
      </c>
      <c r="M20" s="131">
        <v>1.72</v>
      </c>
      <c r="N20" s="129">
        <f>M20/(1+((1-L20)*K20))</f>
        <v>1.253044580189292</v>
      </c>
      <c r="O20" s="129">
        <f>N20*(1+((1-$L$26)*$K$26))</f>
        <v>1.51411814345967</v>
      </c>
      <c r="R20" s="10"/>
      <c r="S20" s="11"/>
      <c r="T20" s="14"/>
      <c r="U20" s="10"/>
      <c r="V20" s="18"/>
      <c r="W20" s="10"/>
    </row>
    <row r="21" spans="1:23" ht="14.55" customHeight="1">
      <c r="A21" s="17"/>
      <c r="B21" s="118" t="s">
        <v>188</v>
      </c>
      <c r="C21" s="109" t="s">
        <v>198</v>
      </c>
      <c r="D21" s="589">
        <f>+((1+D20)/D19)+D20</f>
        <v>0.72498217821782174</v>
      </c>
      <c r="E21" s="109"/>
      <c r="F21" s="122" t="s">
        <v>188</v>
      </c>
      <c r="G21" s="111"/>
      <c r="H21" s="23"/>
      <c r="I21" s="125"/>
      <c r="J21" s="128" t="s">
        <v>322</v>
      </c>
      <c r="K21" s="129">
        <f>'Comps no formula'!K41/100</f>
        <v>6.1546016156999998E-2</v>
      </c>
      <c r="L21" s="130">
        <v>0.32800000000000001</v>
      </c>
      <c r="M21" s="131">
        <v>1.18</v>
      </c>
      <c r="N21" s="129">
        <f>M21/(1+((1-L21)*K21))</f>
        <v>1.1331347666009937</v>
      </c>
      <c r="O21" s="129">
        <f>N21*(1+((1-$L$26)*$K$26))</f>
        <v>1.3692249551379247</v>
      </c>
      <c r="R21" s="10"/>
      <c r="S21" s="11"/>
      <c r="T21" s="14"/>
      <c r="U21" s="10"/>
      <c r="V21" s="18"/>
      <c r="W21" s="10"/>
    </row>
    <row r="22" spans="1:23" ht="14.55" customHeight="1">
      <c r="A22" s="17"/>
      <c r="B22" s="118" t="s">
        <v>188</v>
      </c>
      <c r="C22" s="109" t="s">
        <v>199</v>
      </c>
      <c r="D22" s="594">
        <f>(D21-D10)/D12</f>
        <v>5.1067419744016611</v>
      </c>
      <c r="E22" s="109"/>
      <c r="F22" s="122" t="s">
        <v>188</v>
      </c>
      <c r="G22" s="111"/>
      <c r="H22" s="23"/>
      <c r="I22" s="125"/>
      <c r="J22" s="132" t="s">
        <v>323</v>
      </c>
      <c r="K22" s="129">
        <f>'Comps no formula'!K42/100</f>
        <v>0.19621945249799999</v>
      </c>
      <c r="L22" s="130">
        <v>0.188</v>
      </c>
      <c r="M22" s="131">
        <v>0.98</v>
      </c>
      <c r="N22" s="129">
        <f>M22/(1+((1-L22)*K22))</f>
        <v>0.84531568647522992</v>
      </c>
      <c r="O22" s="129">
        <f>N22*(1+((1-$L$26)*$K$26))</f>
        <v>1.0214383734454695</v>
      </c>
      <c r="R22" s="10"/>
      <c r="S22" s="11"/>
      <c r="T22" s="14"/>
      <c r="U22" s="10"/>
      <c r="V22" s="18"/>
      <c r="W22" s="10"/>
    </row>
    <row r="23" spans="1:23" ht="14.55" customHeight="1">
      <c r="A23" s="17"/>
      <c r="B23" s="118" t="s">
        <v>188</v>
      </c>
      <c r="C23" s="109" t="s">
        <v>312</v>
      </c>
      <c r="D23" s="596">
        <v>0.44</v>
      </c>
      <c r="E23" s="109"/>
      <c r="F23" s="120" t="s">
        <v>309</v>
      </c>
      <c r="G23" s="111"/>
      <c r="H23" s="23"/>
      <c r="I23" s="125"/>
      <c r="J23" s="127" t="s">
        <v>188</v>
      </c>
      <c r="K23" s="129"/>
      <c r="L23" s="133"/>
      <c r="M23" s="131"/>
      <c r="N23" s="127"/>
      <c r="O23" s="454">
        <f>+AVERAGE(O19:O22)</f>
        <v>1.1025919555251305</v>
      </c>
      <c r="R23" s="10"/>
      <c r="S23" s="11"/>
      <c r="T23" s="14"/>
      <c r="U23" s="10"/>
      <c r="V23" s="18"/>
      <c r="W23" s="10"/>
    </row>
    <row r="24" spans="1:23" ht="14.55" customHeight="1">
      <c r="A24" s="17"/>
      <c r="B24" s="126"/>
      <c r="C24" s="110" t="s">
        <v>313</v>
      </c>
      <c r="D24" s="594">
        <f>+(D22+D23)/2</f>
        <v>2.7733709872008308</v>
      </c>
      <c r="E24" s="109"/>
      <c r="F24" s="122"/>
      <c r="G24" s="23"/>
      <c r="H24" s="23"/>
      <c r="I24" s="125"/>
      <c r="J24" s="127" t="s">
        <v>188</v>
      </c>
      <c r="K24" s="127"/>
      <c r="L24" s="127"/>
      <c r="M24" s="127"/>
      <c r="N24" s="127"/>
      <c r="O24" s="127" t="s">
        <v>188</v>
      </c>
      <c r="R24" s="10"/>
      <c r="S24" s="11"/>
      <c r="T24" s="14"/>
      <c r="U24" s="12"/>
      <c r="V24" s="12"/>
      <c r="W24" s="10"/>
    </row>
    <row r="25" spans="1:23" ht="14.55" customHeight="1">
      <c r="A25" s="17"/>
      <c r="B25" s="126"/>
      <c r="C25" s="110" t="s">
        <v>314</v>
      </c>
      <c r="D25" s="594">
        <f>+O23</f>
        <v>1.1025919555251305</v>
      </c>
      <c r="E25" s="109"/>
      <c r="F25" s="122" t="s">
        <v>315</v>
      </c>
      <c r="G25" s="111"/>
      <c r="H25" s="23"/>
      <c r="I25" s="125"/>
      <c r="J25" s="453" t="s">
        <v>188</v>
      </c>
      <c r="K25" s="453" t="s">
        <v>196</v>
      </c>
      <c r="L25" s="453" t="s">
        <v>197</v>
      </c>
      <c r="M25" s="453"/>
      <c r="N25" s="453"/>
      <c r="O25" s="453" t="s">
        <v>200</v>
      </c>
    </row>
    <row r="26" spans="1:23" ht="14.55" customHeight="1">
      <c r="A26" s="17"/>
      <c r="B26" s="118" t="s">
        <v>188</v>
      </c>
      <c r="C26" s="109"/>
      <c r="D26" s="110"/>
      <c r="E26" s="109"/>
      <c r="F26" s="122" t="s">
        <v>188</v>
      </c>
      <c r="G26" s="111"/>
      <c r="H26" s="23"/>
      <c r="I26" s="125"/>
      <c r="J26" s="127" t="s">
        <v>324</v>
      </c>
      <c r="K26" s="129">
        <f>'Comps no formula'!K43/100</f>
        <v>0.29978615343499998</v>
      </c>
      <c r="L26" s="130">
        <v>0.30499999999999999</v>
      </c>
      <c r="M26" s="131">
        <v>0.43</v>
      </c>
      <c r="N26" s="129">
        <f>M26/(1+((1-L26)*K26))</f>
        <v>0.35585675517383908</v>
      </c>
      <c r="O26" s="127">
        <f>N26*(1+((1-L26)*K26))</f>
        <v>0.43</v>
      </c>
    </row>
    <row r="27" spans="1:23" ht="14.55" customHeight="1">
      <c r="A27" s="17"/>
      <c r="B27" s="123" t="s">
        <v>201</v>
      </c>
      <c r="C27" s="590"/>
      <c r="D27" s="590" t="s">
        <v>188</v>
      </c>
      <c r="E27" s="591" t="s">
        <v>188</v>
      </c>
      <c r="F27" s="124" t="s">
        <v>188</v>
      </c>
      <c r="G27" s="111"/>
      <c r="H27" s="23"/>
      <c r="I27" s="125"/>
      <c r="J27" s="125"/>
      <c r="K27" s="125"/>
      <c r="L27" s="125"/>
      <c r="M27" s="125"/>
      <c r="N27" s="125"/>
      <c r="O27" s="125"/>
    </row>
    <row r="28" spans="1:23" ht="14.55" customHeight="1">
      <c r="A28" s="17"/>
      <c r="B28" s="118" t="s">
        <v>188</v>
      </c>
      <c r="C28" s="109" t="s">
        <v>202</v>
      </c>
      <c r="D28" s="587">
        <v>6.5000000000000002E-2</v>
      </c>
      <c r="E28" s="586"/>
      <c r="F28" s="134" t="s">
        <v>188</v>
      </c>
      <c r="G28" s="111"/>
      <c r="H28" s="23"/>
      <c r="I28" s="125"/>
      <c r="J28" s="125"/>
      <c r="K28" s="125"/>
      <c r="L28" s="135"/>
      <c r="M28" s="135"/>
      <c r="N28" s="135"/>
      <c r="O28" s="125"/>
    </row>
    <row r="29" spans="1:23" ht="14.55" customHeight="1">
      <c r="A29" s="17"/>
      <c r="B29" s="118" t="s">
        <v>188</v>
      </c>
      <c r="C29" s="109" t="s">
        <v>203</v>
      </c>
      <c r="D29" s="597">
        <f>+$D$10+D22*($D$28)</f>
        <v>0.37493822833610796</v>
      </c>
      <c r="E29" s="597">
        <v>0</v>
      </c>
      <c r="F29" s="122" t="s">
        <v>188</v>
      </c>
      <c r="G29" s="111"/>
      <c r="H29" s="23"/>
      <c r="I29" s="125"/>
      <c r="J29" s="125"/>
      <c r="K29" s="125"/>
      <c r="L29" s="125"/>
      <c r="M29" s="125"/>
      <c r="N29" s="125"/>
      <c r="O29" s="125"/>
    </row>
    <row r="30" spans="1:23" ht="14.55" customHeight="1">
      <c r="A30" s="17"/>
      <c r="B30" s="118" t="s">
        <v>188</v>
      </c>
      <c r="C30" s="109" t="s">
        <v>204</v>
      </c>
      <c r="D30" s="597">
        <f>+$D$10+D23*($D$28)</f>
        <v>7.1599999999999997E-2</v>
      </c>
      <c r="E30" s="597">
        <v>0.5</v>
      </c>
      <c r="F30" s="122" t="s">
        <v>188</v>
      </c>
      <c r="G30" s="111"/>
      <c r="H30" s="23"/>
      <c r="I30" s="23"/>
      <c r="J30" s="23"/>
      <c r="K30" s="23"/>
      <c r="L30" s="23"/>
      <c r="M30" s="23"/>
      <c r="N30" s="23"/>
      <c r="O30" s="23"/>
    </row>
    <row r="31" spans="1:23" ht="14.55" customHeight="1">
      <c r="A31" s="17"/>
      <c r="B31" s="118" t="s">
        <v>188</v>
      </c>
      <c r="C31" s="109" t="s">
        <v>314</v>
      </c>
      <c r="D31" s="597">
        <f>+$D$10+D25*($D$28)</f>
        <v>0.11466847710913348</v>
      </c>
      <c r="E31" s="597">
        <v>0.5</v>
      </c>
      <c r="F31" s="122" t="s">
        <v>188</v>
      </c>
      <c r="G31" s="111"/>
      <c r="H31" s="23"/>
      <c r="I31" s="23"/>
      <c r="J31" s="23"/>
      <c r="K31" s="23"/>
      <c r="L31" s="23"/>
      <c r="M31" s="23"/>
      <c r="N31" s="23"/>
      <c r="O31" s="23"/>
    </row>
    <row r="32" spans="1:23" ht="14.55" customHeight="1">
      <c r="A32" s="17"/>
      <c r="B32" s="118" t="s">
        <v>188</v>
      </c>
      <c r="C32" s="598" t="s">
        <v>205</v>
      </c>
      <c r="D32" s="599">
        <f>+SUMPRODUCT(D29:D31,E29:E31)</f>
        <v>9.3134238554566734E-2</v>
      </c>
      <c r="E32" s="109"/>
      <c r="F32" s="122" t="s">
        <v>188</v>
      </c>
      <c r="G32" s="111"/>
      <c r="H32" s="23"/>
      <c r="I32" s="23"/>
      <c r="J32" s="23"/>
      <c r="K32" s="23"/>
      <c r="L32" s="23"/>
      <c r="M32" s="23"/>
      <c r="N32" s="23"/>
      <c r="O32" s="23"/>
    </row>
    <row r="33" spans="1:15" ht="14.55" customHeight="1">
      <c r="A33" s="17"/>
      <c r="B33" s="118" t="s">
        <v>188</v>
      </c>
      <c r="C33" s="109"/>
      <c r="D33" s="110"/>
      <c r="E33" s="109"/>
      <c r="F33" s="122" t="s">
        <v>188</v>
      </c>
      <c r="G33" s="111"/>
      <c r="H33" s="23"/>
      <c r="I33" s="23"/>
      <c r="J33" s="23"/>
      <c r="K33" s="23"/>
      <c r="L33" s="23"/>
      <c r="M33" s="23"/>
      <c r="N33" s="23"/>
      <c r="O33" s="23"/>
    </row>
    <row r="34" spans="1:15" ht="14.55" customHeight="1" thickBot="1">
      <c r="A34" s="17"/>
      <c r="B34" s="136" t="s">
        <v>188</v>
      </c>
      <c r="C34" s="137" t="s">
        <v>206</v>
      </c>
      <c r="D34" s="138">
        <f>+D10+1*D28</f>
        <v>0.108</v>
      </c>
      <c r="E34" s="139" t="s">
        <v>188</v>
      </c>
      <c r="F34" s="140" t="s">
        <v>188</v>
      </c>
      <c r="G34" s="111"/>
      <c r="H34" s="23"/>
      <c r="I34" s="23"/>
      <c r="J34" s="23"/>
      <c r="K34" s="23"/>
      <c r="L34" s="23"/>
      <c r="M34" s="23"/>
      <c r="N34" s="23"/>
      <c r="O34" s="23"/>
    </row>
  </sheetData>
  <hyperlinks>
    <hyperlink ref="F8" r:id="rId1" xr:uid="{E8BDE623-2C99-B64F-A428-BEBE1895793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3B51-992D-49AB-8C18-21A228A03273}">
  <dimension ref="A2:N65"/>
  <sheetViews>
    <sheetView zoomScale="61" zoomScaleNormal="100" workbookViewId="0">
      <pane ySplit="3" topLeftCell="A4" activePane="bottomLeft" state="frozen"/>
      <selection pane="bottomLeft" activeCell="S26" sqref="S26"/>
    </sheetView>
  </sheetViews>
  <sheetFormatPr defaultColWidth="8.77734375" defaultRowHeight="14.4"/>
  <cols>
    <col min="1" max="1" width="28.77734375" bestFit="1" customWidth="1"/>
    <col min="7" max="7" width="9.44140625" bestFit="1" customWidth="1"/>
    <col min="8" max="8" width="8.77734375" customWidth="1"/>
    <col min="9" max="9" width="11.109375" bestFit="1" customWidth="1"/>
  </cols>
  <sheetData>
    <row r="2" spans="1:14" ht="15" thickBot="1">
      <c r="A2" s="23" t="s">
        <v>37</v>
      </c>
      <c r="B2" s="23"/>
      <c r="C2" s="23"/>
      <c r="D2" s="602" t="s">
        <v>400</v>
      </c>
      <c r="E2" s="602"/>
      <c r="F2" s="602"/>
      <c r="G2" s="602"/>
      <c r="H2" s="602"/>
      <c r="I2" s="141"/>
      <c r="J2" s="23"/>
      <c r="K2" s="23"/>
      <c r="L2" s="23"/>
      <c r="M2" s="23"/>
      <c r="N2" s="23"/>
    </row>
    <row r="3" spans="1:14">
      <c r="A3" s="142" t="s">
        <v>38</v>
      </c>
      <c r="B3" s="143">
        <v>2020</v>
      </c>
      <c r="C3" s="143">
        <v>2021</v>
      </c>
      <c r="D3" s="143">
        <v>2022</v>
      </c>
      <c r="E3" s="143">
        <v>2023</v>
      </c>
      <c r="F3" s="143">
        <v>2024</v>
      </c>
      <c r="G3" s="143" t="s">
        <v>406</v>
      </c>
      <c r="H3" s="143" t="s">
        <v>3</v>
      </c>
      <c r="I3" s="143" t="s">
        <v>4</v>
      </c>
      <c r="J3" s="143" t="s">
        <v>5</v>
      </c>
      <c r="K3" s="143" t="s">
        <v>6</v>
      </c>
      <c r="L3" s="144" t="s">
        <v>7</v>
      </c>
      <c r="M3" s="23"/>
      <c r="N3" s="23"/>
    </row>
    <row r="4" spans="1:14">
      <c r="A4" s="145" t="s">
        <v>1</v>
      </c>
      <c r="B4" s="146">
        <v>10350</v>
      </c>
      <c r="C4" s="146">
        <v>10543</v>
      </c>
      <c r="D4" s="146">
        <v>10416</v>
      </c>
      <c r="E4" s="146">
        <v>10593</v>
      </c>
      <c r="F4" s="146">
        <v>15746</v>
      </c>
      <c r="G4" s="147">
        <v>19304</v>
      </c>
      <c r="H4" s="147">
        <f>H24*(H15/1000)</f>
        <v>23141.774999999998</v>
      </c>
      <c r="I4" s="147">
        <f t="shared" ref="I4:L4" si="0">I24*(I15/1000)</f>
        <v>26579.621906666664</v>
      </c>
      <c r="J4" s="147">
        <f t="shared" si="0"/>
        <v>27584.599759749999</v>
      </c>
      <c r="K4" s="147">
        <f t="shared" si="0"/>
        <v>28482.751847494335</v>
      </c>
      <c r="L4" s="148">
        <f t="shared" si="0"/>
        <v>29245.009135484819</v>
      </c>
      <c r="M4" s="23"/>
      <c r="N4" s="23"/>
    </row>
    <row r="5" spans="1:14">
      <c r="A5" s="513" t="s">
        <v>2</v>
      </c>
      <c r="B5" s="514">
        <v>510</v>
      </c>
      <c r="C5" s="514">
        <v>651</v>
      </c>
      <c r="D5" s="514">
        <v>549</v>
      </c>
      <c r="E5" s="514">
        <v>335</v>
      </c>
      <c r="F5" s="514">
        <v>792</v>
      </c>
      <c r="G5" s="515">
        <v>1080</v>
      </c>
      <c r="H5" s="515">
        <f>+H25*H16</f>
        <v>2464</v>
      </c>
      <c r="I5" s="515">
        <f t="shared" ref="H5:L6" si="1">+I25*I16</f>
        <v>2100</v>
      </c>
      <c r="J5" s="515">
        <f t="shared" si="1"/>
        <v>2129.6800000000003</v>
      </c>
      <c r="K5" s="515">
        <f t="shared" si="1"/>
        <v>2213.3720000000003</v>
      </c>
      <c r="L5" s="516">
        <f t="shared" si="1"/>
        <v>2233.84</v>
      </c>
      <c r="M5" s="23"/>
      <c r="N5" s="23"/>
    </row>
    <row r="6" spans="1:14">
      <c r="A6" s="145" t="s">
        <v>9</v>
      </c>
      <c r="B6" s="146">
        <v>155</v>
      </c>
      <c r="C6" s="146">
        <v>295</v>
      </c>
      <c r="D6" s="146">
        <v>316</v>
      </c>
      <c r="E6" s="146">
        <v>575</v>
      </c>
      <c r="F6" s="146">
        <v>1327</v>
      </c>
      <c r="G6" s="147">
        <v>1438</v>
      </c>
      <c r="H6" s="147">
        <f t="shared" si="1"/>
        <v>1255.5</v>
      </c>
      <c r="I6" s="147">
        <f t="shared" si="1"/>
        <v>1894.0880000000002</v>
      </c>
      <c r="J6" s="147">
        <f t="shared" si="1"/>
        <v>1964.3066666666668</v>
      </c>
      <c r="K6" s="147">
        <f t="shared" si="1"/>
        <v>2137.5833333333335</v>
      </c>
      <c r="L6" s="148">
        <f t="shared" si="1"/>
        <v>2194.0306666666665</v>
      </c>
      <c r="M6" s="23"/>
      <c r="N6" s="23"/>
    </row>
    <row r="7" spans="1:14">
      <c r="A7" s="513" t="s">
        <v>10</v>
      </c>
      <c r="B7" s="514">
        <v>348</v>
      </c>
      <c r="C7" s="514">
        <v>561</v>
      </c>
      <c r="D7" s="514">
        <v>501</v>
      </c>
      <c r="E7" s="514">
        <v>213</v>
      </c>
      <c r="F7" s="514">
        <v>622</v>
      </c>
      <c r="G7" s="515">
        <v>664</v>
      </c>
      <c r="H7" s="515">
        <f>+H27*H18</f>
        <v>544.17000000000007</v>
      </c>
      <c r="I7" s="515">
        <f>+I27*I18</f>
        <v>769.62666666666667</v>
      </c>
      <c r="J7" s="515">
        <f>+J27*J18</f>
        <v>781.2</v>
      </c>
      <c r="K7" s="515">
        <f>+K27*K18</f>
        <v>792.77333333333331</v>
      </c>
      <c r="L7" s="516">
        <f>+L27*L18</f>
        <v>804.34666666666658</v>
      </c>
      <c r="M7" s="23"/>
      <c r="N7" s="23"/>
    </row>
    <row r="8" spans="1:14">
      <c r="A8" s="552" t="s">
        <v>11</v>
      </c>
      <c r="B8" s="553">
        <v>134</v>
      </c>
      <c r="C8" s="553">
        <v>172</v>
      </c>
      <c r="D8" s="553">
        <v>133</v>
      </c>
      <c r="E8" s="553">
        <v>96</v>
      </c>
      <c r="F8" s="553">
        <v>195</v>
      </c>
      <c r="G8" s="554">
        <v>183</v>
      </c>
      <c r="H8" s="554">
        <f>+H19*H28</f>
        <v>205.32599999999999</v>
      </c>
      <c r="I8" s="554">
        <f>+I19*I28</f>
        <v>257.48</v>
      </c>
      <c r="J8" s="554">
        <f>+J19*J28</f>
        <v>260.62000000000006</v>
      </c>
      <c r="K8" s="554">
        <f>+K19*K28</f>
        <v>262.71333333333331</v>
      </c>
      <c r="L8" s="579">
        <f>+L19*L28</f>
        <v>264.80666666666673</v>
      </c>
      <c r="M8" s="23"/>
      <c r="N8" s="23"/>
    </row>
    <row r="9" spans="1:14" ht="15" thickBot="1">
      <c r="A9" s="149" t="s">
        <v>34</v>
      </c>
      <c r="B9" s="150">
        <f t="shared" ref="B9:L9" si="2">+SUM(B4:B8)</f>
        <v>11497</v>
      </c>
      <c r="C9" s="150">
        <f t="shared" si="2"/>
        <v>12222</v>
      </c>
      <c r="D9" s="150">
        <f t="shared" si="2"/>
        <v>11915</v>
      </c>
      <c r="E9" s="150">
        <f t="shared" si="2"/>
        <v>11812</v>
      </c>
      <c r="F9" s="150">
        <f t="shared" si="2"/>
        <v>18682</v>
      </c>
      <c r="G9" s="150">
        <f t="shared" si="2"/>
        <v>22669</v>
      </c>
      <c r="H9" s="151">
        <f t="shared" si="2"/>
        <v>27610.771000000001</v>
      </c>
      <c r="I9" s="151">
        <f t="shared" si="2"/>
        <v>31600.81657333333</v>
      </c>
      <c r="J9" s="151">
        <f t="shared" si="2"/>
        <v>32720.406426416666</v>
      </c>
      <c r="K9" s="151">
        <f t="shared" si="2"/>
        <v>33889.193847494331</v>
      </c>
      <c r="L9" s="152">
        <f t="shared" si="2"/>
        <v>34742.033135484817</v>
      </c>
      <c r="M9" s="23"/>
      <c r="N9" s="23"/>
    </row>
    <row r="10" spans="1:1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spans="1:1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</row>
    <row r="12" spans="1:1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</row>
    <row r="13" spans="1:14" ht="15" thickBot="1">
      <c r="A13" s="23" t="s">
        <v>39</v>
      </c>
      <c r="B13" s="23"/>
      <c r="C13" s="23"/>
      <c r="D13" s="23"/>
      <c r="E13" s="602" t="s">
        <v>378</v>
      </c>
      <c r="F13" s="602"/>
      <c r="G13" s="602"/>
      <c r="H13" s="23"/>
      <c r="I13" s="23"/>
      <c r="J13" s="23"/>
      <c r="K13" s="23"/>
      <c r="L13" s="23"/>
      <c r="M13" s="23"/>
      <c r="N13" s="23"/>
    </row>
    <row r="14" spans="1:14">
      <c r="A14" s="153" t="s">
        <v>0</v>
      </c>
      <c r="B14" s="154">
        <v>2020</v>
      </c>
      <c r="C14" s="154">
        <v>2021</v>
      </c>
      <c r="D14" s="154">
        <v>2022</v>
      </c>
      <c r="E14" s="154">
        <v>2023</v>
      </c>
      <c r="F14" s="154">
        <v>2024</v>
      </c>
      <c r="G14" s="155" t="s">
        <v>406</v>
      </c>
      <c r="H14" s="155" t="s">
        <v>3</v>
      </c>
      <c r="I14" s="155" t="s">
        <v>4</v>
      </c>
      <c r="J14" s="155" t="s">
        <v>5</v>
      </c>
      <c r="K14" s="155" t="s">
        <v>6</v>
      </c>
      <c r="L14" s="156" t="s">
        <v>7</v>
      </c>
      <c r="M14" s="23"/>
      <c r="N14" s="23"/>
    </row>
    <row r="15" spans="1:14">
      <c r="A15" s="157" t="s">
        <v>1</v>
      </c>
      <c r="B15" s="23">
        <v>5831</v>
      </c>
      <c r="C15" s="23">
        <v>5897</v>
      </c>
      <c r="D15" s="23">
        <v>5812</v>
      </c>
      <c r="E15" s="23">
        <v>5420</v>
      </c>
      <c r="F15" s="23">
        <v>6540</v>
      </c>
      <c r="G15" s="36">
        <v>5519</v>
      </c>
      <c r="H15" s="23">
        <f>'Cost of sales'!H44</f>
        <v>4850</v>
      </c>
      <c r="I15" s="23">
        <f>'Cost of sales'!I44</f>
        <v>5392.7166666666662</v>
      </c>
      <c r="J15" s="23">
        <f>'Cost of sales'!J44</f>
        <v>5375.5431666666664</v>
      </c>
      <c r="K15" s="23">
        <f>'Cost of sales'!K44</f>
        <v>5360.147511666667</v>
      </c>
      <c r="L15" s="158">
        <f>'Cost of sales'!L44</f>
        <v>5346.5345135166672</v>
      </c>
      <c r="M15" s="23" t="s">
        <v>405</v>
      </c>
      <c r="N15" s="23"/>
    </row>
    <row r="16" spans="1:14">
      <c r="A16" s="455" t="s">
        <v>2</v>
      </c>
      <c r="B16" s="459">
        <f>28596/1000</f>
        <v>28.596</v>
      </c>
      <c r="C16" s="459">
        <f>32237/1000</f>
        <v>32.237000000000002</v>
      </c>
      <c r="D16" s="459">
        <f>29743/1000</f>
        <v>29.742999999999999</v>
      </c>
      <c r="E16" s="459">
        <f>+E47</f>
        <v>17</v>
      </c>
      <c r="F16" s="459">
        <f>+F47</f>
        <v>33</v>
      </c>
      <c r="G16" s="459">
        <v>28</v>
      </c>
      <c r="H16" s="458">
        <f>+H47</f>
        <v>32</v>
      </c>
      <c r="I16" s="458">
        <f>+I47</f>
        <v>28</v>
      </c>
      <c r="J16" s="458">
        <f>+J47</f>
        <v>28</v>
      </c>
      <c r="K16" s="458">
        <f>+K47</f>
        <v>28</v>
      </c>
      <c r="L16" s="461">
        <f>+L47</f>
        <v>28</v>
      </c>
      <c r="M16" s="23" t="s">
        <v>266</v>
      </c>
      <c r="N16" s="23"/>
    </row>
    <row r="17" spans="1:14">
      <c r="A17" s="157" t="s">
        <v>9</v>
      </c>
      <c r="B17" s="23">
        <f>+B56</f>
        <v>56</v>
      </c>
      <c r="C17" s="23">
        <f>+C56</f>
        <v>69</v>
      </c>
      <c r="D17" s="23">
        <f>+D56</f>
        <v>85</v>
      </c>
      <c r="E17" s="23">
        <f>+E56</f>
        <v>155</v>
      </c>
      <c r="F17" s="23">
        <f>+F56</f>
        <v>332</v>
      </c>
      <c r="G17" s="36">
        <v>294</v>
      </c>
      <c r="H17" s="36">
        <f>+H56</f>
        <v>225</v>
      </c>
      <c r="I17" s="36">
        <f>+I56</f>
        <v>302.66666666666669</v>
      </c>
      <c r="J17" s="36">
        <f>+J56</f>
        <v>302.66666666666669</v>
      </c>
      <c r="K17" s="36">
        <f>+K56</f>
        <v>302.66666666666669</v>
      </c>
      <c r="L17" s="159">
        <f>+L56</f>
        <v>302.66666666666669</v>
      </c>
      <c r="M17" s="23" t="s">
        <v>266</v>
      </c>
      <c r="N17" s="23"/>
    </row>
    <row r="18" spans="1:14">
      <c r="A18" s="455" t="s">
        <v>10</v>
      </c>
      <c r="B18" s="458">
        <f>+B61</f>
        <v>407</v>
      </c>
      <c r="C18" s="458">
        <f>+C61</f>
        <v>433</v>
      </c>
      <c r="D18" s="458">
        <f>+D61</f>
        <v>373</v>
      </c>
      <c r="E18" s="458">
        <f>+E61</f>
        <v>222</v>
      </c>
      <c r="F18" s="458">
        <f>+F61</f>
        <v>545</v>
      </c>
      <c r="G18" s="459">
        <v>542</v>
      </c>
      <c r="H18" s="459">
        <f>+H61</f>
        <v>485</v>
      </c>
      <c r="I18" s="459">
        <f>+I61</f>
        <v>578.66666666666663</v>
      </c>
      <c r="J18" s="459">
        <f>+J61</f>
        <v>578.66666666666663</v>
      </c>
      <c r="K18" s="459">
        <f>+K61</f>
        <v>578.66666666666663</v>
      </c>
      <c r="L18" s="460">
        <f>+L61</f>
        <v>578.66666666666663</v>
      </c>
      <c r="M18" s="23" t="s">
        <v>266</v>
      </c>
      <c r="N18" s="23"/>
    </row>
    <row r="19" spans="1:14" ht="15" thickBot="1">
      <c r="A19" s="160" t="s">
        <v>11</v>
      </c>
      <c r="B19" s="161">
        <f>+B65</f>
        <v>185</v>
      </c>
      <c r="C19" s="161">
        <f>+C65</f>
        <v>173</v>
      </c>
      <c r="D19" s="161">
        <f>+D65</f>
        <v>147</v>
      </c>
      <c r="E19" s="161">
        <f>+E65</f>
        <v>107</v>
      </c>
      <c r="F19" s="161">
        <f>+F65</f>
        <v>213</v>
      </c>
      <c r="G19" s="162">
        <v>216</v>
      </c>
      <c r="H19" s="162">
        <f>+H65</f>
        <v>198</v>
      </c>
      <c r="I19" s="162">
        <f>+I65</f>
        <v>209.33333333333334</v>
      </c>
      <c r="J19" s="162">
        <f>+J65</f>
        <v>209.33333333333334</v>
      </c>
      <c r="K19" s="162">
        <f>+K65</f>
        <v>209.33333333333334</v>
      </c>
      <c r="L19" s="163">
        <f>+L65</f>
        <v>209.33333333333334</v>
      </c>
      <c r="M19" s="23" t="s">
        <v>266</v>
      </c>
      <c r="N19" s="23"/>
    </row>
    <row r="20" spans="1:14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spans="1:14">
      <c r="A21" s="23"/>
      <c r="B21" s="23"/>
      <c r="C21" s="23"/>
      <c r="D21" s="23"/>
      <c r="E21" s="23"/>
      <c r="F21" s="23"/>
      <c r="G21" s="23"/>
      <c r="H21" s="23"/>
      <c r="I21" s="141"/>
      <c r="J21" s="23"/>
      <c r="K21" s="23"/>
      <c r="L21" s="23"/>
      <c r="M21" s="23"/>
      <c r="N21" s="23"/>
    </row>
    <row r="22" spans="1:14" ht="15" thickBot="1">
      <c r="A22" s="23"/>
      <c r="B22" s="164"/>
      <c r="C22" s="164"/>
      <c r="D22" s="164"/>
      <c r="E22" s="603" t="s">
        <v>401</v>
      </c>
      <c r="F22" s="603"/>
      <c r="G22" s="603"/>
      <c r="H22" s="164"/>
      <c r="I22" s="141"/>
      <c r="J22" s="23"/>
      <c r="K22" s="23"/>
      <c r="L22" s="23"/>
      <c r="M22" s="23"/>
      <c r="N22" s="23"/>
    </row>
    <row r="23" spans="1:14">
      <c r="A23" s="153" t="s">
        <v>36</v>
      </c>
      <c r="B23" s="154">
        <v>2020</v>
      </c>
      <c r="C23" s="154">
        <v>2021</v>
      </c>
      <c r="D23" s="154">
        <v>2022</v>
      </c>
      <c r="E23" s="154">
        <v>2023</v>
      </c>
      <c r="F23" s="154">
        <v>2024</v>
      </c>
      <c r="G23" s="155" t="s">
        <v>406</v>
      </c>
      <c r="H23" s="155" t="s">
        <v>3</v>
      </c>
      <c r="I23" s="155" t="s">
        <v>4</v>
      </c>
      <c r="J23" s="155" t="s">
        <v>5</v>
      </c>
      <c r="K23" s="155" t="s">
        <v>6</v>
      </c>
      <c r="L23" s="156" t="s">
        <v>7</v>
      </c>
      <c r="M23" s="23"/>
      <c r="N23" s="23"/>
    </row>
    <row r="24" spans="1:14">
      <c r="A24" s="165" t="s">
        <v>42</v>
      </c>
      <c r="B24" s="166">
        <f>+(B4*1000)/(B15)</f>
        <v>1774.9957125707426</v>
      </c>
      <c r="C24" s="166">
        <f t="shared" ref="C24:F24" si="3">+(C4*1000)/(C15)</f>
        <v>1787.8582329998305</v>
      </c>
      <c r="D24" s="166">
        <f t="shared" si="3"/>
        <v>1792.1541637990365</v>
      </c>
      <c r="E24" s="166">
        <f t="shared" si="3"/>
        <v>1954.4280442804427</v>
      </c>
      <c r="F24" s="166">
        <f t="shared" si="3"/>
        <v>2407.6452599388381</v>
      </c>
      <c r="G24" s="166">
        <f>+(G4*1000)/(G15)</f>
        <v>3497.7350969378513</v>
      </c>
      <c r="H24" s="23">
        <f>CHOOSE(Cover!$I$14,Revenue!H30,Revenue!H31,Revenue!H32)</f>
        <v>4771.5</v>
      </c>
      <c r="I24" s="23">
        <f>CHOOSE(Cover!$I$14,Revenue!I30,Revenue!I31,Revenue!I32)</f>
        <v>4928.8</v>
      </c>
      <c r="J24" s="23">
        <f>CHOOSE(Cover!$I$14,Revenue!J30,Revenue!J31,Revenue!J32)</f>
        <v>5131.5</v>
      </c>
      <c r="K24" s="23">
        <f>CHOOSE(Cover!$I$14,Revenue!K30,Revenue!K31,Revenue!K32)</f>
        <v>5313.8</v>
      </c>
      <c r="L24" s="158">
        <f>CHOOSE(Cover!$I$14,Revenue!L30,Revenue!L31,Revenue!L32)</f>
        <v>5469.9</v>
      </c>
      <c r="M24" s="23" t="s">
        <v>358</v>
      </c>
      <c r="N24" s="23"/>
    </row>
    <row r="25" spans="1:14">
      <c r="A25" s="512" t="s">
        <v>43</v>
      </c>
      <c r="B25" s="490">
        <f t="shared" ref="B25:G26" si="4">+(B5)/(B16)</f>
        <v>17.834662190516156</v>
      </c>
      <c r="C25" s="490">
        <f t="shared" si="4"/>
        <v>20.194186803983001</v>
      </c>
      <c r="D25" s="490">
        <f t="shared" si="4"/>
        <v>18.458124600746395</v>
      </c>
      <c r="E25" s="490">
        <f t="shared" si="4"/>
        <v>19.705882352941178</v>
      </c>
      <c r="F25" s="490">
        <f t="shared" si="4"/>
        <v>24</v>
      </c>
      <c r="G25" s="490">
        <f>+(G5)/(G16)</f>
        <v>38.571428571428569</v>
      </c>
      <c r="H25" s="458">
        <f>+(79+H37)/2</f>
        <v>77</v>
      </c>
      <c r="I25" s="458">
        <v>75</v>
      </c>
      <c r="J25" s="458">
        <v>76.06</v>
      </c>
      <c r="K25" s="458">
        <v>79.049000000000007</v>
      </c>
      <c r="L25" s="461">
        <v>79.78</v>
      </c>
      <c r="M25" s="23"/>
      <c r="N25" s="23"/>
    </row>
    <row r="26" spans="1:14">
      <c r="A26" s="165" t="s">
        <v>44</v>
      </c>
      <c r="B26" s="36">
        <f t="shared" si="4"/>
        <v>2.7678571428571428</v>
      </c>
      <c r="C26" s="36">
        <f t="shared" si="4"/>
        <v>4.27536231884058</v>
      </c>
      <c r="D26" s="36">
        <f t="shared" si="4"/>
        <v>3.7176470588235295</v>
      </c>
      <c r="E26" s="36">
        <f t="shared" si="4"/>
        <v>3.7096774193548385</v>
      </c>
      <c r="F26" s="36">
        <f t="shared" si="4"/>
        <v>3.9969879518072289</v>
      </c>
      <c r="G26" s="36">
        <f t="shared" si="4"/>
        <v>4.8911564625850339</v>
      </c>
      <c r="H26" s="23">
        <f>+(5.72+H38)/2</f>
        <v>5.58</v>
      </c>
      <c r="I26" s="23">
        <v>6.258</v>
      </c>
      <c r="J26" s="23">
        <v>6.49</v>
      </c>
      <c r="K26" s="23">
        <v>7.0625</v>
      </c>
      <c r="L26" s="158">
        <v>7.2489999999999997</v>
      </c>
      <c r="M26" s="23"/>
      <c r="N26" s="23"/>
    </row>
    <row r="27" spans="1:14">
      <c r="A27" s="512" t="s">
        <v>46</v>
      </c>
      <c r="B27" s="490">
        <f>+(B7)/(B18)</f>
        <v>0.855036855036855</v>
      </c>
      <c r="C27" s="490">
        <f t="shared" ref="C27:G27" si="5">+(C7)/(C18)</f>
        <v>1.2956120092378753</v>
      </c>
      <c r="D27" s="490">
        <f t="shared" si="5"/>
        <v>1.3431635388739946</v>
      </c>
      <c r="E27" s="490">
        <f t="shared" si="5"/>
        <v>0.95945945945945943</v>
      </c>
      <c r="F27" s="490">
        <f t="shared" si="5"/>
        <v>1.1412844036697247</v>
      </c>
      <c r="G27" s="490">
        <f t="shared" si="5"/>
        <v>1.2250922509225093</v>
      </c>
      <c r="H27" s="458">
        <f>+H40*85%</f>
        <v>1.1220000000000001</v>
      </c>
      <c r="I27" s="458">
        <f>+(I40+H40)/2</f>
        <v>1.33</v>
      </c>
      <c r="J27" s="458">
        <f>+(J40+I40)/2</f>
        <v>1.35</v>
      </c>
      <c r="K27" s="458">
        <f>+(K40+J40)/2</f>
        <v>1.37</v>
      </c>
      <c r="L27" s="461">
        <f>+(L40+K40)/2</f>
        <v>1.39</v>
      </c>
      <c r="M27" s="23"/>
      <c r="N27" s="23"/>
    </row>
    <row r="28" spans="1:14" ht="15" thickBot="1">
      <c r="A28" s="168" t="s">
        <v>45</v>
      </c>
      <c r="B28" s="169">
        <f>B8/B19</f>
        <v>0.72432432432432436</v>
      </c>
      <c r="C28" s="169">
        <f t="shared" ref="C28:G28" si="6">C8/C19</f>
        <v>0.9942196531791907</v>
      </c>
      <c r="D28" s="169">
        <f t="shared" si="6"/>
        <v>0.90476190476190477</v>
      </c>
      <c r="E28" s="169">
        <f t="shared" si="6"/>
        <v>0.89719626168224298</v>
      </c>
      <c r="F28" s="169">
        <f t="shared" si="6"/>
        <v>0.91549295774647887</v>
      </c>
      <c r="G28" s="169">
        <f t="shared" si="6"/>
        <v>0.84722222222222221</v>
      </c>
      <c r="H28" s="161">
        <f>+H39*85%</f>
        <v>1.0369999999999999</v>
      </c>
      <c r="I28" s="161">
        <f>+(I39+H39)/2</f>
        <v>1.23</v>
      </c>
      <c r="J28" s="161">
        <f>+(J39+I39)/2</f>
        <v>1.2450000000000001</v>
      </c>
      <c r="K28" s="161">
        <f>+(K39+J39)/2</f>
        <v>1.2549999999999999</v>
      </c>
      <c r="L28" s="170">
        <f>+(L39+K39)/2</f>
        <v>1.2650000000000001</v>
      </c>
      <c r="M28" s="23"/>
      <c r="N28" s="23"/>
    </row>
    <row r="29" spans="1:14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>
      <c r="A30" s="23"/>
      <c r="B30" s="23"/>
      <c r="C30" s="23"/>
      <c r="D30" s="23"/>
      <c r="E30" s="23"/>
      <c r="F30" s="23"/>
      <c r="G30" s="23"/>
      <c r="H30" s="23">
        <f>H31+200</f>
        <v>4971.5</v>
      </c>
      <c r="I30" s="23">
        <f t="shared" ref="I30:L30" si="7">I31+200</f>
        <v>5128.8</v>
      </c>
      <c r="J30" s="23">
        <f t="shared" si="7"/>
        <v>5331.5</v>
      </c>
      <c r="K30" s="23">
        <f t="shared" si="7"/>
        <v>5513.8</v>
      </c>
      <c r="L30" s="23">
        <f t="shared" si="7"/>
        <v>5669.9</v>
      </c>
      <c r="M30" s="23" t="s">
        <v>351</v>
      </c>
      <c r="N30" s="23"/>
    </row>
    <row r="31" spans="1:14">
      <c r="A31" s="23"/>
      <c r="B31" s="23"/>
      <c r="C31" s="23"/>
      <c r="D31" s="23"/>
      <c r="E31" s="23"/>
      <c r="F31" s="23"/>
      <c r="G31" s="23"/>
      <c r="H31" s="23">
        <v>4771.5</v>
      </c>
      <c r="I31" s="23">
        <v>4928.8</v>
      </c>
      <c r="J31" s="23">
        <v>5131.5</v>
      </c>
      <c r="K31" s="23">
        <v>5313.8</v>
      </c>
      <c r="L31" s="23">
        <v>5469.9</v>
      </c>
      <c r="M31" s="23" t="s">
        <v>352</v>
      </c>
      <c r="N31" s="121" t="s">
        <v>402</v>
      </c>
    </row>
    <row r="32" spans="1:14">
      <c r="A32" s="23"/>
      <c r="B32" s="601"/>
      <c r="C32" s="601"/>
      <c r="D32" s="601"/>
      <c r="E32" s="23"/>
      <c r="F32" s="23"/>
      <c r="G32" s="23"/>
      <c r="H32" s="23">
        <f>H31-200</f>
        <v>4571.5</v>
      </c>
      <c r="I32" s="23">
        <f t="shared" ref="I32:L32" si="8">I31-200</f>
        <v>4728.8</v>
      </c>
      <c r="J32" s="23">
        <f t="shared" si="8"/>
        <v>4931.5</v>
      </c>
      <c r="K32" s="23">
        <f t="shared" si="8"/>
        <v>5113.8</v>
      </c>
      <c r="L32" s="23">
        <f t="shared" si="8"/>
        <v>5269.9</v>
      </c>
      <c r="M32" s="23" t="s">
        <v>353</v>
      </c>
      <c r="N32" s="23"/>
    </row>
    <row r="33" spans="1:14">
      <c r="A33" s="167" t="s">
        <v>267</v>
      </c>
      <c r="B33" s="171"/>
      <c r="C33" s="171"/>
      <c r="D33" s="171"/>
      <c r="E33" s="23"/>
      <c r="F33" s="23"/>
      <c r="G33" s="23"/>
      <c r="H33" s="23"/>
      <c r="I33" s="23"/>
      <c r="J33" s="23"/>
      <c r="K33" s="23"/>
      <c r="L33" s="23"/>
      <c r="M33" s="23"/>
      <c r="N33" s="23"/>
    </row>
    <row r="34" spans="1:14" ht="15" thickBot="1">
      <c r="A34" s="172" t="s">
        <v>52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</row>
    <row r="35" spans="1:14">
      <c r="A35" s="153" t="s">
        <v>41</v>
      </c>
      <c r="B35" s="154">
        <v>2020</v>
      </c>
      <c r="C35" s="154">
        <v>2021</v>
      </c>
      <c r="D35" s="154">
        <v>2022</v>
      </c>
      <c r="E35" s="154">
        <v>2023</v>
      </c>
      <c r="F35" s="154">
        <v>2024</v>
      </c>
      <c r="G35" s="155" t="s">
        <v>406</v>
      </c>
      <c r="H35" s="155" t="s">
        <v>3</v>
      </c>
      <c r="I35" s="155" t="s">
        <v>4</v>
      </c>
      <c r="J35" s="155" t="s">
        <v>5</v>
      </c>
      <c r="K35" s="155" t="s">
        <v>6</v>
      </c>
      <c r="L35" s="156" t="s">
        <v>7</v>
      </c>
      <c r="M35" s="23"/>
      <c r="N35" s="23"/>
    </row>
    <row r="36" spans="1:14">
      <c r="A36" s="165" t="s">
        <v>42</v>
      </c>
      <c r="B36" s="173">
        <v>1770</v>
      </c>
      <c r="C36" s="173">
        <v>1799</v>
      </c>
      <c r="D36" s="173">
        <v>1800</v>
      </c>
      <c r="E36" s="173">
        <v>1941</v>
      </c>
      <c r="F36" s="173">
        <v>2386</v>
      </c>
      <c r="G36" s="174">
        <v>4400</v>
      </c>
      <c r="H36" s="174">
        <v>6300</v>
      </c>
      <c r="I36" s="174">
        <v>6000</v>
      </c>
      <c r="J36" s="173">
        <v>5750</v>
      </c>
      <c r="K36" s="173">
        <v>5500</v>
      </c>
      <c r="L36" s="175">
        <v>5350</v>
      </c>
      <c r="M36" s="23" t="s">
        <v>49</v>
      </c>
      <c r="N36" s="23"/>
    </row>
    <row r="37" spans="1:14">
      <c r="A37" s="512" t="s">
        <v>43</v>
      </c>
      <c r="B37" s="517">
        <v>20.58</v>
      </c>
      <c r="C37" s="517">
        <v>25.23</v>
      </c>
      <c r="D37" s="517">
        <v>21.88</v>
      </c>
      <c r="E37" s="517">
        <v>23.54</v>
      </c>
      <c r="F37" s="517">
        <v>27.7</v>
      </c>
      <c r="G37" s="518">
        <v>65</v>
      </c>
      <c r="H37" s="518">
        <v>75</v>
      </c>
      <c r="I37" s="518">
        <v>70</v>
      </c>
      <c r="J37" s="517">
        <v>68</v>
      </c>
      <c r="K37" s="517">
        <v>66</v>
      </c>
      <c r="L37" s="519">
        <v>65</v>
      </c>
      <c r="M37" s="23" t="s">
        <v>48</v>
      </c>
      <c r="N37" s="23"/>
    </row>
    <row r="38" spans="1:14">
      <c r="A38" s="165" t="s">
        <v>44</v>
      </c>
      <c r="B38" s="176">
        <v>2.8</v>
      </c>
      <c r="C38" s="176">
        <v>4.24</v>
      </c>
      <c r="D38" s="176">
        <v>4.01</v>
      </c>
      <c r="E38" s="176">
        <v>3.86</v>
      </c>
      <c r="F38" s="176">
        <v>4.2</v>
      </c>
      <c r="G38" s="177">
        <v>4.5</v>
      </c>
      <c r="H38" s="177">
        <v>5.44</v>
      </c>
      <c r="I38" s="177">
        <v>5.44</v>
      </c>
      <c r="J38" s="177">
        <v>5</v>
      </c>
      <c r="K38" s="176">
        <v>4.9000000000000004</v>
      </c>
      <c r="L38" s="178">
        <v>5</v>
      </c>
      <c r="M38" s="121" t="s">
        <v>50</v>
      </c>
      <c r="N38" s="23"/>
    </row>
    <row r="39" spans="1:14">
      <c r="A39" s="512" t="s">
        <v>45</v>
      </c>
      <c r="B39" s="517">
        <v>0.91</v>
      </c>
      <c r="C39" s="517">
        <v>1.1299999999999999</v>
      </c>
      <c r="D39" s="517">
        <v>1.17</v>
      </c>
      <c r="E39" s="517">
        <v>1.1399999999999999</v>
      </c>
      <c r="F39" s="517">
        <v>1.1000000000000001</v>
      </c>
      <c r="G39" s="518">
        <v>1.2</v>
      </c>
      <c r="H39" s="518">
        <v>1.22</v>
      </c>
      <c r="I39" s="518">
        <v>1.24</v>
      </c>
      <c r="J39" s="517">
        <v>1.25</v>
      </c>
      <c r="K39" s="517">
        <v>1.26</v>
      </c>
      <c r="L39" s="519">
        <v>1.27</v>
      </c>
      <c r="M39" s="23" t="s">
        <v>47</v>
      </c>
      <c r="N39" s="23"/>
    </row>
    <row r="40" spans="1:14" ht="15" thickBot="1">
      <c r="A40" s="168" t="s">
        <v>46</v>
      </c>
      <c r="B40" s="179">
        <v>1.03</v>
      </c>
      <c r="C40" s="179">
        <v>1.36</v>
      </c>
      <c r="D40" s="179">
        <v>1.58</v>
      </c>
      <c r="E40" s="179">
        <v>1.2</v>
      </c>
      <c r="F40" s="179">
        <v>1.26</v>
      </c>
      <c r="G40" s="180">
        <v>1.3</v>
      </c>
      <c r="H40" s="180">
        <v>1.32</v>
      </c>
      <c r="I40" s="180">
        <v>1.34</v>
      </c>
      <c r="J40" s="179">
        <v>1.36</v>
      </c>
      <c r="K40" s="179">
        <v>1.38</v>
      </c>
      <c r="L40" s="181">
        <v>1.4</v>
      </c>
      <c r="M40" s="23" t="s">
        <v>47</v>
      </c>
      <c r="N40" s="23"/>
    </row>
    <row r="41" spans="1:14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</row>
    <row r="42" spans="1:14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</row>
    <row r="43" spans="1:14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</row>
    <row r="44" spans="1:14">
      <c r="A44" s="23"/>
      <c r="B44" s="23"/>
      <c r="C44" s="23" t="s">
        <v>33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</row>
    <row r="45" spans="1:14" ht="15" thickBot="1">
      <c r="A45" s="172" t="s">
        <v>2</v>
      </c>
      <c r="B45" s="172" t="s">
        <v>35</v>
      </c>
      <c r="C45" s="17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</row>
    <row r="46" spans="1:14">
      <c r="A46" s="153" t="s">
        <v>8</v>
      </c>
      <c r="B46" s="154">
        <v>2020</v>
      </c>
      <c r="C46" s="154">
        <v>2021</v>
      </c>
      <c r="D46" s="154">
        <v>2022</v>
      </c>
      <c r="E46" s="154">
        <v>2023</v>
      </c>
      <c r="F46" s="154">
        <v>2024</v>
      </c>
      <c r="G46" s="155" t="s">
        <v>406</v>
      </c>
      <c r="H46" s="155" t="s">
        <v>3</v>
      </c>
      <c r="I46" s="155" t="s">
        <v>4</v>
      </c>
      <c r="J46" s="155" t="s">
        <v>5</v>
      </c>
      <c r="K46" s="155" t="s">
        <v>6</v>
      </c>
      <c r="L46" s="156" t="s">
        <v>7</v>
      </c>
      <c r="M46" s="23"/>
      <c r="N46" s="23"/>
    </row>
    <row r="47" spans="1:14" ht="15" thickBot="1">
      <c r="A47" s="160"/>
      <c r="B47" s="161">
        <v>28</v>
      </c>
      <c r="C47" s="161">
        <v>32</v>
      </c>
      <c r="D47" s="161">
        <v>30</v>
      </c>
      <c r="E47" s="161">
        <v>17</v>
      </c>
      <c r="F47" s="161">
        <v>33</v>
      </c>
      <c r="G47" s="161">
        <v>28</v>
      </c>
      <c r="H47" s="161">
        <v>32</v>
      </c>
      <c r="I47" s="161">
        <v>28</v>
      </c>
      <c r="J47" s="161">
        <v>28</v>
      </c>
      <c r="K47" s="161">
        <v>28</v>
      </c>
      <c r="L47" s="170">
        <v>28</v>
      </c>
      <c r="M47" s="23"/>
      <c r="N47" s="23"/>
    </row>
    <row r="48" spans="1:14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</row>
    <row r="49" spans="1:14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</row>
    <row r="50" spans="1:14" ht="15" thickBot="1">
      <c r="A50" s="172" t="s">
        <v>9</v>
      </c>
      <c r="B50" s="172"/>
      <c r="C50" s="172" t="s">
        <v>33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</row>
    <row r="51" spans="1:14">
      <c r="A51" s="153" t="s">
        <v>8</v>
      </c>
      <c r="B51" s="154">
        <v>2020</v>
      </c>
      <c r="C51" s="154">
        <v>2021</v>
      </c>
      <c r="D51" s="154">
        <v>2022</v>
      </c>
      <c r="E51" s="154">
        <v>2023</v>
      </c>
      <c r="F51" s="154">
        <v>2024</v>
      </c>
      <c r="G51" s="155" t="s">
        <v>40</v>
      </c>
      <c r="H51" s="155" t="s">
        <v>3</v>
      </c>
      <c r="I51" s="155" t="s">
        <v>4</v>
      </c>
      <c r="J51" s="155" t="s">
        <v>5</v>
      </c>
      <c r="K51" s="155" t="s">
        <v>6</v>
      </c>
      <c r="L51" s="156" t="s">
        <v>7</v>
      </c>
      <c r="M51" s="23"/>
      <c r="N51" s="23"/>
    </row>
    <row r="52" spans="1:14">
      <c r="A52" s="157" t="s">
        <v>15</v>
      </c>
      <c r="B52" s="23"/>
      <c r="C52" s="23"/>
      <c r="D52" s="23"/>
      <c r="E52" s="23">
        <v>7</v>
      </c>
      <c r="F52" s="23">
        <v>57</v>
      </c>
      <c r="G52" s="23"/>
      <c r="H52" s="23"/>
      <c r="I52" s="23"/>
      <c r="J52" s="23"/>
      <c r="K52" s="23"/>
      <c r="L52" s="158"/>
      <c r="M52" s="23"/>
      <c r="N52" s="23"/>
    </row>
    <row r="53" spans="1:14">
      <c r="A53" s="455" t="s">
        <v>19</v>
      </c>
      <c r="B53" s="458"/>
      <c r="C53" s="458"/>
      <c r="D53" s="458"/>
      <c r="E53" s="458">
        <v>98</v>
      </c>
      <c r="F53" s="458">
        <v>83</v>
      </c>
      <c r="G53" s="458"/>
      <c r="H53" s="458"/>
      <c r="I53" s="458"/>
      <c r="J53" s="458"/>
      <c r="K53" s="458"/>
      <c r="L53" s="461"/>
      <c r="M53" s="23"/>
      <c r="N53" s="23"/>
    </row>
    <row r="54" spans="1:14">
      <c r="A54" s="182" t="s">
        <v>21</v>
      </c>
      <c r="B54" s="23"/>
      <c r="C54" s="23"/>
      <c r="D54" s="23"/>
      <c r="E54" s="23">
        <v>45</v>
      </c>
      <c r="F54" s="23">
        <v>186</v>
      </c>
      <c r="G54" s="23"/>
      <c r="H54" s="23"/>
      <c r="I54" s="23"/>
      <c r="J54" s="23"/>
      <c r="K54" s="23"/>
      <c r="L54" s="158"/>
      <c r="M54" s="23"/>
      <c r="N54" s="23"/>
    </row>
    <row r="55" spans="1:14">
      <c r="A55" s="455" t="s">
        <v>32</v>
      </c>
      <c r="B55" s="458"/>
      <c r="C55" s="458"/>
      <c r="D55" s="458"/>
      <c r="E55" s="458">
        <v>5</v>
      </c>
      <c r="F55" s="458">
        <v>6</v>
      </c>
      <c r="G55" s="458"/>
      <c r="H55" s="458"/>
      <c r="I55" s="458"/>
      <c r="J55" s="458"/>
      <c r="K55" s="458"/>
      <c r="L55" s="461"/>
      <c r="M55" s="23"/>
      <c r="N55" s="23"/>
    </row>
    <row r="56" spans="1:14" ht="15" thickBot="1">
      <c r="A56" s="160" t="s">
        <v>34</v>
      </c>
      <c r="B56" s="161">
        <v>56</v>
      </c>
      <c r="C56" s="161">
        <v>69</v>
      </c>
      <c r="D56" s="161">
        <v>85</v>
      </c>
      <c r="E56" s="161">
        <f>+SUM(E52:E55)</f>
        <v>155</v>
      </c>
      <c r="F56" s="161">
        <f>+SUM(F52:F55)</f>
        <v>332</v>
      </c>
      <c r="G56" s="183">
        <v>303</v>
      </c>
      <c r="H56" s="183">
        <v>225</v>
      </c>
      <c r="I56" s="183">
        <v>302.66666666666669</v>
      </c>
      <c r="J56" s="183">
        <v>302.66666666666669</v>
      </c>
      <c r="K56" s="183">
        <v>302.66666666666669</v>
      </c>
      <c r="L56" s="184">
        <v>302.66666666666669</v>
      </c>
      <c r="M56" s="23"/>
      <c r="N56" s="23"/>
    </row>
    <row r="57" spans="1:14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</row>
    <row r="58" spans="1:14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</row>
    <row r="59" spans="1:14" ht="15" thickBot="1">
      <c r="A59" s="172" t="s">
        <v>10</v>
      </c>
      <c r="B59" s="172" t="s">
        <v>35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</row>
    <row r="60" spans="1:14">
      <c r="A60" s="153" t="s">
        <v>8</v>
      </c>
      <c r="B60" s="154">
        <v>2020</v>
      </c>
      <c r="C60" s="154">
        <v>2021</v>
      </c>
      <c r="D60" s="154">
        <v>2022</v>
      </c>
      <c r="E60" s="154">
        <v>2023</v>
      </c>
      <c r="F60" s="154">
        <v>2024</v>
      </c>
      <c r="G60" s="155" t="s">
        <v>40</v>
      </c>
      <c r="H60" s="155" t="s">
        <v>3</v>
      </c>
      <c r="I60" s="155" t="s">
        <v>4</v>
      </c>
      <c r="J60" s="155" t="s">
        <v>5</v>
      </c>
      <c r="K60" s="155" t="s">
        <v>6</v>
      </c>
      <c r="L60" s="156" t="s">
        <v>7</v>
      </c>
      <c r="M60" s="23"/>
      <c r="N60" s="23"/>
    </row>
    <row r="61" spans="1:14" ht="15" thickBot="1">
      <c r="A61" s="160"/>
      <c r="B61" s="161">
        <v>407</v>
      </c>
      <c r="C61" s="161">
        <v>433</v>
      </c>
      <c r="D61" s="161">
        <v>373</v>
      </c>
      <c r="E61" s="161">
        <v>222</v>
      </c>
      <c r="F61" s="161">
        <v>545</v>
      </c>
      <c r="G61" s="183">
        <v>579</v>
      </c>
      <c r="H61" s="183">
        <v>485</v>
      </c>
      <c r="I61" s="183">
        <v>578.66666666666663</v>
      </c>
      <c r="J61" s="183">
        <v>578.66666666666663</v>
      </c>
      <c r="K61" s="183">
        <v>578.66666666666663</v>
      </c>
      <c r="L61" s="184">
        <v>578.66666666666663</v>
      </c>
      <c r="M61" s="23"/>
      <c r="N61" s="23"/>
    </row>
    <row r="62" spans="1:14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</row>
    <row r="63" spans="1:14" ht="15" thickBot="1">
      <c r="A63" s="172" t="s">
        <v>11</v>
      </c>
      <c r="B63" s="172" t="s">
        <v>35</v>
      </c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</row>
    <row r="64" spans="1:14">
      <c r="A64" s="153" t="s">
        <v>8</v>
      </c>
      <c r="B64" s="154">
        <v>2020</v>
      </c>
      <c r="C64" s="154">
        <v>2021</v>
      </c>
      <c r="D64" s="154">
        <v>2022</v>
      </c>
      <c r="E64" s="154">
        <v>2023</v>
      </c>
      <c r="F64" s="154">
        <v>2024</v>
      </c>
      <c r="G64" s="155" t="s">
        <v>40</v>
      </c>
      <c r="H64" s="155" t="s">
        <v>3</v>
      </c>
      <c r="I64" s="155" t="s">
        <v>4</v>
      </c>
      <c r="J64" s="155" t="s">
        <v>5</v>
      </c>
      <c r="K64" s="155" t="s">
        <v>6</v>
      </c>
      <c r="L64" s="156" t="s">
        <v>7</v>
      </c>
      <c r="M64" s="23"/>
      <c r="N64" s="23"/>
    </row>
    <row r="65" spans="1:14" ht="15" thickBot="1">
      <c r="A65" s="160"/>
      <c r="B65" s="161">
        <v>185</v>
      </c>
      <c r="C65" s="161">
        <v>173</v>
      </c>
      <c r="D65" s="161">
        <v>147</v>
      </c>
      <c r="E65" s="161">
        <v>107</v>
      </c>
      <c r="F65" s="161">
        <v>213</v>
      </c>
      <c r="G65" s="183">
        <v>209</v>
      </c>
      <c r="H65" s="183">
        <v>198</v>
      </c>
      <c r="I65" s="183">
        <v>209.33333333333334</v>
      </c>
      <c r="J65" s="183">
        <v>209.33333333333334</v>
      </c>
      <c r="K65" s="183">
        <v>209.33333333333334</v>
      </c>
      <c r="L65" s="184">
        <v>209.33333333333334</v>
      </c>
      <c r="M65" s="23"/>
      <c r="N65" s="23"/>
    </row>
  </sheetData>
  <mergeCells count="4">
    <mergeCell ref="B32:D32"/>
    <mergeCell ref="E13:G13"/>
    <mergeCell ref="D2:H2"/>
    <mergeCell ref="E22:G22"/>
  </mergeCells>
  <hyperlinks>
    <hyperlink ref="N31" r:id="rId1" xr:uid="{D19B1657-8811-41B8-9F68-6A4D3EC0957C}"/>
  </hyperlinks>
  <pageMargins left="0.7" right="0.7" top="0.75" bottom="0.75" header="0.3" footer="0.3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78E89-FB30-448E-9471-D2F0BDF4EA3D}">
  <dimension ref="A1:Z66"/>
  <sheetViews>
    <sheetView zoomScale="72" zoomScaleNormal="100" workbookViewId="0">
      <pane ySplit="2" topLeftCell="A3" activePane="bottomLeft" state="frozen"/>
      <selection pane="bottomLeft" activeCell="O15" sqref="O15"/>
    </sheetView>
  </sheetViews>
  <sheetFormatPr defaultColWidth="8.77734375" defaultRowHeight="14.4"/>
  <cols>
    <col min="1" max="1" width="31.44140625" bestFit="1" customWidth="1"/>
    <col min="7" max="12" width="9.44140625" bestFit="1" customWidth="1"/>
    <col min="13" max="13" width="10.109375" bestFit="1" customWidth="1"/>
    <col min="15" max="15" width="18.109375" customWidth="1"/>
    <col min="18" max="18" width="9.109375" customWidth="1"/>
    <col min="20" max="20" width="8.77734375" customWidth="1"/>
    <col min="21" max="21" width="9.77734375" customWidth="1"/>
  </cols>
  <sheetData>
    <row r="1" spans="1:15" ht="15" thickBot="1">
      <c r="A1" s="185" t="s">
        <v>37</v>
      </c>
      <c r="B1" s="186"/>
      <c r="C1" s="186"/>
      <c r="D1" s="186"/>
      <c r="E1" s="186"/>
      <c r="F1" s="186"/>
      <c r="G1" s="186"/>
      <c r="H1" s="186"/>
      <c r="I1" s="187"/>
      <c r="J1" s="186"/>
      <c r="K1" s="186"/>
      <c r="L1" s="186"/>
      <c r="M1" s="23"/>
      <c r="N1" s="23"/>
      <c r="O1" s="23"/>
    </row>
    <row r="2" spans="1:15">
      <c r="A2" s="153" t="s">
        <v>399</v>
      </c>
      <c r="B2" s="154">
        <v>2020</v>
      </c>
      <c r="C2" s="154">
        <v>2021</v>
      </c>
      <c r="D2" s="154">
        <v>2022</v>
      </c>
      <c r="E2" s="154">
        <v>2023</v>
      </c>
      <c r="F2" s="154">
        <v>2024</v>
      </c>
      <c r="G2" s="155" t="s">
        <v>406</v>
      </c>
      <c r="H2" s="155" t="s">
        <v>3</v>
      </c>
      <c r="I2" s="155" t="s">
        <v>4</v>
      </c>
      <c r="J2" s="155" t="s">
        <v>5</v>
      </c>
      <c r="K2" s="155" t="s">
        <v>6</v>
      </c>
      <c r="L2" s="156" t="s">
        <v>7</v>
      </c>
      <c r="M2" s="23"/>
      <c r="N2" s="23"/>
      <c r="O2" s="23"/>
    </row>
    <row r="3" spans="1:15">
      <c r="A3" s="188" t="s">
        <v>1</v>
      </c>
      <c r="B3" s="189">
        <v>4408</v>
      </c>
      <c r="C3" s="189">
        <v>4628</v>
      </c>
      <c r="D3" s="189">
        <v>5423</v>
      </c>
      <c r="E3" s="189">
        <v>5689</v>
      </c>
      <c r="F3" s="189">
        <v>7364</v>
      </c>
      <c r="G3" s="190">
        <v>6615</v>
      </c>
      <c r="H3" s="190">
        <f>H12*H44/1000</f>
        <v>6396.665</v>
      </c>
      <c r="I3" s="190">
        <f>I12*I44/1000</f>
        <v>7539.2012523666663</v>
      </c>
      <c r="J3" s="190">
        <f>J12*J44/1000</f>
        <v>7890.9517212410501</v>
      </c>
      <c r="K3" s="190">
        <f>K12*K44/1000</f>
        <v>8261.7694841237517</v>
      </c>
      <c r="L3" s="191">
        <f>L12*L44/1000</f>
        <v>8652.8266942497594</v>
      </c>
      <c r="M3" s="23"/>
      <c r="N3" s="23"/>
      <c r="O3" s="23"/>
    </row>
    <row r="4" spans="1:15">
      <c r="A4" s="497" t="s">
        <v>2</v>
      </c>
      <c r="B4" s="498">
        <v>201</v>
      </c>
      <c r="C4" s="498">
        <v>201</v>
      </c>
      <c r="D4" s="498">
        <v>454</v>
      </c>
      <c r="E4" s="498">
        <v>300</v>
      </c>
      <c r="F4" s="498">
        <v>360</v>
      </c>
      <c r="G4" s="499">
        <v>334</v>
      </c>
      <c r="H4" s="499">
        <f>H17*H48</f>
        <v>314.62730727486741</v>
      </c>
      <c r="I4" s="499">
        <f t="shared" ref="I4:L4" si="0">I17*I48</f>
        <v>314.62730727486741</v>
      </c>
      <c r="J4" s="499">
        <f t="shared" si="0"/>
        <v>314.62730727486741</v>
      </c>
      <c r="K4" s="499">
        <f t="shared" si="0"/>
        <v>314.62730727486741</v>
      </c>
      <c r="L4" s="580">
        <f t="shared" si="0"/>
        <v>314.62730727486741</v>
      </c>
      <c r="M4" s="23"/>
      <c r="N4" s="23"/>
      <c r="O4" s="23"/>
    </row>
    <row r="5" spans="1:15">
      <c r="A5" s="188" t="s">
        <v>9</v>
      </c>
      <c r="B5" s="189">
        <v>107</v>
      </c>
      <c r="C5" s="189">
        <v>107</v>
      </c>
      <c r="D5" s="189">
        <v>181</v>
      </c>
      <c r="E5" s="189">
        <v>359</v>
      </c>
      <c r="F5" s="189">
        <v>696</v>
      </c>
      <c r="G5" s="192">
        <v>597</v>
      </c>
      <c r="H5" s="192">
        <f>H18*H53</f>
        <v>596.86635665596486</v>
      </c>
      <c r="I5" s="192">
        <f t="shared" ref="I5:L5" si="1">I18*I53</f>
        <v>596.86635665596486</v>
      </c>
      <c r="J5" s="192">
        <f t="shared" si="1"/>
        <v>596.86635665596486</v>
      </c>
      <c r="K5" s="192">
        <f t="shared" si="1"/>
        <v>596.86635665596486</v>
      </c>
      <c r="L5" s="581">
        <f t="shared" si="1"/>
        <v>596.86635665596486</v>
      </c>
      <c r="M5" s="23"/>
      <c r="N5" s="23"/>
      <c r="O5" s="23"/>
    </row>
    <row r="6" spans="1:15">
      <c r="A6" s="497" t="s">
        <v>10</v>
      </c>
      <c r="B6" s="498">
        <v>221</v>
      </c>
      <c r="C6" s="498">
        <v>256</v>
      </c>
      <c r="D6" s="498">
        <v>316</v>
      </c>
      <c r="E6" s="498">
        <v>253</v>
      </c>
      <c r="F6" s="498">
        <v>427</v>
      </c>
      <c r="G6" s="499">
        <v>423</v>
      </c>
      <c r="H6" s="499">
        <f>H20*H58</f>
        <v>392.66233844462414</v>
      </c>
      <c r="I6" s="499">
        <f t="shared" ref="I6:L6" si="2">I20*I58</f>
        <v>392.66233844462414</v>
      </c>
      <c r="J6" s="499">
        <f t="shared" si="2"/>
        <v>392.66233844462414</v>
      </c>
      <c r="K6" s="499">
        <f t="shared" si="2"/>
        <v>392.66233844462414</v>
      </c>
      <c r="L6" s="580">
        <f t="shared" si="2"/>
        <v>392.66233844462414</v>
      </c>
      <c r="M6" s="23"/>
      <c r="N6" s="23"/>
      <c r="O6" s="23"/>
    </row>
    <row r="7" spans="1:15">
      <c r="A7" s="546" t="s">
        <v>11</v>
      </c>
      <c r="B7" s="547">
        <v>77</v>
      </c>
      <c r="C7" s="547">
        <v>76</v>
      </c>
      <c r="D7" s="547">
        <v>94</v>
      </c>
      <c r="E7" s="547">
        <v>98</v>
      </c>
      <c r="F7" s="547">
        <v>116</v>
      </c>
      <c r="G7" s="548">
        <v>116</v>
      </c>
      <c r="H7" s="548">
        <f>H19*H62</f>
        <v>125.48930661572469</v>
      </c>
      <c r="I7" s="548">
        <f t="shared" ref="I7:L7" si="3">I19*I62</f>
        <v>125.48930661572469</v>
      </c>
      <c r="J7" s="548">
        <f t="shared" si="3"/>
        <v>125.48930661572469</v>
      </c>
      <c r="K7" s="548">
        <f t="shared" si="3"/>
        <v>125.48930661572469</v>
      </c>
      <c r="L7" s="582">
        <f t="shared" si="3"/>
        <v>125.48930661572469</v>
      </c>
      <c r="M7" s="23"/>
      <c r="N7" s="23"/>
      <c r="O7" s="23"/>
    </row>
    <row r="8" spans="1:15" ht="15" thickBot="1">
      <c r="A8" s="549" t="s">
        <v>34</v>
      </c>
      <c r="B8" s="550">
        <f>SUM(B3:B7)</f>
        <v>5014</v>
      </c>
      <c r="C8" s="550">
        <f>SUM(C3:C7)</f>
        <v>5268</v>
      </c>
      <c r="D8" s="550">
        <f t="shared" ref="D8:L8" si="4">SUM(D3:D7)</f>
        <v>6468</v>
      </c>
      <c r="E8" s="550">
        <f t="shared" si="4"/>
        <v>6699</v>
      </c>
      <c r="F8" s="550">
        <f t="shared" si="4"/>
        <v>8963</v>
      </c>
      <c r="G8" s="550">
        <f t="shared" si="4"/>
        <v>8085</v>
      </c>
      <c r="H8" s="550">
        <f t="shared" si="4"/>
        <v>7826.3103089911801</v>
      </c>
      <c r="I8" s="550">
        <f t="shared" si="4"/>
        <v>8968.8465613578483</v>
      </c>
      <c r="J8" s="550">
        <f t="shared" si="4"/>
        <v>9320.597030232233</v>
      </c>
      <c r="K8" s="550">
        <f t="shared" si="4"/>
        <v>9691.4147931149346</v>
      </c>
      <c r="L8" s="551">
        <f t="shared" si="4"/>
        <v>10082.472003240942</v>
      </c>
      <c r="M8" s="23"/>
      <c r="N8" s="23"/>
      <c r="O8" s="23"/>
    </row>
    <row r="9" spans="1:15">
      <c r="A9" s="186"/>
      <c r="B9" s="186"/>
      <c r="C9" s="186"/>
      <c r="D9" s="186"/>
      <c r="E9" s="186"/>
      <c r="F9" s="186"/>
      <c r="G9" s="186"/>
      <c r="H9" s="186"/>
      <c r="I9" s="187"/>
      <c r="J9" s="186"/>
      <c r="K9" s="186"/>
      <c r="L9" s="186"/>
      <c r="M9" s="23"/>
      <c r="N9" s="23"/>
      <c r="O9" s="23"/>
    </row>
    <row r="10" spans="1:15" ht="15" thickBot="1">
      <c r="A10" s="185"/>
      <c r="B10" s="193"/>
      <c r="C10" s="193"/>
      <c r="D10" s="193"/>
      <c r="E10" s="602" t="s">
        <v>379</v>
      </c>
      <c r="F10" s="602"/>
      <c r="G10" s="602"/>
      <c r="H10" s="23"/>
      <c r="I10" s="23">
        <v>8.8499999999999995E-2</v>
      </c>
      <c r="J10" s="23"/>
      <c r="K10" s="23"/>
      <c r="L10" s="23"/>
      <c r="M10" s="23"/>
      <c r="N10" s="23"/>
      <c r="O10" s="23"/>
    </row>
    <row r="11" spans="1:15">
      <c r="A11" s="194" t="s">
        <v>264</v>
      </c>
      <c r="B11" s="195">
        <v>2020</v>
      </c>
      <c r="C11" s="195">
        <v>2021</v>
      </c>
      <c r="D11" s="195">
        <v>2022</v>
      </c>
      <c r="E11" s="195">
        <v>2023</v>
      </c>
      <c r="F11" s="195">
        <v>2024</v>
      </c>
      <c r="G11" s="155" t="s">
        <v>406</v>
      </c>
      <c r="H11" s="196" t="s">
        <v>3</v>
      </c>
      <c r="I11" s="196" t="s">
        <v>4</v>
      </c>
      <c r="J11" s="196" t="s">
        <v>5</v>
      </c>
      <c r="K11" s="196" t="s">
        <v>6</v>
      </c>
      <c r="L11" s="197" t="s">
        <v>7</v>
      </c>
      <c r="M11" s="23"/>
      <c r="N11" s="23"/>
      <c r="O11" s="23"/>
    </row>
    <row r="12" spans="1:15">
      <c r="A12" s="198" t="s">
        <v>42</v>
      </c>
      <c r="B12" s="199">
        <f>B3*1000/B44</f>
        <v>756.86813186813185</v>
      </c>
      <c r="C12" s="199">
        <f>C3*1000/C44</f>
        <v>786.53976886471787</v>
      </c>
      <c r="D12" s="199">
        <f>D3*1000/D44</f>
        <v>937.26235741444862</v>
      </c>
      <c r="E12" s="199">
        <f>E3*1000/E44</f>
        <v>1053.3234586187743</v>
      </c>
      <c r="F12" s="199">
        <f>F3*1000/F44</f>
        <v>1125.1336898395723</v>
      </c>
      <c r="G12" s="199">
        <v>1199</v>
      </c>
      <c r="H12" s="199">
        <f>G12*(1+H13)</f>
        <v>1318.9</v>
      </c>
      <c r="I12" s="199">
        <f>H12*(1+I13)</f>
        <v>1398.0340000000001</v>
      </c>
      <c r="J12" s="199">
        <f t="shared" ref="J12:L12" si="5">I12*(1+J13)</f>
        <v>1467.9357000000002</v>
      </c>
      <c r="K12" s="199">
        <f t="shared" si="5"/>
        <v>1541.3324850000004</v>
      </c>
      <c r="L12" s="200">
        <f t="shared" si="5"/>
        <v>1618.3991092500005</v>
      </c>
      <c r="M12" s="23"/>
      <c r="N12" s="23"/>
      <c r="O12" s="23"/>
    </row>
    <row r="13" spans="1:15">
      <c r="A13" s="500"/>
      <c r="B13" s="501"/>
      <c r="C13" s="502">
        <f>(C12-B12)/B12</f>
        <v>3.9203179189681706E-2</v>
      </c>
      <c r="D13" s="502">
        <f t="shared" ref="D13:F13" si="6">(D12-C12)/C12</f>
        <v>0.19162742243444592</v>
      </c>
      <c r="E13" s="502">
        <f t="shared" si="6"/>
        <v>0.12382989702530493</v>
      </c>
      <c r="F13" s="502">
        <f t="shared" si="6"/>
        <v>6.8174909267626954E-2</v>
      </c>
      <c r="G13" s="502">
        <f>(G12-F12)/F12</f>
        <v>6.5651140684410553E-2</v>
      </c>
      <c r="H13" s="502">
        <f>CHOOSE(Cover!$I$15,'Cost of sales'!H14,'Cost of sales'!H15,'Cost of sales'!H16)</f>
        <v>0.1</v>
      </c>
      <c r="I13" s="502">
        <f>CHOOSE(Cover!$I$15,'Cost of sales'!I14,'Cost of sales'!I15,'Cost of sales'!I16)</f>
        <v>0.06</v>
      </c>
      <c r="J13" s="502">
        <f>CHOOSE(Cover!$I$15,'Cost of sales'!J14,'Cost of sales'!J15,'Cost of sales'!J16)</f>
        <v>0.05</v>
      </c>
      <c r="K13" s="502">
        <f>CHOOSE(Cover!$I$15,'Cost of sales'!K14,'Cost of sales'!K15,'Cost of sales'!K16)</f>
        <v>0.05</v>
      </c>
      <c r="L13" s="503">
        <f>CHOOSE(Cover!$I$15,'Cost of sales'!L14,'Cost of sales'!L15,'Cost of sales'!L16)</f>
        <v>0.05</v>
      </c>
      <c r="M13" s="23"/>
      <c r="N13" s="23"/>
      <c r="O13" s="23"/>
    </row>
    <row r="14" spans="1:15">
      <c r="A14" s="198"/>
      <c r="B14" s="199"/>
      <c r="C14" s="201"/>
      <c r="D14" s="201"/>
      <c r="E14" s="201"/>
      <c r="F14" s="201"/>
      <c r="G14" s="201"/>
      <c r="H14" s="201">
        <f>H15-0.01</f>
        <v>9.0000000000000011E-2</v>
      </c>
      <c r="I14" s="201">
        <f t="shared" ref="I14:L14" si="7">I15-0.01</f>
        <v>4.9999999999999996E-2</v>
      </c>
      <c r="J14" s="201">
        <f t="shared" si="7"/>
        <v>0.04</v>
      </c>
      <c r="K14" s="201">
        <f t="shared" si="7"/>
        <v>0.04</v>
      </c>
      <c r="L14" s="202">
        <f t="shared" si="7"/>
        <v>0.04</v>
      </c>
      <c r="M14" s="23" t="s">
        <v>351</v>
      </c>
      <c r="N14" s="23"/>
      <c r="O14" s="23"/>
    </row>
    <row r="15" spans="1:15">
      <c r="A15" s="500"/>
      <c r="B15" s="501"/>
      <c r="C15" s="502"/>
      <c r="D15" s="502"/>
      <c r="E15" s="502"/>
      <c r="F15" s="502"/>
      <c r="G15" s="502"/>
      <c r="H15" s="502">
        <v>0.1</v>
      </c>
      <c r="I15" s="502">
        <v>0.06</v>
      </c>
      <c r="J15" s="502">
        <v>0.05</v>
      </c>
      <c r="K15" s="502">
        <v>0.05</v>
      </c>
      <c r="L15" s="503">
        <v>0.05</v>
      </c>
      <c r="M15" s="23" t="s">
        <v>352</v>
      </c>
      <c r="N15" s="23"/>
      <c r="O15" s="23"/>
    </row>
    <row r="16" spans="1:15">
      <c r="A16" s="198"/>
      <c r="B16" s="199"/>
      <c r="C16" s="201"/>
      <c r="D16" s="201"/>
      <c r="E16" s="201"/>
      <c r="F16" s="201"/>
      <c r="G16" s="201"/>
      <c r="H16" s="201">
        <f>H15+0.01</f>
        <v>0.11</v>
      </c>
      <c r="I16" s="201">
        <f t="shared" ref="I16:L16" si="8">I15+0.01</f>
        <v>6.9999999999999993E-2</v>
      </c>
      <c r="J16" s="201">
        <f t="shared" si="8"/>
        <v>6.0000000000000005E-2</v>
      </c>
      <c r="K16" s="201">
        <f t="shared" si="8"/>
        <v>6.0000000000000005E-2</v>
      </c>
      <c r="L16" s="202">
        <f t="shared" si="8"/>
        <v>6.0000000000000005E-2</v>
      </c>
      <c r="M16" s="23" t="s">
        <v>353</v>
      </c>
      <c r="N16" s="23"/>
      <c r="O16" s="23"/>
    </row>
    <row r="17" spans="1:26">
      <c r="A17" s="198" t="s">
        <v>43</v>
      </c>
      <c r="B17" s="199">
        <f>B4/B48</f>
        <v>7.0526315789473681</v>
      </c>
      <c r="C17" s="199">
        <f>C4/C48</f>
        <v>6.4217252396166131</v>
      </c>
      <c r="D17" s="199">
        <f>D4/D48</f>
        <v>15.133333333333333</v>
      </c>
      <c r="E17" s="199">
        <f>E4/E48</f>
        <v>16.666666666666668</v>
      </c>
      <c r="F17" s="199">
        <f>F4/F48</f>
        <v>10.909090909090908</v>
      </c>
      <c r="G17" s="199">
        <f>AVERAGE(B17:F17)</f>
        <v>11.236689545530979</v>
      </c>
      <c r="H17" s="199">
        <f>G17</f>
        <v>11.236689545530979</v>
      </c>
      <c r="I17" s="199">
        <f t="shared" ref="I17:L17" si="9">H17</f>
        <v>11.236689545530979</v>
      </c>
      <c r="J17" s="199">
        <f t="shared" si="9"/>
        <v>11.236689545530979</v>
      </c>
      <c r="K17" s="199">
        <f t="shared" si="9"/>
        <v>11.236689545530979</v>
      </c>
      <c r="L17" s="200">
        <f t="shared" si="9"/>
        <v>11.236689545530979</v>
      </c>
      <c r="M17" s="23"/>
      <c r="N17" s="23"/>
      <c r="O17" s="23"/>
    </row>
    <row r="18" spans="1:26">
      <c r="A18" s="500" t="s">
        <v>44</v>
      </c>
      <c r="B18" s="504">
        <f>B5/B53</f>
        <v>1.9107142857142858</v>
      </c>
      <c r="C18" s="504">
        <f>C5/C53</f>
        <v>1.5070422535211268</v>
      </c>
      <c r="D18" s="504">
        <f>D5/D53</f>
        <v>2.1294117647058823</v>
      </c>
      <c r="E18" s="504">
        <f>E5/E53</f>
        <v>2.4758620689655171</v>
      </c>
      <c r="F18" s="504">
        <f>F5/F53</f>
        <v>2.059171597633136</v>
      </c>
      <c r="G18" s="501">
        <f>AVERAGE(B18:F18)</f>
        <v>2.0164403941079896</v>
      </c>
      <c r="H18" s="501">
        <f>G18</f>
        <v>2.0164403941079896</v>
      </c>
      <c r="I18" s="501">
        <f t="shared" ref="I18:L18" si="10">H18</f>
        <v>2.0164403941079896</v>
      </c>
      <c r="J18" s="501">
        <f t="shared" si="10"/>
        <v>2.0164403941079896</v>
      </c>
      <c r="K18" s="501">
        <f t="shared" si="10"/>
        <v>2.0164403941079896</v>
      </c>
      <c r="L18" s="505">
        <f t="shared" si="10"/>
        <v>2.0164403941079896</v>
      </c>
      <c r="M18" s="23"/>
      <c r="N18" s="23"/>
      <c r="O18" s="23"/>
    </row>
    <row r="19" spans="1:26">
      <c r="A19" s="198" t="s">
        <v>45</v>
      </c>
      <c r="B19" s="199">
        <f>B7/B62</f>
        <v>0.43016759776536312</v>
      </c>
      <c r="C19" s="199">
        <f>C7/C62</f>
        <v>0.42937853107344631</v>
      </c>
      <c r="D19" s="199">
        <f>D7/D62</f>
        <v>0.63087248322147649</v>
      </c>
      <c r="E19" s="199">
        <f>E7/E62</f>
        <v>0.86725663716814161</v>
      </c>
      <c r="F19" s="199">
        <f>F7/F62</f>
        <v>0.54716981132075471</v>
      </c>
      <c r="G19" s="199">
        <f>AVERAGE(B19:F19)</f>
        <v>0.58096901210983654</v>
      </c>
      <c r="H19" s="199">
        <f t="shared" ref="H19:L20" si="11">G19</f>
        <v>0.58096901210983654</v>
      </c>
      <c r="I19" s="199">
        <f t="shared" si="11"/>
        <v>0.58096901210983654</v>
      </c>
      <c r="J19" s="199">
        <f t="shared" si="11"/>
        <v>0.58096901210983654</v>
      </c>
      <c r="K19" s="199">
        <f t="shared" si="11"/>
        <v>0.58096901210983654</v>
      </c>
      <c r="L19" s="200">
        <f t="shared" si="11"/>
        <v>0.58096901210983654</v>
      </c>
      <c r="M19" s="23"/>
      <c r="N19" s="23"/>
      <c r="O19" s="23"/>
    </row>
    <row r="20" spans="1:26" ht="15" thickBot="1">
      <c r="A20" s="506" t="s">
        <v>46</v>
      </c>
      <c r="B20" s="507">
        <f>B6/B58</f>
        <v>0.58005249343832022</v>
      </c>
      <c r="C20" s="507">
        <f>C6/C58</f>
        <v>0.58850574712643677</v>
      </c>
      <c r="D20" s="507">
        <f>D6/D58</f>
        <v>0.8381962864721485</v>
      </c>
      <c r="E20" s="507">
        <f>E6/E58</f>
        <v>1.1000000000000001</v>
      </c>
      <c r="F20" s="507">
        <f>F6/F58</f>
        <v>0.75043936731107208</v>
      </c>
      <c r="G20" s="507">
        <f>AVERAGE(B20:F20)</f>
        <v>0.77143877886959555</v>
      </c>
      <c r="H20" s="507">
        <f t="shared" si="11"/>
        <v>0.77143877886959555</v>
      </c>
      <c r="I20" s="507">
        <f t="shared" si="11"/>
        <v>0.77143877886959555</v>
      </c>
      <c r="J20" s="507">
        <f t="shared" si="11"/>
        <v>0.77143877886959555</v>
      </c>
      <c r="K20" s="507">
        <f t="shared" si="11"/>
        <v>0.77143877886959555</v>
      </c>
      <c r="L20" s="508">
        <f t="shared" si="11"/>
        <v>0.77143877886959555</v>
      </c>
      <c r="M20" s="23"/>
      <c r="N20" s="23"/>
      <c r="O20" s="23"/>
    </row>
    <row r="21" spans="1:26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26">
      <c r="A22" s="17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26" ht="15" thickBot="1">
      <c r="A23" s="172" t="s">
        <v>1</v>
      </c>
      <c r="B23" s="23"/>
      <c r="C23" s="23"/>
      <c r="D23" s="23"/>
      <c r="E23" s="23"/>
      <c r="F23" s="602" t="s">
        <v>380</v>
      </c>
      <c r="G23" s="602"/>
      <c r="H23" s="602"/>
      <c r="I23" s="23"/>
      <c r="J23" s="23"/>
      <c r="K23" s="23"/>
      <c r="L23" s="23"/>
      <c r="M23" s="23"/>
      <c r="N23" s="23"/>
      <c r="O23" s="23"/>
    </row>
    <row r="24" spans="1:26">
      <c r="A24" s="194" t="s">
        <v>398</v>
      </c>
      <c r="B24" s="195">
        <v>2020</v>
      </c>
      <c r="C24" s="195">
        <v>2021</v>
      </c>
      <c r="D24" s="195">
        <v>2022</v>
      </c>
      <c r="E24" s="195">
        <v>2023</v>
      </c>
      <c r="F24" s="195">
        <v>2024</v>
      </c>
      <c r="G24" s="196" t="s">
        <v>406</v>
      </c>
      <c r="H24" s="196" t="s">
        <v>3</v>
      </c>
      <c r="I24" s="196" t="s">
        <v>4</v>
      </c>
      <c r="J24" s="196" t="s">
        <v>5</v>
      </c>
      <c r="K24" s="196" t="s">
        <v>6</v>
      </c>
      <c r="L24" s="197" t="s">
        <v>7</v>
      </c>
      <c r="M24" s="203" t="s">
        <v>397</v>
      </c>
      <c r="N24" s="604" t="s">
        <v>395</v>
      </c>
      <c r="O24" s="604"/>
      <c r="P24" s="20"/>
      <c r="Q24" s="20"/>
      <c r="R24" s="20"/>
      <c r="S24" s="20"/>
      <c r="T24" s="20"/>
      <c r="U24" s="20"/>
      <c r="V24" s="21"/>
      <c r="W24" s="21"/>
      <c r="X24" s="21"/>
      <c r="Y24" s="21"/>
      <c r="Z24" s="21"/>
    </row>
    <row r="25" spans="1:26">
      <c r="A25" s="182" t="s">
        <v>14</v>
      </c>
      <c r="B25" s="204"/>
      <c r="C25" s="204"/>
      <c r="D25" s="23">
        <v>0</v>
      </c>
      <c r="E25" s="23">
        <v>29</v>
      </c>
      <c r="F25" s="23">
        <v>258</v>
      </c>
      <c r="G25" s="166">
        <v>231</v>
      </c>
      <c r="H25" s="166">
        <v>260</v>
      </c>
      <c r="I25" s="166">
        <v>226.66666666666666</v>
      </c>
      <c r="J25" s="166">
        <v>226.66666666666666</v>
      </c>
      <c r="K25" s="166">
        <v>226.66666666666666</v>
      </c>
      <c r="L25" s="205">
        <v>226.66666666666666</v>
      </c>
      <c r="M25" s="206"/>
      <c r="N25" s="23" t="s">
        <v>381</v>
      </c>
      <c r="O25" s="207"/>
      <c r="X25" s="8"/>
    </row>
    <row r="26" spans="1:26">
      <c r="A26" s="509" t="s">
        <v>15</v>
      </c>
      <c r="B26" s="458"/>
      <c r="C26" s="458"/>
      <c r="D26" s="458">
        <v>0</v>
      </c>
      <c r="E26" s="458">
        <v>5</v>
      </c>
      <c r="F26" s="458">
        <v>40</v>
      </c>
      <c r="G26" s="490">
        <v>62</v>
      </c>
      <c r="H26" s="490">
        <v>35</v>
      </c>
      <c r="I26" s="490">
        <f t="shared" ref="I26:L26" si="12">H26*1.05</f>
        <v>36.75</v>
      </c>
      <c r="J26" s="490">
        <f t="shared" si="12"/>
        <v>38.587499999999999</v>
      </c>
      <c r="K26" s="490">
        <f t="shared" si="12"/>
        <v>40.516874999999999</v>
      </c>
      <c r="L26" s="491">
        <f t="shared" si="12"/>
        <v>42.542718749999999</v>
      </c>
      <c r="M26" s="206"/>
      <c r="N26" s="23" t="s">
        <v>382</v>
      </c>
      <c r="O26" s="207"/>
      <c r="X26" s="8"/>
    </row>
    <row r="27" spans="1:26">
      <c r="A27" s="182" t="s">
        <v>27</v>
      </c>
      <c r="B27" s="204"/>
      <c r="C27" s="204"/>
      <c r="D27" s="23">
        <v>566</v>
      </c>
      <c r="E27" s="23">
        <v>143</v>
      </c>
      <c r="F27" s="23">
        <v>299</v>
      </c>
      <c r="G27" s="166">
        <v>415</v>
      </c>
      <c r="H27" s="166">
        <v>185</v>
      </c>
      <c r="I27" s="166">
        <v>500</v>
      </c>
      <c r="J27" s="166">
        <v>500</v>
      </c>
      <c r="K27" s="166">
        <v>500</v>
      </c>
      <c r="L27" s="205">
        <v>500</v>
      </c>
      <c r="M27" s="206"/>
      <c r="N27" s="23" t="s">
        <v>383</v>
      </c>
      <c r="O27" s="207"/>
      <c r="X27" s="8"/>
    </row>
    <row r="28" spans="1:26">
      <c r="A28" s="509" t="s">
        <v>16</v>
      </c>
      <c r="B28" s="458"/>
      <c r="C28" s="458"/>
      <c r="D28" s="458">
        <v>403</v>
      </c>
      <c r="E28" s="458">
        <v>322</v>
      </c>
      <c r="F28" s="458">
        <v>274</v>
      </c>
      <c r="G28" s="490">
        <v>237</v>
      </c>
      <c r="H28" s="490">
        <v>225</v>
      </c>
      <c r="I28" s="490">
        <f t="shared" ref="I28:L28" si="13">H28*0.98</f>
        <v>220.5</v>
      </c>
      <c r="J28" s="490">
        <f t="shared" si="13"/>
        <v>216.09</v>
      </c>
      <c r="K28" s="490">
        <f t="shared" si="13"/>
        <v>211.76820000000001</v>
      </c>
      <c r="L28" s="491">
        <f t="shared" si="13"/>
        <v>207.532836</v>
      </c>
      <c r="M28" s="206"/>
      <c r="N28" s="23" t="s">
        <v>384</v>
      </c>
      <c r="O28" s="207"/>
      <c r="X28" s="8"/>
    </row>
    <row r="29" spans="1:26">
      <c r="A29" s="182" t="s">
        <v>17</v>
      </c>
      <c r="B29" s="204"/>
      <c r="C29" s="204"/>
      <c r="D29" s="23">
        <v>278</v>
      </c>
      <c r="E29" s="23">
        <v>269</v>
      </c>
      <c r="F29" s="23">
        <v>238</v>
      </c>
      <c r="G29" s="166">
        <v>202</v>
      </c>
      <c r="H29" s="166">
        <v>220</v>
      </c>
      <c r="I29" s="166">
        <f t="shared" ref="I29:L29" si="14">H29*0.95</f>
        <v>209</v>
      </c>
      <c r="J29" s="166">
        <f t="shared" si="14"/>
        <v>198.54999999999998</v>
      </c>
      <c r="K29" s="166">
        <f t="shared" si="14"/>
        <v>188.62249999999997</v>
      </c>
      <c r="L29" s="205">
        <f t="shared" si="14"/>
        <v>179.19137499999997</v>
      </c>
      <c r="M29" s="206"/>
      <c r="N29" s="23" t="s">
        <v>385</v>
      </c>
      <c r="O29" s="207"/>
      <c r="X29" s="8"/>
    </row>
    <row r="30" spans="1:26">
      <c r="A30" s="509" t="s">
        <v>18</v>
      </c>
      <c r="B30" s="458"/>
      <c r="C30" s="458"/>
      <c r="D30" s="458">
        <v>244</v>
      </c>
      <c r="E30" s="458">
        <v>276</v>
      </c>
      <c r="F30" s="458">
        <v>354</v>
      </c>
      <c r="G30" s="490">
        <v>515</v>
      </c>
      <c r="H30" s="490">
        <v>460</v>
      </c>
      <c r="I30" s="490">
        <v>517.33333333333337</v>
      </c>
      <c r="J30" s="490">
        <v>517.33333333333337</v>
      </c>
      <c r="K30" s="490">
        <v>517.33333333333337</v>
      </c>
      <c r="L30" s="491">
        <v>517.33333333333337</v>
      </c>
      <c r="M30" s="206"/>
      <c r="N30" s="23" t="s">
        <v>386</v>
      </c>
      <c r="O30" s="207"/>
      <c r="X30" s="8"/>
    </row>
    <row r="31" spans="1:26">
      <c r="A31" s="182" t="s">
        <v>19</v>
      </c>
      <c r="B31" s="204"/>
      <c r="C31" s="204"/>
      <c r="D31" s="23">
        <v>798</v>
      </c>
      <c r="E31" s="23">
        <v>745</v>
      </c>
      <c r="F31" s="23">
        <v>590</v>
      </c>
      <c r="G31" s="166">
        <v>565</v>
      </c>
      <c r="H31" s="166">
        <v>580</v>
      </c>
      <c r="I31" s="166">
        <v>558.66666666666663</v>
      </c>
      <c r="J31" s="166">
        <v>558.66666666666663</v>
      </c>
      <c r="K31" s="166">
        <v>558.66666666666663</v>
      </c>
      <c r="L31" s="205">
        <v>558.66666666666663</v>
      </c>
      <c r="M31" s="206"/>
      <c r="N31" s="23" t="s">
        <v>387</v>
      </c>
      <c r="O31" s="207"/>
      <c r="X31" s="8"/>
    </row>
    <row r="32" spans="1:26">
      <c r="A32" s="509" t="s">
        <v>20</v>
      </c>
      <c r="B32" s="458"/>
      <c r="C32" s="458"/>
      <c r="D32" s="458">
        <v>484</v>
      </c>
      <c r="E32" s="458">
        <v>448</v>
      </c>
      <c r="F32" s="458">
        <v>408</v>
      </c>
      <c r="G32" s="490">
        <v>391</v>
      </c>
      <c r="H32" s="490">
        <v>365</v>
      </c>
      <c r="I32" s="490">
        <f>H32+200</f>
        <v>565</v>
      </c>
      <c r="J32" s="490">
        <f>I32</f>
        <v>565</v>
      </c>
      <c r="K32" s="490">
        <f t="shared" ref="K32:L32" si="15">J32</f>
        <v>565</v>
      </c>
      <c r="L32" s="491">
        <f t="shared" si="15"/>
        <v>565</v>
      </c>
      <c r="M32" s="206"/>
      <c r="N32" s="23" t="s">
        <v>388</v>
      </c>
      <c r="O32" s="207"/>
      <c r="X32" s="8"/>
    </row>
    <row r="33" spans="1:24">
      <c r="A33" s="182" t="s">
        <v>21</v>
      </c>
      <c r="B33" s="204"/>
      <c r="C33" s="204"/>
      <c r="D33" s="23">
        <v>0</v>
      </c>
      <c r="E33" s="23">
        <v>97</v>
      </c>
      <c r="F33" s="23">
        <v>464</v>
      </c>
      <c r="G33" s="166">
        <v>385</v>
      </c>
      <c r="H33" s="166">
        <v>270</v>
      </c>
      <c r="I33" s="166">
        <f t="shared" ref="I33:L33" si="16">H33*1.05</f>
        <v>283.5</v>
      </c>
      <c r="J33" s="166">
        <f t="shared" si="16"/>
        <v>297.67500000000001</v>
      </c>
      <c r="K33" s="166">
        <f t="shared" si="16"/>
        <v>312.55875000000003</v>
      </c>
      <c r="L33" s="205">
        <f t="shared" si="16"/>
        <v>328.18668750000006</v>
      </c>
      <c r="M33" s="206"/>
      <c r="N33" s="23" t="s">
        <v>389</v>
      </c>
      <c r="O33" s="207"/>
      <c r="X33" s="8"/>
    </row>
    <row r="34" spans="1:24">
      <c r="A34" s="509" t="s">
        <v>22</v>
      </c>
      <c r="B34" s="458"/>
      <c r="C34" s="458"/>
      <c r="D34" s="458">
        <v>0</v>
      </c>
      <c r="E34" s="458">
        <v>134</v>
      </c>
      <c r="F34" s="458">
        <v>614</v>
      </c>
      <c r="G34" s="490">
        <v>585</v>
      </c>
      <c r="H34" s="490">
        <v>560</v>
      </c>
      <c r="I34" s="490">
        <v>604</v>
      </c>
      <c r="J34" s="490">
        <v>604</v>
      </c>
      <c r="K34" s="490">
        <v>604</v>
      </c>
      <c r="L34" s="491">
        <v>604</v>
      </c>
      <c r="M34" s="206"/>
      <c r="N34" s="23" t="s">
        <v>390</v>
      </c>
      <c r="O34" s="207"/>
      <c r="X34" s="8"/>
    </row>
    <row r="35" spans="1:24" ht="15.6" customHeight="1">
      <c r="A35" s="182" t="s">
        <v>23</v>
      </c>
      <c r="B35" s="204"/>
      <c r="C35" s="204"/>
      <c r="D35" s="23">
        <v>574</v>
      </c>
      <c r="E35" s="23">
        <v>581</v>
      </c>
      <c r="F35" s="23">
        <v>798</v>
      </c>
      <c r="G35" s="166">
        <f>664+70</f>
        <v>734</v>
      </c>
      <c r="H35" s="166">
        <v>755</v>
      </c>
      <c r="I35" s="166">
        <f>H35</f>
        <v>755</v>
      </c>
      <c r="J35" s="166">
        <f t="shared" ref="J35:L35" si="17">I35</f>
        <v>755</v>
      </c>
      <c r="K35" s="166">
        <f t="shared" si="17"/>
        <v>755</v>
      </c>
      <c r="L35" s="205">
        <f t="shared" si="17"/>
        <v>755</v>
      </c>
      <c r="M35" s="206"/>
      <c r="N35" s="23" t="s">
        <v>391</v>
      </c>
      <c r="O35" s="207"/>
      <c r="X35" s="8"/>
    </row>
    <row r="36" spans="1:24">
      <c r="A36" s="509" t="s">
        <v>25</v>
      </c>
      <c r="B36" s="458"/>
      <c r="C36" s="458"/>
      <c r="D36" s="458">
        <v>1169</v>
      </c>
      <c r="E36" s="458">
        <v>1170</v>
      </c>
      <c r="F36" s="458">
        <v>1039</v>
      </c>
      <c r="G36" s="490">
        <v>999</v>
      </c>
      <c r="H36" s="490">
        <v>935</v>
      </c>
      <c r="I36" s="490">
        <f t="shared" ref="I36:L36" si="18">H36*0.98</f>
        <v>916.3</v>
      </c>
      <c r="J36" s="490">
        <f t="shared" si="18"/>
        <v>897.97399999999993</v>
      </c>
      <c r="K36" s="490">
        <f t="shared" si="18"/>
        <v>880.01451999999995</v>
      </c>
      <c r="L36" s="491">
        <f t="shared" si="18"/>
        <v>862.41422959999989</v>
      </c>
      <c r="M36" s="206"/>
      <c r="N36" s="23" t="s">
        <v>392</v>
      </c>
      <c r="O36" s="207"/>
      <c r="X36" s="8"/>
    </row>
    <row r="37" spans="1:24">
      <c r="A37" s="208" t="s">
        <v>12</v>
      </c>
      <c r="B37" s="204"/>
      <c r="C37" s="204"/>
      <c r="D37" s="23">
        <v>182</v>
      </c>
      <c r="E37" s="23">
        <v>172</v>
      </c>
      <c r="F37" s="23">
        <v>146</v>
      </c>
      <c r="G37" s="209">
        <v>0</v>
      </c>
      <c r="H37" s="209">
        <v>0</v>
      </c>
      <c r="I37" s="209">
        <v>0</v>
      </c>
      <c r="J37" s="209">
        <v>0</v>
      </c>
      <c r="K37" s="209">
        <v>0</v>
      </c>
      <c r="L37" s="210">
        <v>0</v>
      </c>
      <c r="M37" s="206"/>
      <c r="N37" s="23" t="s">
        <v>393</v>
      </c>
      <c r="O37" s="207"/>
      <c r="X37" s="8"/>
    </row>
    <row r="38" spans="1:24">
      <c r="A38" s="509" t="s">
        <v>31</v>
      </c>
      <c r="B38" s="458"/>
      <c r="C38" s="458"/>
      <c r="D38" s="458">
        <v>173</v>
      </c>
      <c r="E38" s="458">
        <v>180</v>
      </c>
      <c r="F38" s="458">
        <v>212</v>
      </c>
      <c r="G38" s="510">
        <v>0</v>
      </c>
      <c r="H38" s="510">
        <v>0</v>
      </c>
      <c r="I38" s="510">
        <v>0</v>
      </c>
      <c r="J38" s="510">
        <v>0</v>
      </c>
      <c r="K38" s="510">
        <v>0</v>
      </c>
      <c r="L38" s="511">
        <v>0</v>
      </c>
      <c r="M38" s="206"/>
      <c r="N38" s="23" t="s">
        <v>393</v>
      </c>
      <c r="O38" s="207"/>
      <c r="X38" s="8"/>
    </row>
    <row r="39" spans="1:24">
      <c r="A39" s="208" t="s">
        <v>13</v>
      </c>
      <c r="B39" s="204"/>
      <c r="C39" s="204"/>
      <c r="D39" s="23">
        <v>280</v>
      </c>
      <c r="E39" s="23">
        <v>260</v>
      </c>
      <c r="F39" s="23">
        <v>284</v>
      </c>
      <c r="G39" s="209">
        <v>0</v>
      </c>
      <c r="H39" s="209">
        <v>0</v>
      </c>
      <c r="I39" s="209">
        <v>0</v>
      </c>
      <c r="J39" s="209">
        <v>0</v>
      </c>
      <c r="K39" s="209">
        <v>0</v>
      </c>
      <c r="L39" s="210">
        <v>0</v>
      </c>
      <c r="M39" s="206"/>
      <c r="N39" s="23" t="s">
        <v>393</v>
      </c>
      <c r="O39" s="207"/>
    </row>
    <row r="40" spans="1:24">
      <c r="A40" s="509" t="s">
        <v>30</v>
      </c>
      <c r="B40" s="458"/>
      <c r="C40" s="458"/>
      <c r="D40" s="458">
        <v>215</v>
      </c>
      <c r="E40" s="458">
        <v>232</v>
      </c>
      <c r="F40" s="458">
        <v>240</v>
      </c>
      <c r="G40" s="510">
        <v>0</v>
      </c>
      <c r="H40" s="510">
        <v>0</v>
      </c>
      <c r="I40" s="510">
        <v>0</v>
      </c>
      <c r="J40" s="510">
        <v>0</v>
      </c>
      <c r="K40" s="510">
        <v>0</v>
      </c>
      <c r="L40" s="511">
        <v>0</v>
      </c>
      <c r="M40" s="206"/>
      <c r="N40" s="23" t="s">
        <v>393</v>
      </c>
      <c r="O40" s="207"/>
    </row>
    <row r="41" spans="1:24">
      <c r="A41" s="208" t="s">
        <v>24</v>
      </c>
      <c r="B41" s="204"/>
      <c r="C41" s="204"/>
      <c r="D41" s="23">
        <v>420</v>
      </c>
      <c r="E41" s="23">
        <v>295</v>
      </c>
      <c r="F41" s="23">
        <v>204</v>
      </c>
      <c r="G41" s="209">
        <v>0</v>
      </c>
      <c r="H41" s="209">
        <v>0</v>
      </c>
      <c r="I41" s="209">
        <v>0</v>
      </c>
      <c r="J41" s="209">
        <v>0</v>
      </c>
      <c r="K41" s="209">
        <v>0</v>
      </c>
      <c r="L41" s="210">
        <v>0</v>
      </c>
      <c r="M41" s="206"/>
      <c r="N41" s="23" t="s">
        <v>393</v>
      </c>
      <c r="O41" s="207"/>
    </row>
    <row r="42" spans="1:24">
      <c r="A42" s="512" t="s">
        <v>29</v>
      </c>
      <c r="B42" s="458"/>
      <c r="C42" s="458"/>
      <c r="D42" s="458"/>
      <c r="E42" s="458"/>
      <c r="F42" s="458"/>
      <c r="G42" s="510">
        <v>209</v>
      </c>
      <c r="H42" s="458">
        <v>0</v>
      </c>
      <c r="I42" s="458">
        <v>0</v>
      </c>
      <c r="J42" s="458">
        <v>0</v>
      </c>
      <c r="K42" s="458">
        <v>0</v>
      </c>
      <c r="L42" s="461">
        <v>0</v>
      </c>
      <c r="M42" s="206"/>
      <c r="N42" s="23" t="s">
        <v>409</v>
      </c>
      <c r="O42" s="167"/>
    </row>
    <row r="43" spans="1:24">
      <c r="A43" s="182" t="s">
        <v>28</v>
      </c>
      <c r="B43" s="204"/>
      <c r="C43" s="204"/>
      <c r="D43" s="23">
        <v>0</v>
      </c>
      <c r="E43" s="23">
        <v>43</v>
      </c>
      <c r="F43" s="23">
        <v>83</v>
      </c>
      <c r="G43" s="211"/>
      <c r="H43" s="211"/>
      <c r="I43" s="211"/>
      <c r="J43" s="211"/>
      <c r="K43" s="211"/>
      <c r="L43" s="212"/>
      <c r="M43" s="206"/>
      <c r="N43" s="23" t="s">
        <v>394</v>
      </c>
      <c r="O43" s="207"/>
    </row>
    <row r="44" spans="1:24" ht="15" thickBot="1">
      <c r="A44" s="168" t="s">
        <v>26</v>
      </c>
      <c r="B44" s="213">
        <v>5824</v>
      </c>
      <c r="C44" s="213">
        <v>5884</v>
      </c>
      <c r="D44" s="213">
        <f t="shared" ref="D44:L44" si="19">+SUM(D25:D43)</f>
        <v>5786</v>
      </c>
      <c r="E44" s="213">
        <f t="shared" si="19"/>
        <v>5401</v>
      </c>
      <c r="F44" s="213">
        <f t="shared" si="19"/>
        <v>6545</v>
      </c>
      <c r="G44" s="214">
        <f t="shared" si="19"/>
        <v>5530</v>
      </c>
      <c r="H44" s="214">
        <f t="shared" si="19"/>
        <v>4850</v>
      </c>
      <c r="I44" s="213">
        <f t="shared" si="19"/>
        <v>5392.7166666666662</v>
      </c>
      <c r="J44" s="213">
        <f t="shared" si="19"/>
        <v>5375.5431666666664</v>
      </c>
      <c r="K44" s="213">
        <f t="shared" si="19"/>
        <v>5360.147511666667</v>
      </c>
      <c r="L44" s="215">
        <f t="shared" si="19"/>
        <v>5346.5345135166672</v>
      </c>
      <c r="M44" s="206"/>
      <c r="N44" s="23" t="s">
        <v>396</v>
      </c>
      <c r="O44" s="207"/>
      <c r="R44" s="8"/>
      <c r="S44" s="8"/>
      <c r="T44" s="8"/>
    </row>
    <row r="45" spans="1:24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</row>
    <row r="46" spans="1:24" ht="15" thickBot="1">
      <c r="A46" s="172" t="s">
        <v>2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</row>
    <row r="47" spans="1:24">
      <c r="A47" s="194" t="s">
        <v>53</v>
      </c>
      <c r="B47" s="195">
        <v>2020</v>
      </c>
      <c r="C47" s="195">
        <v>2021</v>
      </c>
      <c r="D47" s="195">
        <v>2022</v>
      </c>
      <c r="E47" s="195">
        <v>2023</v>
      </c>
      <c r="F47" s="195">
        <v>2024</v>
      </c>
      <c r="G47" s="196" t="s">
        <v>406</v>
      </c>
      <c r="H47" s="196" t="s">
        <v>3</v>
      </c>
      <c r="I47" s="196" t="s">
        <v>4</v>
      </c>
      <c r="J47" s="196" t="s">
        <v>5</v>
      </c>
      <c r="K47" s="196" t="s">
        <v>6</v>
      </c>
      <c r="L47" s="197" t="s">
        <v>7</v>
      </c>
      <c r="M47" s="216"/>
      <c r="N47" s="23"/>
      <c r="O47" s="23"/>
    </row>
    <row r="48" spans="1:24" ht="15" thickBot="1">
      <c r="A48" s="160"/>
      <c r="B48" s="161">
        <v>28.5</v>
      </c>
      <c r="C48" s="161">
        <v>31.3</v>
      </c>
      <c r="D48" s="161">
        <v>30</v>
      </c>
      <c r="E48" s="161">
        <v>18</v>
      </c>
      <c r="F48" s="161">
        <v>33</v>
      </c>
      <c r="G48" s="161">
        <v>28</v>
      </c>
      <c r="H48" s="161">
        <f>G48</f>
        <v>28</v>
      </c>
      <c r="I48" s="161">
        <f t="shared" ref="I48:L48" si="20">H48</f>
        <v>28</v>
      </c>
      <c r="J48" s="161">
        <f t="shared" si="20"/>
        <v>28</v>
      </c>
      <c r="K48" s="161">
        <f t="shared" si="20"/>
        <v>28</v>
      </c>
      <c r="L48" s="170">
        <f t="shared" si="20"/>
        <v>28</v>
      </c>
      <c r="M48" s="23"/>
      <c r="N48" s="23"/>
      <c r="O48" s="23"/>
    </row>
    <row r="49" spans="1:1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</row>
    <row r="50" spans="1:1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</row>
    <row r="51" spans="1:15" ht="15" thickBot="1">
      <c r="A51" s="172" t="s">
        <v>9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>
      <c r="A52" s="194" t="s">
        <v>53</v>
      </c>
      <c r="B52" s="195">
        <v>2020</v>
      </c>
      <c r="C52" s="195">
        <v>2021</v>
      </c>
      <c r="D52" s="195">
        <v>2022</v>
      </c>
      <c r="E52" s="195">
        <v>2023</v>
      </c>
      <c r="F52" s="195">
        <v>2024</v>
      </c>
      <c r="G52" s="196" t="s">
        <v>406</v>
      </c>
      <c r="H52" s="196" t="s">
        <v>3</v>
      </c>
      <c r="I52" s="196" t="s">
        <v>4</v>
      </c>
      <c r="J52" s="196" t="s">
        <v>5</v>
      </c>
      <c r="K52" s="196" t="s">
        <v>6</v>
      </c>
      <c r="L52" s="197" t="s">
        <v>7</v>
      </c>
      <c r="M52" s="216"/>
      <c r="N52" s="23"/>
      <c r="O52" s="23"/>
    </row>
    <row r="53" spans="1:15" ht="15" thickBot="1">
      <c r="A53" s="160" t="s">
        <v>34</v>
      </c>
      <c r="B53" s="161">
        <v>56</v>
      </c>
      <c r="C53" s="161">
        <v>71</v>
      </c>
      <c r="D53" s="161">
        <v>85</v>
      </c>
      <c r="E53" s="161">
        <v>145</v>
      </c>
      <c r="F53" s="161">
        <v>338</v>
      </c>
      <c r="G53" s="161">
        <v>296</v>
      </c>
      <c r="H53" s="161">
        <v>296</v>
      </c>
      <c r="I53" s="161">
        <v>296</v>
      </c>
      <c r="J53" s="161">
        <v>296</v>
      </c>
      <c r="K53" s="161">
        <v>296</v>
      </c>
      <c r="L53" s="170">
        <v>296</v>
      </c>
      <c r="M53" s="23"/>
      <c r="N53" s="23"/>
      <c r="O53" s="23"/>
    </row>
    <row r="54" spans="1:1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</row>
    <row r="55" spans="1:1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</row>
    <row r="56" spans="1:15" ht="15" thickBot="1">
      <c r="A56" s="172" t="s">
        <v>10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</row>
    <row r="57" spans="1:15">
      <c r="A57" s="194" t="s">
        <v>53</v>
      </c>
      <c r="B57" s="195">
        <v>2020</v>
      </c>
      <c r="C57" s="195">
        <v>2021</v>
      </c>
      <c r="D57" s="195">
        <v>2022</v>
      </c>
      <c r="E57" s="195">
        <v>2023</v>
      </c>
      <c r="F57" s="195">
        <v>2024</v>
      </c>
      <c r="G57" s="196" t="s">
        <v>406</v>
      </c>
      <c r="H57" s="196" t="s">
        <v>3</v>
      </c>
      <c r="I57" s="196" t="s">
        <v>4</v>
      </c>
      <c r="J57" s="196" t="s">
        <v>5</v>
      </c>
      <c r="K57" s="196" t="s">
        <v>6</v>
      </c>
      <c r="L57" s="197" t="s">
        <v>7</v>
      </c>
      <c r="M57" s="216"/>
      <c r="N57" s="23"/>
      <c r="O57" s="23"/>
    </row>
    <row r="58" spans="1:15" ht="15" thickBot="1">
      <c r="A58" s="160"/>
      <c r="B58" s="161">
        <v>381</v>
      </c>
      <c r="C58" s="161">
        <v>435</v>
      </c>
      <c r="D58" s="161">
        <v>377</v>
      </c>
      <c r="E58" s="161">
        <v>230</v>
      </c>
      <c r="F58" s="161">
        <v>569</v>
      </c>
      <c r="G58" s="161">
        <v>509</v>
      </c>
      <c r="H58" s="161">
        <v>509</v>
      </c>
      <c r="I58" s="161">
        <v>509</v>
      </c>
      <c r="J58" s="161">
        <v>509</v>
      </c>
      <c r="K58" s="161">
        <v>509</v>
      </c>
      <c r="L58" s="170">
        <v>509</v>
      </c>
      <c r="M58" s="23"/>
      <c r="N58" s="23"/>
      <c r="O58" s="23"/>
    </row>
    <row r="59" spans="1:1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</row>
    <row r="60" spans="1:15" ht="15" thickBot="1">
      <c r="A60" s="172" t="s">
        <v>11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</row>
    <row r="61" spans="1:15">
      <c r="A61" s="194" t="s">
        <v>53</v>
      </c>
      <c r="B61" s="195">
        <v>2020</v>
      </c>
      <c r="C61" s="195">
        <v>2021</v>
      </c>
      <c r="D61" s="195">
        <v>2022</v>
      </c>
      <c r="E61" s="195">
        <v>2023</v>
      </c>
      <c r="F61" s="195">
        <v>2024</v>
      </c>
      <c r="G61" s="196" t="s">
        <v>406</v>
      </c>
      <c r="H61" s="196" t="s">
        <v>3</v>
      </c>
      <c r="I61" s="196" t="s">
        <v>4</v>
      </c>
      <c r="J61" s="196" t="s">
        <v>5</v>
      </c>
      <c r="K61" s="196" t="s">
        <v>6</v>
      </c>
      <c r="L61" s="197" t="s">
        <v>7</v>
      </c>
      <c r="M61" s="216"/>
      <c r="N61" s="23"/>
      <c r="O61" s="23"/>
    </row>
    <row r="62" spans="1:15" ht="15" thickBot="1">
      <c r="A62" s="160"/>
      <c r="B62" s="161">
        <v>179</v>
      </c>
      <c r="C62" s="161">
        <v>177</v>
      </c>
      <c r="D62" s="161">
        <v>149</v>
      </c>
      <c r="E62" s="161">
        <v>113</v>
      </c>
      <c r="F62" s="161">
        <v>212</v>
      </c>
      <c r="G62" s="161">
        <v>216</v>
      </c>
      <c r="H62" s="161">
        <v>216</v>
      </c>
      <c r="I62" s="161">
        <v>216</v>
      </c>
      <c r="J62" s="161">
        <v>216</v>
      </c>
      <c r="K62" s="161">
        <v>216</v>
      </c>
      <c r="L62" s="170">
        <v>216</v>
      </c>
      <c r="M62" s="23"/>
      <c r="N62" s="23"/>
      <c r="O62" s="23"/>
    </row>
    <row r="63" spans="1:1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</row>
    <row r="64" spans="1:1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</row>
    <row r="65" spans="1:1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</row>
    <row r="66" spans="1:15" ht="15" thickBot="1">
      <c r="A66" s="213" t="s">
        <v>231</v>
      </c>
      <c r="B66" s="213">
        <f>SUM(B44,B48,B53,B58,B62)</f>
        <v>6468.5</v>
      </c>
      <c r="C66" s="213">
        <f t="shared" ref="C66:L66" si="21">SUM(C44,C48,C53,C58,C62)</f>
        <v>6598.3</v>
      </c>
      <c r="D66" s="213">
        <f t="shared" si="21"/>
        <v>6427</v>
      </c>
      <c r="E66" s="213">
        <f t="shared" si="21"/>
        <v>5907</v>
      </c>
      <c r="F66" s="213">
        <f t="shared" si="21"/>
        <v>7697</v>
      </c>
      <c r="G66" s="213">
        <f t="shared" si="21"/>
        <v>6579</v>
      </c>
      <c r="H66" s="213">
        <f t="shared" si="21"/>
        <v>5899</v>
      </c>
      <c r="I66" s="213">
        <f t="shared" si="21"/>
        <v>6441.7166666666662</v>
      </c>
      <c r="J66" s="213">
        <f t="shared" si="21"/>
        <v>6424.5431666666664</v>
      </c>
      <c r="K66" s="213">
        <f t="shared" si="21"/>
        <v>6409.147511666667</v>
      </c>
      <c r="L66" s="213">
        <f t="shared" si="21"/>
        <v>6395.5345135166672</v>
      </c>
      <c r="M66" s="23"/>
      <c r="N66" s="23"/>
      <c r="O66" s="23"/>
    </row>
  </sheetData>
  <mergeCells count="3">
    <mergeCell ref="E10:G10"/>
    <mergeCell ref="F23:H23"/>
    <mergeCell ref="N24:O2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6537-A5F2-45E4-A41F-6ADA0E955756}">
  <dimension ref="A1:N54"/>
  <sheetViews>
    <sheetView zoomScale="68" zoomScaleNormal="80" workbookViewId="0">
      <pane ySplit="2" topLeftCell="A3" activePane="bottomLeft" state="frozen"/>
      <selection pane="bottomLeft" activeCell="P26" sqref="P26"/>
    </sheetView>
  </sheetViews>
  <sheetFormatPr defaultColWidth="8.77734375" defaultRowHeight="14.4"/>
  <cols>
    <col min="1" max="1" width="52.109375" bestFit="1" customWidth="1"/>
    <col min="4" max="4" width="10.6640625" bestFit="1" customWidth="1"/>
  </cols>
  <sheetData>
    <row r="1" spans="1:14" ht="15" thickBot="1"/>
    <row r="2" spans="1:14">
      <c r="A2" s="153" t="s">
        <v>263</v>
      </c>
      <c r="B2" s="154">
        <v>2020</v>
      </c>
      <c r="C2" s="154">
        <v>2021</v>
      </c>
      <c r="D2" s="154">
        <v>2022</v>
      </c>
      <c r="E2" s="154">
        <v>2023</v>
      </c>
      <c r="F2" s="154">
        <v>2024</v>
      </c>
      <c r="G2" s="154" t="s">
        <v>406</v>
      </c>
      <c r="H2" s="155" t="s">
        <v>3</v>
      </c>
      <c r="I2" s="155" t="s">
        <v>4</v>
      </c>
      <c r="J2" s="155" t="s">
        <v>5</v>
      </c>
      <c r="K2" s="155" t="s">
        <v>6</v>
      </c>
      <c r="L2" s="156" t="s">
        <v>7</v>
      </c>
      <c r="M2" s="23"/>
      <c r="N2" s="23"/>
    </row>
    <row r="3" spans="1:14">
      <c r="A3" s="157" t="s">
        <v>54</v>
      </c>
      <c r="B3" s="164">
        <v>11497</v>
      </c>
      <c r="C3" s="164">
        <v>12222</v>
      </c>
      <c r="D3" s="164">
        <v>11915</v>
      </c>
      <c r="E3" s="164">
        <v>11812</v>
      </c>
      <c r="F3" s="164">
        <v>18682</v>
      </c>
      <c r="G3" s="164">
        <v>22669</v>
      </c>
      <c r="H3" s="164">
        <f>Revenue!H9</f>
        <v>27610.771000000001</v>
      </c>
      <c r="I3" s="164">
        <f>Revenue!I9</f>
        <v>31600.81657333333</v>
      </c>
      <c r="J3" s="164">
        <f>Revenue!J9</f>
        <v>32720.406426416666</v>
      </c>
      <c r="K3" s="164">
        <f>Revenue!K9</f>
        <v>33889.193847494331</v>
      </c>
      <c r="L3" s="217">
        <f>Revenue!L9</f>
        <v>34742.033135484817</v>
      </c>
      <c r="M3" s="23"/>
      <c r="N3" s="23"/>
    </row>
    <row r="4" spans="1:14">
      <c r="A4" s="455" t="s">
        <v>55</v>
      </c>
      <c r="B4" s="456">
        <v>5014</v>
      </c>
      <c r="C4" s="456">
        <v>5435</v>
      </c>
      <c r="D4" s="456">
        <v>6468</v>
      </c>
      <c r="E4" s="456">
        <v>6699</v>
      </c>
      <c r="F4" s="456">
        <v>8963</v>
      </c>
      <c r="G4" s="456">
        <v>8085</v>
      </c>
      <c r="H4" s="456">
        <f>'Cost of sales'!H8</f>
        <v>7826.3103089911801</v>
      </c>
      <c r="I4" s="456">
        <f>'Cost of sales'!I8</f>
        <v>8968.8465613578483</v>
      </c>
      <c r="J4" s="456">
        <f>'Cost of sales'!J8</f>
        <v>9320.597030232233</v>
      </c>
      <c r="K4" s="456">
        <f>'Cost of sales'!K8</f>
        <v>9691.4147931149346</v>
      </c>
      <c r="L4" s="457">
        <f>'Cost of sales'!L8</f>
        <v>10082.472003240942</v>
      </c>
      <c r="M4" s="23"/>
      <c r="N4" s="23"/>
    </row>
    <row r="5" spans="1:14">
      <c r="A5" s="157" t="s">
        <v>56</v>
      </c>
      <c r="B5" s="164">
        <v>2300</v>
      </c>
      <c r="C5" s="164">
        <v>2323</v>
      </c>
      <c r="D5" s="164">
        <v>2185</v>
      </c>
      <c r="E5" s="164">
        <v>2108</v>
      </c>
      <c r="F5" s="164">
        <v>2576</v>
      </c>
      <c r="G5" s="164">
        <v>2521</v>
      </c>
      <c r="H5" s="209">
        <f>H31*'Balance sheet'!H13</f>
        <v>2795.8649366588388</v>
      </c>
      <c r="I5" s="209">
        <f>I31*'Balance sheet'!I13</f>
        <v>2977.0419153908601</v>
      </c>
      <c r="J5" s="209">
        <f>J31*'Balance sheet'!J13</f>
        <v>3165.3244998194718</v>
      </c>
      <c r="K5" s="209">
        <f>K31*'Balance sheet'!K13</f>
        <v>3361.0978626307488</v>
      </c>
      <c r="L5" s="210">
        <f>L31*'Balance sheet'!L13</f>
        <v>3564.7708548266187</v>
      </c>
      <c r="M5" s="23"/>
      <c r="N5" s="23"/>
    </row>
    <row r="6" spans="1:14">
      <c r="A6" s="455" t="s">
        <v>57</v>
      </c>
      <c r="B6" s="458">
        <v>366</v>
      </c>
      <c r="C6" s="456">
        <v>1846</v>
      </c>
      <c r="D6" s="458">
        <v>921</v>
      </c>
      <c r="E6" s="456">
        <v>1533</v>
      </c>
      <c r="F6" s="458">
        <v>328</v>
      </c>
      <c r="G6" s="456">
        <v>249</v>
      </c>
      <c r="H6" s="459">
        <f>H32*'Balance sheet'!H32</f>
        <v>344.98375842033124</v>
      </c>
      <c r="I6" s="459">
        <f>I32*'Balance sheet'!I32</f>
        <v>339.53412420426633</v>
      </c>
      <c r="J6" s="459">
        <f>J32*'Balance sheet'!J32</f>
        <v>381.85113920197176</v>
      </c>
      <c r="K6" s="459">
        <f>K32*'Balance sheet'!K32</f>
        <v>381.96571354296151</v>
      </c>
      <c r="L6" s="460">
        <f>L32*'Balance sheet'!L32</f>
        <v>405.22120260859771</v>
      </c>
      <c r="M6" s="23"/>
      <c r="N6" s="23"/>
    </row>
    <row r="7" spans="1:14">
      <c r="A7" s="157" t="s">
        <v>58</v>
      </c>
      <c r="B7" s="23">
        <v>187</v>
      </c>
      <c r="C7" s="23">
        <v>209</v>
      </c>
      <c r="D7" s="23">
        <v>231</v>
      </c>
      <c r="E7" s="23">
        <v>265</v>
      </c>
      <c r="F7" s="23">
        <v>266</v>
      </c>
      <c r="G7" s="23">
        <v>243</v>
      </c>
      <c r="H7" s="36">
        <f t="shared" ref="H7:L7" si="0">H33*H3</f>
        <v>254.01909320000001</v>
      </c>
      <c r="I7" s="36">
        <f t="shared" si="0"/>
        <v>290.72751247466664</v>
      </c>
      <c r="J7" s="36">
        <f t="shared" si="0"/>
        <v>301.02773912303331</v>
      </c>
      <c r="K7" s="36">
        <f t="shared" si="0"/>
        <v>311.78058339694786</v>
      </c>
      <c r="L7" s="159">
        <f t="shared" si="0"/>
        <v>319.62670484646031</v>
      </c>
      <c r="M7" s="23"/>
      <c r="N7" s="23"/>
    </row>
    <row r="8" spans="1:14">
      <c r="A8" s="455" t="s">
        <v>59</v>
      </c>
      <c r="B8" s="458">
        <v>122</v>
      </c>
      <c r="C8" s="458">
        <v>154</v>
      </c>
      <c r="D8" s="458">
        <v>229</v>
      </c>
      <c r="E8" s="458">
        <v>200</v>
      </c>
      <c r="F8" s="458">
        <v>197</v>
      </c>
      <c r="G8" s="456">
        <v>166</v>
      </c>
      <c r="H8" s="458">
        <v>285</v>
      </c>
      <c r="I8" s="458">
        <v>150</v>
      </c>
      <c r="J8" s="458">
        <v>150</v>
      </c>
      <c r="K8" s="458">
        <v>150</v>
      </c>
      <c r="L8" s="461">
        <v>150</v>
      </c>
      <c r="M8" s="23"/>
      <c r="N8" s="23" t="s">
        <v>232</v>
      </c>
    </row>
    <row r="9" spans="1:14">
      <c r="A9" s="157" t="s">
        <v>60</v>
      </c>
      <c r="B9" s="23">
        <v>269</v>
      </c>
      <c r="C9" s="23">
        <v>259</v>
      </c>
      <c r="D9" s="23">
        <v>276</v>
      </c>
      <c r="E9" s="23">
        <v>299</v>
      </c>
      <c r="F9" s="23">
        <v>442</v>
      </c>
      <c r="G9" s="23">
        <v>382</v>
      </c>
      <c r="H9" s="36">
        <f t="shared" ref="H9:L9" si="1">H35*H4</f>
        <v>335.74871225572161</v>
      </c>
      <c r="I9" s="36">
        <f t="shared" si="1"/>
        <v>384.7635174822517</v>
      </c>
      <c r="J9" s="36">
        <f t="shared" si="1"/>
        <v>399.85361259696282</v>
      </c>
      <c r="K9" s="36">
        <f t="shared" si="1"/>
        <v>415.76169462463071</v>
      </c>
      <c r="L9" s="159">
        <f t="shared" si="1"/>
        <v>432.53804893903646</v>
      </c>
      <c r="M9" s="23"/>
      <c r="N9" s="23"/>
    </row>
    <row r="10" spans="1:14">
      <c r="A10" s="455" t="s">
        <v>61</v>
      </c>
      <c r="B10" s="458">
        <v>49</v>
      </c>
      <c r="C10" s="458">
        <v>25</v>
      </c>
      <c r="D10" s="456">
        <v>1320</v>
      </c>
      <c r="E10" s="456">
        <v>1891</v>
      </c>
      <c r="F10" s="458">
        <v>78</v>
      </c>
      <c r="G10" s="456">
        <v>842</v>
      </c>
      <c r="H10" s="456">
        <v>0</v>
      </c>
      <c r="I10" s="456">
        <v>0</v>
      </c>
      <c r="J10" s="456">
        <v>0</v>
      </c>
      <c r="K10" s="456">
        <v>0</v>
      </c>
      <c r="L10" s="457">
        <v>0</v>
      </c>
      <c r="M10" s="23"/>
      <c r="N10" s="23"/>
    </row>
    <row r="11" spans="1:14">
      <c r="A11" s="157" t="s">
        <v>62</v>
      </c>
      <c r="B11" s="23">
        <v>0</v>
      </c>
      <c r="C11" s="23">
        <v>571</v>
      </c>
      <c r="D11" s="23">
        <v>0</v>
      </c>
      <c r="E11" s="23">
        <v>0</v>
      </c>
      <c r="F11" s="164">
        <v>1114</v>
      </c>
      <c r="G11" s="164">
        <v>-1066</v>
      </c>
      <c r="H11" s="23">
        <v>0</v>
      </c>
      <c r="I11" s="23">
        <v>0</v>
      </c>
      <c r="J11" s="23">
        <v>0</v>
      </c>
      <c r="K11" s="23">
        <v>0</v>
      </c>
      <c r="L11" s="158">
        <v>0</v>
      </c>
      <c r="M11" s="23"/>
      <c r="N11" s="23"/>
    </row>
    <row r="12" spans="1:14">
      <c r="A12" s="455" t="s">
        <v>63</v>
      </c>
      <c r="B12" s="458">
        <v>384</v>
      </c>
      <c r="C12" s="458">
        <v>143</v>
      </c>
      <c r="D12" s="458">
        <v>82</v>
      </c>
      <c r="E12" s="458">
        <v>517</v>
      </c>
      <c r="F12" s="458">
        <v>191</v>
      </c>
      <c r="G12" s="456">
        <v>286</v>
      </c>
      <c r="H12" s="456">
        <f>G12</f>
        <v>286</v>
      </c>
      <c r="I12" s="456">
        <f t="shared" ref="I12:L12" si="2">H12</f>
        <v>286</v>
      </c>
      <c r="J12" s="456">
        <f t="shared" si="2"/>
        <v>286</v>
      </c>
      <c r="K12" s="456">
        <f t="shared" si="2"/>
        <v>286</v>
      </c>
      <c r="L12" s="457">
        <f t="shared" si="2"/>
        <v>286</v>
      </c>
      <c r="M12" s="23"/>
      <c r="N12" s="23"/>
    </row>
    <row r="13" spans="1:14">
      <c r="A13" s="234" t="s">
        <v>64</v>
      </c>
      <c r="B13" s="246">
        <f>SUM(B4:B12)</f>
        <v>8691</v>
      </c>
      <c r="C13" s="246">
        <f t="shared" ref="C13:G13" si="3">SUM(C4:C12)</f>
        <v>10965</v>
      </c>
      <c r="D13" s="246">
        <f t="shared" si="3"/>
        <v>11712</v>
      </c>
      <c r="E13" s="246">
        <f t="shared" si="3"/>
        <v>13512</v>
      </c>
      <c r="F13" s="246">
        <f>SUM(F4:F12)</f>
        <v>14155</v>
      </c>
      <c r="G13" s="246">
        <f t="shared" si="3"/>
        <v>11708</v>
      </c>
      <c r="H13" s="246">
        <f t="shared" ref="H13" si="4">SUM(H4:H12)</f>
        <v>12127.92680952607</v>
      </c>
      <c r="I13" s="246">
        <f t="shared" ref="I13" si="5">SUM(I4:I12)</f>
        <v>13396.913630909894</v>
      </c>
      <c r="J13" s="246">
        <f t="shared" ref="J13:K13" si="6">SUM(J4:J12)</f>
        <v>14004.654020973672</v>
      </c>
      <c r="K13" s="246">
        <f t="shared" si="6"/>
        <v>14598.020647310223</v>
      </c>
      <c r="L13" s="462">
        <f t="shared" ref="L13" si="7">SUM(L4:L12)</f>
        <v>15240.628814461656</v>
      </c>
      <c r="M13" s="23"/>
      <c r="N13" s="23"/>
    </row>
    <row r="14" spans="1:14">
      <c r="A14" s="157" t="s">
        <v>65</v>
      </c>
      <c r="B14" s="23">
        <v>-32</v>
      </c>
      <c r="C14" s="23">
        <v>-87</v>
      </c>
      <c r="D14" s="23">
        <v>-27</v>
      </c>
      <c r="E14" s="23">
        <v>-88</v>
      </c>
      <c r="F14" s="23">
        <v>425</v>
      </c>
      <c r="G14" s="164">
        <v>6</v>
      </c>
      <c r="H14" s="23">
        <v>0</v>
      </c>
      <c r="I14" s="23">
        <v>0</v>
      </c>
      <c r="J14" s="23">
        <v>0</v>
      </c>
      <c r="K14" s="23">
        <v>0</v>
      </c>
      <c r="L14" s="158">
        <v>0</v>
      </c>
      <c r="M14" s="23"/>
      <c r="N14" s="23" t="s">
        <v>233</v>
      </c>
    </row>
    <row r="15" spans="1:14">
      <c r="A15" s="455" t="s">
        <v>66</v>
      </c>
      <c r="B15" s="458">
        <v>677</v>
      </c>
      <c r="C15" s="458">
        <v>212</v>
      </c>
      <c r="D15" s="458">
        <v>35</v>
      </c>
      <c r="E15" s="458"/>
      <c r="F15" s="458"/>
      <c r="G15" s="456">
        <v>604</v>
      </c>
      <c r="H15" s="458">
        <v>0</v>
      </c>
      <c r="I15" s="458">
        <v>0</v>
      </c>
      <c r="J15" s="458">
        <v>0</v>
      </c>
      <c r="K15" s="458">
        <v>0</v>
      </c>
      <c r="L15" s="461">
        <v>0</v>
      </c>
      <c r="M15" s="23"/>
      <c r="N15" s="23"/>
    </row>
    <row r="16" spans="1:14">
      <c r="A16" s="157" t="s">
        <v>67</v>
      </c>
      <c r="B16" s="23">
        <v>-308</v>
      </c>
      <c r="C16" s="23">
        <v>-274</v>
      </c>
      <c r="D16" s="23">
        <v>-227</v>
      </c>
      <c r="E16" s="23">
        <v>-243</v>
      </c>
      <c r="F16" s="23">
        <v>-375</v>
      </c>
      <c r="G16" s="23">
        <v>-229</v>
      </c>
      <c r="H16" s="23">
        <f ca="1">H42*('Balance sheet'!H30+'Balance sheet'!H26)</f>
        <v>-173.6526961074396</v>
      </c>
      <c r="I16" s="23">
        <f ca="1">I42*('Balance sheet'!I30+'Balance sheet'!I26)</f>
        <v>-204.66866963574506</v>
      </c>
      <c r="J16" s="23">
        <f ca="1">J42*('Balance sheet'!J30+'Balance sheet'!J26)</f>
        <v>-234.68611959057748</v>
      </c>
      <c r="K16" s="23">
        <f ca="1">K42*('Balance sheet'!K30+'Balance sheet'!K26)</f>
        <v>-263.89239907938708</v>
      </c>
      <c r="L16" s="158">
        <f ca="1">L42*('Balance sheet'!L30+'Balance sheet'!L26)</f>
        <v>-291.15131847789979</v>
      </c>
      <c r="M16" s="23"/>
      <c r="N16" s="23"/>
    </row>
    <row r="17" spans="1:14">
      <c r="A17" s="234" t="s">
        <v>68</v>
      </c>
      <c r="B17" s="246">
        <f>B3-B13+B14+B15+B16</f>
        <v>3143</v>
      </c>
      <c r="C17" s="246">
        <f>C3-C13+C14+C15+C16</f>
        <v>1108</v>
      </c>
      <c r="D17" s="246">
        <f t="shared" ref="D17:G17" si="8">D3-D13+D14+D15+D16</f>
        <v>-16</v>
      </c>
      <c r="E17" s="246">
        <f t="shared" si="8"/>
        <v>-2031</v>
      </c>
      <c r="F17" s="246">
        <f>F3-F13+F14+F15+F16</f>
        <v>4577</v>
      </c>
      <c r="G17" s="246">
        <f t="shared" si="8"/>
        <v>11342</v>
      </c>
      <c r="H17" s="246">
        <f ca="1">H3-H13+H14+H15+H16</f>
        <v>15309.191494366491</v>
      </c>
      <c r="I17" s="246">
        <f ca="1">I3-I13+I14+I15+I16</f>
        <v>17999.234272787689</v>
      </c>
      <c r="J17" s="246">
        <f ca="1">J3-J13+J14+J15+J16</f>
        <v>18481.066285852419</v>
      </c>
      <c r="K17" s="246">
        <f t="shared" ref="K17:L17" ca="1" si="9">K3-K13+K14+K15+K16</f>
        <v>19027.28080110472</v>
      </c>
      <c r="L17" s="462">
        <f t="shared" ca="1" si="9"/>
        <v>19210.253002545262</v>
      </c>
      <c r="M17" s="23"/>
      <c r="N17" s="23"/>
    </row>
    <row r="18" spans="1:14">
      <c r="A18" s="455" t="s">
        <v>69</v>
      </c>
      <c r="B18" s="458">
        <v>-704</v>
      </c>
      <c r="C18" s="456">
        <v>-1098</v>
      </c>
      <c r="D18" s="458">
        <v>-455</v>
      </c>
      <c r="E18" s="458">
        <v>-526</v>
      </c>
      <c r="F18" s="456">
        <v>-1397</v>
      </c>
      <c r="G18" s="456">
        <v>-4596</v>
      </c>
      <c r="H18" s="456">
        <f ca="1">H17*H44</f>
        <v>-5052.0331931409419</v>
      </c>
      <c r="I18" s="456">
        <f t="shared" ref="I18:L18" ca="1" si="10">I17*I44</f>
        <v>-5939.7473100199377</v>
      </c>
      <c r="J18" s="456">
        <f t="shared" ca="1" si="10"/>
        <v>-6098.7518743312985</v>
      </c>
      <c r="K18" s="456">
        <f t="shared" ca="1" si="10"/>
        <v>-6279.0026643645579</v>
      </c>
      <c r="L18" s="457">
        <f t="shared" ca="1" si="10"/>
        <v>-6339.3834908399367</v>
      </c>
      <c r="M18" s="23"/>
      <c r="N18" s="23"/>
    </row>
    <row r="19" spans="1:14">
      <c r="A19" s="157" t="s">
        <v>70</v>
      </c>
      <c r="B19" s="23">
        <v>189</v>
      </c>
      <c r="C19" s="23">
        <v>166</v>
      </c>
      <c r="D19" s="23">
        <v>107</v>
      </c>
      <c r="E19" s="23">
        <v>63</v>
      </c>
      <c r="F19" s="23">
        <v>133</v>
      </c>
      <c r="G19" s="164">
        <v>421</v>
      </c>
      <c r="H19" s="36">
        <f>AVERAGE(B19:G19)</f>
        <v>179.83333333333334</v>
      </c>
      <c r="I19" s="36">
        <f>H19</f>
        <v>179.83333333333334</v>
      </c>
      <c r="J19" s="36">
        <f t="shared" ref="J19:L19" si="11">I19</f>
        <v>179.83333333333334</v>
      </c>
      <c r="K19" s="36">
        <f t="shared" si="11"/>
        <v>179.83333333333334</v>
      </c>
      <c r="L19" s="159">
        <f t="shared" si="11"/>
        <v>179.83333333333334</v>
      </c>
      <c r="M19" s="23"/>
      <c r="N19" s="23"/>
    </row>
    <row r="20" spans="1:14">
      <c r="A20" s="234" t="s">
        <v>71</v>
      </c>
      <c r="B20" s="246">
        <f>SUM(B17:B19)</f>
        <v>2628</v>
      </c>
      <c r="C20" s="246">
        <f t="shared" ref="C20:F20" si="12">SUM(C17:C19)</f>
        <v>176</v>
      </c>
      <c r="D20" s="246">
        <f t="shared" si="12"/>
        <v>-364</v>
      </c>
      <c r="E20" s="246">
        <f t="shared" si="12"/>
        <v>-2494</v>
      </c>
      <c r="F20" s="246">
        <f t="shared" si="12"/>
        <v>3313</v>
      </c>
      <c r="G20" s="246">
        <f>SUM(G17:G19)</f>
        <v>7167</v>
      </c>
      <c r="H20" s="246">
        <f t="shared" ref="H20" ca="1" si="13">SUM(H17:H19)</f>
        <v>10436.991634558883</v>
      </c>
      <c r="I20" s="246">
        <f t="shared" ref="I20" ca="1" si="14">SUM(I17:I19)</f>
        <v>12239.320296101085</v>
      </c>
      <c r="J20" s="246">
        <f t="shared" ref="J20:K20" ca="1" si="15">SUM(J17:J19)</f>
        <v>12562.147744854456</v>
      </c>
      <c r="K20" s="246">
        <f t="shared" ca="1" si="15"/>
        <v>12928.111470073496</v>
      </c>
      <c r="L20" s="462">
        <f t="shared" ref="L20" ca="1" si="16">SUM(L17:L19)</f>
        <v>13050.702845038659</v>
      </c>
      <c r="M20" s="23"/>
      <c r="N20" s="23"/>
    </row>
    <row r="21" spans="1:14">
      <c r="A21" s="455" t="s">
        <v>72</v>
      </c>
      <c r="B21" s="458">
        <v>163</v>
      </c>
      <c r="C21" s="458">
        <v>57</v>
      </c>
      <c r="D21" s="458">
        <v>30</v>
      </c>
      <c r="E21" s="458">
        <v>27</v>
      </c>
      <c r="F21" s="458">
        <v>68</v>
      </c>
      <c r="G21" s="458">
        <v>0</v>
      </c>
      <c r="H21" s="458">
        <v>0</v>
      </c>
      <c r="I21" s="458">
        <v>0</v>
      </c>
      <c r="J21" s="458">
        <v>0</v>
      </c>
      <c r="K21" s="458">
        <v>0</v>
      </c>
      <c r="L21" s="461">
        <v>0</v>
      </c>
      <c r="M21" s="23"/>
      <c r="N21" s="23"/>
    </row>
    <row r="22" spans="1:14">
      <c r="A22" s="234" t="s">
        <v>73</v>
      </c>
      <c r="B22" s="246">
        <f>B20+B21</f>
        <v>2791</v>
      </c>
      <c r="C22" s="246">
        <f t="shared" ref="C22:L22" si="17">C20+C21</f>
        <v>233</v>
      </c>
      <c r="D22" s="246">
        <f t="shared" si="17"/>
        <v>-334</v>
      </c>
      <c r="E22" s="246">
        <f t="shared" si="17"/>
        <v>-2467</v>
      </c>
      <c r="F22" s="246">
        <f t="shared" si="17"/>
        <v>3381</v>
      </c>
      <c r="G22" s="246">
        <f t="shared" si="17"/>
        <v>7167</v>
      </c>
      <c r="H22" s="246">
        <f t="shared" ca="1" si="17"/>
        <v>10436.991634558883</v>
      </c>
      <c r="I22" s="246">
        <f t="shared" ca="1" si="17"/>
        <v>12239.320296101085</v>
      </c>
      <c r="J22" s="246">
        <f t="shared" ca="1" si="17"/>
        <v>12562.147744854456</v>
      </c>
      <c r="K22" s="246">
        <f t="shared" ca="1" si="17"/>
        <v>12928.111470073496</v>
      </c>
      <c r="L22" s="462">
        <f t="shared" ca="1" si="17"/>
        <v>13050.702845038659</v>
      </c>
      <c r="M22" s="23"/>
      <c r="N22" s="23"/>
    </row>
    <row r="23" spans="1:14">
      <c r="A23" s="455" t="s">
        <v>74</v>
      </c>
      <c r="B23" s="458">
        <v>38</v>
      </c>
      <c r="C23" s="458">
        <v>933</v>
      </c>
      <c r="D23" s="458">
        <v>-60</v>
      </c>
      <c r="E23" s="458">
        <v>-27</v>
      </c>
      <c r="F23" s="458">
        <v>-33</v>
      </c>
      <c r="G23" s="458">
        <v>-82</v>
      </c>
      <c r="H23" s="459">
        <f ca="1">H49*H17</f>
        <v>-5.8470112426638456</v>
      </c>
      <c r="I23" s="459">
        <f ca="1">I49*I17</f>
        <v>-6.8744143145023111</v>
      </c>
      <c r="J23" s="459">
        <f ca="1">J49*J17</f>
        <v>-7.0584395256639541</v>
      </c>
      <c r="K23" s="459">
        <f ca="1">K49*K17</f>
        <v>-7.2670542270191252</v>
      </c>
      <c r="L23" s="460">
        <f ca="1">L49*L17</f>
        <v>-7.3369364621006756</v>
      </c>
      <c r="M23" s="23"/>
      <c r="N23" s="23"/>
    </row>
    <row r="24" spans="1:14" ht="15" thickBot="1">
      <c r="A24" s="238" t="s">
        <v>75</v>
      </c>
      <c r="B24" s="250">
        <v>2829</v>
      </c>
      <c r="C24" s="250">
        <v>1166</v>
      </c>
      <c r="D24" s="213">
        <v>-429</v>
      </c>
      <c r="E24" s="250">
        <v>-2494</v>
      </c>
      <c r="F24" s="250">
        <v>3348</v>
      </c>
      <c r="G24" s="250">
        <f>G20+G21+G23</f>
        <v>7085</v>
      </c>
      <c r="H24" s="250">
        <f t="shared" ref="H24:L24" ca="1" si="18">H20+H21+H23</f>
        <v>10431.144623316219</v>
      </c>
      <c r="I24" s="250">
        <f t="shared" ca="1" si="18"/>
        <v>12232.445881786582</v>
      </c>
      <c r="J24" s="250">
        <f t="shared" ca="1" si="18"/>
        <v>12555.089305328791</v>
      </c>
      <c r="K24" s="250">
        <f t="shared" ca="1" si="18"/>
        <v>12920.844415846477</v>
      </c>
      <c r="L24" s="583">
        <f t="shared" ca="1" si="18"/>
        <v>13043.365908576558</v>
      </c>
      <c r="M24" s="23"/>
      <c r="N24" s="23"/>
    </row>
    <row r="25" spans="1:14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>
      <c r="A26" s="172" t="s">
        <v>234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5" thickBo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>
      <c r="A28" s="153" t="s">
        <v>263</v>
      </c>
      <c r="B28" s="154">
        <v>2020</v>
      </c>
      <c r="C28" s="154">
        <v>2021</v>
      </c>
      <c r="D28" s="154">
        <v>2022</v>
      </c>
      <c r="E28" s="154">
        <v>2023</v>
      </c>
      <c r="F28" s="154">
        <v>2024</v>
      </c>
      <c r="G28" s="154">
        <v>2025</v>
      </c>
      <c r="H28" s="155" t="s">
        <v>3</v>
      </c>
      <c r="I28" s="155" t="s">
        <v>4</v>
      </c>
      <c r="J28" s="155" t="s">
        <v>5</v>
      </c>
      <c r="K28" s="155" t="s">
        <v>6</v>
      </c>
      <c r="L28" s="156" t="s">
        <v>7</v>
      </c>
      <c r="M28" s="23"/>
      <c r="N28" s="23"/>
    </row>
    <row r="29" spans="1:14">
      <c r="A29" s="157" t="s">
        <v>54</v>
      </c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217"/>
      <c r="M29" s="23"/>
      <c r="N29" s="23" t="s">
        <v>403</v>
      </c>
    </row>
    <row r="30" spans="1:14">
      <c r="A30" s="157" t="s">
        <v>55</v>
      </c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217"/>
      <c r="M30" s="23"/>
      <c r="N30" s="23" t="s">
        <v>404</v>
      </c>
    </row>
    <row r="31" spans="1:14">
      <c r="A31" s="157" t="s">
        <v>56</v>
      </c>
      <c r="B31" s="221">
        <f>B5/'Balance sheet'!B13</f>
        <v>9.472427000535398E-2</v>
      </c>
      <c r="C31" s="221">
        <f>C5/'Balance sheet'!C13</f>
        <v>9.6294146907643846E-2</v>
      </c>
      <c r="D31" s="221">
        <f>D5/'Balance sheet'!D13</f>
        <v>9.0765588003157066E-2</v>
      </c>
      <c r="E31" s="221">
        <f>E5/'Balance sheet'!E13</f>
        <v>5.6119053323749432E-2</v>
      </c>
      <c r="F31" s="221">
        <f>F5/'Balance sheet'!F13</f>
        <v>7.6787790264405159E-2</v>
      </c>
      <c r="G31" s="222">
        <f>G5/'Balance sheet'!G13</f>
        <v>7.5682978084659264E-2</v>
      </c>
      <c r="H31" s="221">
        <v>7.5800000000000006E-2</v>
      </c>
      <c r="I31" s="221">
        <f t="shared" ref="I31:L31" si="19">H31</f>
        <v>7.5800000000000006E-2</v>
      </c>
      <c r="J31" s="221">
        <f t="shared" si="19"/>
        <v>7.5800000000000006E-2</v>
      </c>
      <c r="K31" s="221">
        <f t="shared" si="19"/>
        <v>7.5800000000000006E-2</v>
      </c>
      <c r="L31" s="223">
        <f t="shared" si="19"/>
        <v>7.5800000000000006E-2</v>
      </c>
      <c r="M31" s="23"/>
      <c r="N31" s="23" t="s">
        <v>235</v>
      </c>
    </row>
    <row r="32" spans="1:14">
      <c r="A32" s="157" t="s">
        <v>57</v>
      </c>
      <c r="B32" s="221">
        <f>B6/'Balance sheet'!B32</f>
        <v>9.5861707700366686E-2</v>
      </c>
      <c r="C32" s="221">
        <f>C6/'Balance sheet'!C32</f>
        <v>0.31615002568933037</v>
      </c>
      <c r="D32" s="221">
        <f>D6/'Balance sheet'!D32</f>
        <v>0.14001216175129219</v>
      </c>
      <c r="E32" s="221">
        <f>E6/'Balance sheet'!E32</f>
        <v>0.18770662421941961</v>
      </c>
      <c r="F32" s="221">
        <f>F6/'Balance sheet'!F32</f>
        <v>5.129809196121364E-2</v>
      </c>
      <c r="G32" s="222">
        <f>G6/'Balance sheet'!G32</f>
        <v>3.9542639352072417E-2</v>
      </c>
      <c r="H32" s="221">
        <v>5.5100000000000003E-2</v>
      </c>
      <c r="I32" s="221">
        <f t="shared" ref="I32:L32" si="20">AVERAGE(H32,G32)</f>
        <v>4.7321319676036214E-2</v>
      </c>
      <c r="J32" s="221">
        <f t="shared" si="20"/>
        <v>5.1210659838018105E-2</v>
      </c>
      <c r="K32" s="221">
        <f t="shared" si="20"/>
        <v>4.9265989757027159E-2</v>
      </c>
      <c r="L32" s="223">
        <f t="shared" si="20"/>
        <v>5.0238324797522632E-2</v>
      </c>
      <c r="M32" s="23"/>
      <c r="N32" s="23" t="s">
        <v>359</v>
      </c>
    </row>
    <row r="33" spans="1:14">
      <c r="A33" s="157" t="s">
        <v>58</v>
      </c>
      <c r="B33" s="221">
        <f>B7/B3</f>
        <v>1.6265112638079501E-2</v>
      </c>
      <c r="C33" s="221">
        <f t="shared" ref="C33:G33" si="21">C7/C3</f>
        <v>1.7100310914743906E-2</v>
      </c>
      <c r="D33" s="221">
        <f t="shared" si="21"/>
        <v>1.9387326898866974E-2</v>
      </c>
      <c r="E33" s="221">
        <f t="shared" si="21"/>
        <v>2.2434812055536744E-2</v>
      </c>
      <c r="F33" s="221">
        <f t="shared" si="21"/>
        <v>1.4238304250080292E-2</v>
      </c>
      <c r="G33" s="222">
        <f t="shared" si="21"/>
        <v>1.0719484758921876E-2</v>
      </c>
      <c r="H33" s="221">
        <v>9.1999999999999998E-3</v>
      </c>
      <c r="I33" s="221">
        <f t="shared" ref="I33:L33" si="22">H33</f>
        <v>9.1999999999999998E-3</v>
      </c>
      <c r="J33" s="221">
        <f t="shared" si="22"/>
        <v>9.1999999999999998E-3</v>
      </c>
      <c r="K33" s="221">
        <f t="shared" si="22"/>
        <v>9.1999999999999998E-3</v>
      </c>
      <c r="L33" s="223">
        <f t="shared" si="22"/>
        <v>9.1999999999999998E-3</v>
      </c>
      <c r="M33" s="23"/>
      <c r="N33" s="23" t="s">
        <v>360</v>
      </c>
    </row>
    <row r="34" spans="1:14">
      <c r="A34" s="157" t="s">
        <v>59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158"/>
      <c r="M34" s="23"/>
      <c r="N34" s="23" t="s">
        <v>236</v>
      </c>
    </row>
    <row r="35" spans="1:14">
      <c r="A35" s="157" t="s">
        <v>60</v>
      </c>
      <c r="B35" s="221">
        <f t="shared" ref="B35:G35" si="23">B9/B4</f>
        <v>5.3649780614280017E-2</v>
      </c>
      <c r="C35" s="221">
        <f t="shared" si="23"/>
        <v>4.7654093836246553E-2</v>
      </c>
      <c r="D35" s="221">
        <f t="shared" si="23"/>
        <v>4.267161410018553E-2</v>
      </c>
      <c r="E35" s="221">
        <f t="shared" si="23"/>
        <v>4.4633527392148084E-2</v>
      </c>
      <c r="F35" s="221">
        <f t="shared" si="23"/>
        <v>4.9313845810554501E-2</v>
      </c>
      <c r="G35" s="221">
        <f t="shared" si="23"/>
        <v>4.7247990105132961E-2</v>
      </c>
      <c r="H35" s="221">
        <v>4.2900000000000001E-2</v>
      </c>
      <c r="I35" s="221">
        <v>4.2900000000000001E-2</v>
      </c>
      <c r="J35" s="221">
        <v>4.2900000000000001E-2</v>
      </c>
      <c r="K35" s="221">
        <v>4.2900000000000001E-2</v>
      </c>
      <c r="L35" s="223">
        <v>4.2900000000000001E-2</v>
      </c>
      <c r="M35" s="23"/>
      <c r="N35" s="23" t="s">
        <v>361</v>
      </c>
    </row>
    <row r="36" spans="1:14">
      <c r="A36" s="157" t="s">
        <v>61</v>
      </c>
      <c r="B36" s="23"/>
      <c r="C36" s="23"/>
      <c r="D36" s="164"/>
      <c r="E36" s="164"/>
      <c r="F36" s="23"/>
      <c r="G36" s="23"/>
      <c r="H36" s="23"/>
      <c r="I36" s="23"/>
      <c r="J36" s="23"/>
      <c r="K36" s="23"/>
      <c r="L36" s="158"/>
      <c r="M36" s="23"/>
      <c r="N36" s="23" t="s">
        <v>237</v>
      </c>
    </row>
    <row r="37" spans="1:14">
      <c r="A37" s="157" t="s">
        <v>62</v>
      </c>
      <c r="B37" s="23"/>
      <c r="C37" s="23"/>
      <c r="D37" s="23"/>
      <c r="E37" s="23"/>
      <c r="F37" s="164"/>
      <c r="G37" s="164"/>
      <c r="H37" s="23"/>
      <c r="I37" s="23"/>
      <c r="J37" s="23"/>
      <c r="K37" s="23"/>
      <c r="L37" s="158"/>
      <c r="M37" s="23"/>
      <c r="N37" s="23" t="s">
        <v>238</v>
      </c>
    </row>
    <row r="38" spans="1:14">
      <c r="A38" s="157" t="s">
        <v>63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158"/>
      <c r="M38" s="23"/>
      <c r="N38" s="23" t="s">
        <v>239</v>
      </c>
    </row>
    <row r="39" spans="1:14">
      <c r="A39" s="157" t="s">
        <v>64</v>
      </c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217"/>
      <c r="M39" s="23"/>
      <c r="N39" s="23"/>
    </row>
    <row r="40" spans="1:14">
      <c r="A40" s="157" t="s">
        <v>65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158"/>
      <c r="M40" s="23"/>
      <c r="N40" s="23" t="s">
        <v>240</v>
      </c>
    </row>
    <row r="41" spans="1:14">
      <c r="A41" s="157" t="s">
        <v>66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158"/>
      <c r="M41" s="23"/>
      <c r="N41" s="23" t="s">
        <v>241</v>
      </c>
    </row>
    <row r="42" spans="1:14">
      <c r="A42" s="157" t="s">
        <v>67</v>
      </c>
      <c r="B42" s="221">
        <f>B16/('Balance sheet'!B30+'Balance sheet'!B26)</f>
        <v>-5.1069474382357816E-2</v>
      </c>
      <c r="C42" s="221">
        <f>C16/('Balance sheet'!C30+'Balance sheet'!C26)</f>
        <v>-4.8478414720452938E-2</v>
      </c>
      <c r="D42" s="221">
        <f>D16/('Balance sheet'!D30+'Balance sheet'!D26)</f>
        <v>-4.0746724106982588E-2</v>
      </c>
      <c r="E42" s="221">
        <f>E16/('Balance sheet'!E30+'Balance sheet'!E26)</f>
        <v>-2.7383367139959432E-2</v>
      </c>
      <c r="F42" s="221">
        <f>F16/('Balance sheet'!F30+'Balance sheet'!F26)</f>
        <v>-4.4242567248702215E-2</v>
      </c>
      <c r="G42" s="221">
        <f>G16/('Balance sheet'!G30+'Balance sheet'!G26)</f>
        <v>-4.4770283479960898E-2</v>
      </c>
      <c r="H42" s="221">
        <v>-2.9000000000000001E-2</v>
      </c>
      <c r="I42" s="221">
        <v>-2.9000000000000001E-2</v>
      </c>
      <c r="J42" s="221">
        <v>-2.9000000000000001E-2</v>
      </c>
      <c r="K42" s="221">
        <v>-2.9000000000000001E-2</v>
      </c>
      <c r="L42" s="223">
        <v>-2.9000000000000001E-2</v>
      </c>
      <c r="M42" s="23"/>
      <c r="N42" s="23" t="s">
        <v>419</v>
      </c>
    </row>
    <row r="43" spans="1:14">
      <c r="A43" s="157" t="s">
        <v>68</v>
      </c>
      <c r="B43" s="23"/>
      <c r="C43" s="164"/>
      <c r="D43" s="23"/>
      <c r="E43" s="164"/>
      <c r="F43" s="164"/>
      <c r="G43" s="164"/>
      <c r="H43" s="23"/>
      <c r="I43" s="23"/>
      <c r="J43" s="23"/>
      <c r="K43" s="23"/>
      <c r="L43" s="158"/>
      <c r="M43" s="23"/>
      <c r="N43" s="23"/>
    </row>
    <row r="44" spans="1:14">
      <c r="A44" s="157" t="s">
        <v>69</v>
      </c>
      <c r="B44" s="221">
        <f t="shared" ref="B44:G44" si="24">B18/B17</f>
        <v>-0.22398981864460707</v>
      </c>
      <c r="C44" s="221">
        <f t="shared" si="24"/>
        <v>-0.99097472924187724</v>
      </c>
      <c r="D44" s="221">
        <f>D18/D17</f>
        <v>28.4375</v>
      </c>
      <c r="E44" s="221">
        <f t="shared" si="24"/>
        <v>0.258985721319547</v>
      </c>
      <c r="F44" s="221">
        <f t="shared" si="24"/>
        <v>-0.3052217609788071</v>
      </c>
      <c r="G44" s="222">
        <f t="shared" si="24"/>
        <v>-0.40521953800035265</v>
      </c>
      <c r="H44" s="224">
        <v>-0.33</v>
      </c>
      <c r="I44" s="224">
        <v>-0.33</v>
      </c>
      <c r="J44" s="224">
        <v>-0.33</v>
      </c>
      <c r="K44" s="224">
        <v>-0.33</v>
      </c>
      <c r="L44" s="225">
        <v>-0.33</v>
      </c>
      <c r="M44" s="23"/>
      <c r="N44" s="23" t="s">
        <v>242</v>
      </c>
    </row>
    <row r="45" spans="1:14">
      <c r="A45" s="157" t="s">
        <v>70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158"/>
      <c r="M45" s="23"/>
      <c r="N45" s="23" t="s">
        <v>243</v>
      </c>
    </row>
    <row r="46" spans="1:14">
      <c r="A46" s="157" t="s">
        <v>71</v>
      </c>
      <c r="B46" s="164"/>
      <c r="C46" s="23"/>
      <c r="D46" s="23"/>
      <c r="E46" s="164"/>
      <c r="F46" s="164"/>
      <c r="G46" s="164"/>
      <c r="H46" s="23"/>
      <c r="I46" s="23"/>
      <c r="J46" s="23"/>
      <c r="K46" s="23"/>
      <c r="L46" s="158"/>
      <c r="M46" s="23"/>
      <c r="N46" s="23"/>
    </row>
    <row r="47" spans="1:14">
      <c r="A47" s="157" t="s">
        <v>72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158"/>
      <c r="M47" s="23"/>
      <c r="N47" s="23" t="s">
        <v>244</v>
      </c>
    </row>
    <row r="48" spans="1:14">
      <c r="A48" s="157" t="s">
        <v>73</v>
      </c>
      <c r="B48" s="164"/>
      <c r="C48" s="23"/>
      <c r="D48" s="23"/>
      <c r="E48" s="164"/>
      <c r="F48" s="164"/>
      <c r="G48" s="164"/>
      <c r="H48" s="23"/>
      <c r="I48" s="23"/>
      <c r="J48" s="23"/>
      <c r="K48" s="23"/>
      <c r="L48" s="158"/>
      <c r="M48" s="23"/>
      <c r="N48" s="23"/>
    </row>
    <row r="49" spans="1:14">
      <c r="A49" s="157" t="s">
        <v>74</v>
      </c>
      <c r="B49" s="226">
        <f t="shared" ref="B49:G49" si="25">B23/B17</f>
        <v>1.2090359529112313E-2</v>
      </c>
      <c r="C49" s="226">
        <f t="shared" si="25"/>
        <v>0.84205776173285196</v>
      </c>
      <c r="D49" s="226">
        <f t="shared" si="25"/>
        <v>3.75</v>
      </c>
      <c r="E49" s="226">
        <f t="shared" si="25"/>
        <v>1.3293943870014771E-2</v>
      </c>
      <c r="F49" s="226">
        <f t="shared" si="25"/>
        <v>-7.2099628577670964E-3</v>
      </c>
      <c r="G49" s="227">
        <f t="shared" si="25"/>
        <v>-7.2297654734614705E-3</v>
      </c>
      <c r="H49" s="228">
        <f>AVERAGE(E49:G49)</f>
        <v>-3.8192815373793196E-4</v>
      </c>
      <c r="I49" s="228">
        <f>H49</f>
        <v>-3.8192815373793196E-4</v>
      </c>
      <c r="J49" s="228">
        <f t="shared" ref="J49:L49" si="26">I49</f>
        <v>-3.8192815373793196E-4</v>
      </c>
      <c r="K49" s="228">
        <f t="shared" si="26"/>
        <v>-3.8192815373793196E-4</v>
      </c>
      <c r="L49" s="229">
        <f t="shared" si="26"/>
        <v>-3.8192815373793196E-4</v>
      </c>
      <c r="M49" s="23"/>
      <c r="N49" s="23" t="s">
        <v>245</v>
      </c>
    </row>
    <row r="50" spans="1:14" ht="15" thickBot="1">
      <c r="A50" s="160" t="s">
        <v>75</v>
      </c>
      <c r="B50" s="230"/>
      <c r="C50" s="230"/>
      <c r="D50" s="161"/>
      <c r="E50" s="230"/>
      <c r="F50" s="230"/>
      <c r="G50" s="230"/>
      <c r="H50" s="161"/>
      <c r="I50" s="161"/>
      <c r="J50" s="161"/>
      <c r="K50" s="161"/>
      <c r="L50" s="170"/>
      <c r="M50" s="23"/>
      <c r="N50" s="23"/>
    </row>
    <row r="53" spans="1:14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4">
      <c r="B54" s="4"/>
      <c r="C54" s="4"/>
      <c r="E54" s="4"/>
      <c r="F54" s="4"/>
      <c r="G54" s="4"/>
      <c r="H54" s="4"/>
      <c r="I54" s="4"/>
      <c r="J54" s="4"/>
      <c r="K54" s="4"/>
      <c r="L54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5B9F5-1F19-4A14-AA0B-D8A513110BF4}">
  <dimension ref="A2:N97"/>
  <sheetViews>
    <sheetView topLeftCell="B1" zoomScale="73" zoomScaleNormal="80" workbookViewId="0">
      <pane ySplit="3" topLeftCell="A4" activePane="bottomLeft" state="frozen"/>
      <selection pane="bottomLeft" activeCell="L30" sqref="L30"/>
    </sheetView>
  </sheetViews>
  <sheetFormatPr defaultColWidth="8.77734375" defaultRowHeight="14.4"/>
  <cols>
    <col min="1" max="1" width="44.88671875" bestFit="1" customWidth="1"/>
    <col min="2" max="9" width="10.21875" bestFit="1" customWidth="1"/>
    <col min="10" max="10" width="10.44140625" bestFit="1" customWidth="1"/>
    <col min="11" max="11" width="11.21875" bestFit="1" customWidth="1"/>
    <col min="12" max="12" width="11.21875" customWidth="1"/>
  </cols>
  <sheetData>
    <row r="2" spans="1:14" ht="15" thickBot="1">
      <c r="A2" s="23" t="s">
        <v>407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>
      <c r="A3" s="153" t="s">
        <v>263</v>
      </c>
      <c r="B3" s="154">
        <v>2020</v>
      </c>
      <c r="C3" s="154">
        <v>2021</v>
      </c>
      <c r="D3" s="154">
        <v>2022</v>
      </c>
      <c r="E3" s="154">
        <v>2023</v>
      </c>
      <c r="F3" s="154">
        <v>2024</v>
      </c>
      <c r="G3" s="154">
        <v>2025</v>
      </c>
      <c r="H3" s="155" t="s">
        <v>3</v>
      </c>
      <c r="I3" s="155" t="s">
        <v>4</v>
      </c>
      <c r="J3" s="155" t="s">
        <v>5</v>
      </c>
      <c r="K3" s="155" t="s">
        <v>6</v>
      </c>
      <c r="L3" s="156" t="s">
        <v>7</v>
      </c>
      <c r="M3" s="23"/>
      <c r="N3" s="23"/>
    </row>
    <row r="4" spans="1:14">
      <c r="A4" s="157" t="s">
        <v>76</v>
      </c>
      <c r="B4" s="231">
        <v>5540</v>
      </c>
      <c r="C4" s="231">
        <v>4992</v>
      </c>
      <c r="D4" s="231">
        <v>2877</v>
      </c>
      <c r="E4" s="231">
        <v>3002</v>
      </c>
      <c r="F4" s="231">
        <v>3619</v>
      </c>
      <c r="G4" s="232">
        <v>7647</v>
      </c>
      <c r="H4" s="231">
        <f ca="1">'Cash flow'!C59</f>
        <v>9858.2487019969321</v>
      </c>
      <c r="I4" s="231">
        <f ca="1">'Cash flow'!D59</f>
        <v>15649.9030308865</v>
      </c>
      <c r="J4" s="231">
        <f ca="1">'Cash flow'!E59</f>
        <v>20673.133169540255</v>
      </c>
      <c r="K4" s="231">
        <f ca="1">'Cash flow'!F59</f>
        <v>25403.827130578902</v>
      </c>
      <c r="L4" s="233">
        <f ca="1">'Cash flow'!G59</f>
        <v>29694.201437450287</v>
      </c>
      <c r="M4" s="23"/>
      <c r="N4" s="23"/>
    </row>
    <row r="5" spans="1:14">
      <c r="A5" s="455" t="s">
        <v>77</v>
      </c>
      <c r="B5" s="463">
        <v>449</v>
      </c>
      <c r="C5" s="463">
        <v>337</v>
      </c>
      <c r="D5" s="463">
        <v>366</v>
      </c>
      <c r="E5" s="463">
        <v>734</v>
      </c>
      <c r="F5" s="463">
        <v>1056</v>
      </c>
      <c r="G5" s="463">
        <v>1067</v>
      </c>
      <c r="H5" s="463">
        <f>H55*'Income statement'!H3</f>
        <v>1380.5385500000002</v>
      </c>
      <c r="I5" s="463">
        <f>I55*'Income statement'!I3</f>
        <v>1580.0408286666666</v>
      </c>
      <c r="J5" s="463">
        <f>J55*'Income statement'!J3</f>
        <v>1636.0203213208333</v>
      </c>
      <c r="K5" s="463">
        <f>K55*'Income statement'!K3</f>
        <v>1694.4596923747167</v>
      </c>
      <c r="L5" s="464">
        <f>L55*'Income statement'!L3</f>
        <v>1737.1016567742408</v>
      </c>
      <c r="M5" s="23"/>
      <c r="N5" s="23" t="s">
        <v>246</v>
      </c>
    </row>
    <row r="6" spans="1:14">
      <c r="A6" s="157" t="s">
        <v>78</v>
      </c>
      <c r="B6" s="231">
        <v>290</v>
      </c>
      <c r="C6" s="231">
        <v>82</v>
      </c>
      <c r="D6" s="231">
        <v>880</v>
      </c>
      <c r="E6" s="231">
        <v>23</v>
      </c>
      <c r="F6" s="231">
        <v>21</v>
      </c>
      <c r="G6" s="232">
        <v>594</v>
      </c>
      <c r="H6" s="231">
        <v>1000</v>
      </c>
      <c r="I6" s="231">
        <v>1500</v>
      </c>
      <c r="J6" s="231">
        <v>2000</v>
      </c>
      <c r="K6" s="231">
        <v>2500</v>
      </c>
      <c r="L6" s="233">
        <v>3000</v>
      </c>
      <c r="M6" s="23"/>
      <c r="N6" s="23" t="s">
        <v>408</v>
      </c>
    </row>
    <row r="7" spans="1:14">
      <c r="A7" s="455" t="s">
        <v>79</v>
      </c>
      <c r="B7" s="463">
        <v>963</v>
      </c>
      <c r="C7" s="463">
        <v>930</v>
      </c>
      <c r="D7" s="463">
        <v>979</v>
      </c>
      <c r="E7" s="463">
        <v>1663</v>
      </c>
      <c r="F7" s="463">
        <v>1423</v>
      </c>
      <c r="G7" s="463">
        <v>1512</v>
      </c>
      <c r="H7" s="463">
        <f>Schedules!H10</f>
        <v>1440.7713122218427</v>
      </c>
      <c r="I7" s="463">
        <f>Schedules!I10</f>
        <v>1620.3455099315495</v>
      </c>
      <c r="J7" s="463">
        <f>Schedules!J10</f>
        <v>1665.520117767835</v>
      </c>
      <c r="K7" s="463">
        <f>Schedules!K10</f>
        <v>1713.2921342260404</v>
      </c>
      <c r="L7" s="464">
        <f>Schedules!L10</f>
        <v>1763.815500820293</v>
      </c>
      <c r="M7" s="23"/>
      <c r="N7" s="23" t="s">
        <v>246</v>
      </c>
    </row>
    <row r="8" spans="1:14">
      <c r="A8" s="157" t="s">
        <v>80</v>
      </c>
      <c r="B8" s="231">
        <v>827</v>
      </c>
      <c r="C8" s="231">
        <v>857</v>
      </c>
      <c r="D8" s="231">
        <v>774</v>
      </c>
      <c r="E8" s="231">
        <v>979</v>
      </c>
      <c r="F8" s="231">
        <v>761</v>
      </c>
      <c r="G8" s="232">
        <v>1177</v>
      </c>
      <c r="H8" s="231">
        <f>Schedules!H18</f>
        <v>971.03008630070963</v>
      </c>
      <c r="I8" s="231">
        <f>Schedules!I18</f>
        <v>1112.7874447410884</v>
      </c>
      <c r="J8" s="231">
        <f>Schedules!J18</f>
        <v>1156.4300138013787</v>
      </c>
      <c r="K8" s="231">
        <f>Schedules!K18</f>
        <v>1202.4383101859671</v>
      </c>
      <c r="L8" s="233">
        <f>Schedules!L18</f>
        <v>1250.9577659071292</v>
      </c>
      <c r="M8" s="23"/>
      <c r="N8" s="23" t="s">
        <v>362</v>
      </c>
    </row>
    <row r="9" spans="1:14">
      <c r="A9" s="455" t="s">
        <v>81</v>
      </c>
      <c r="B9" s="463">
        <v>0</v>
      </c>
      <c r="C9" s="463">
        <v>0</v>
      </c>
      <c r="D9" s="463">
        <v>0</v>
      </c>
      <c r="E9" s="463">
        <v>198</v>
      </c>
      <c r="F9" s="463">
        <v>0</v>
      </c>
      <c r="G9" s="463">
        <v>0</v>
      </c>
      <c r="H9" s="463">
        <v>0</v>
      </c>
      <c r="I9" s="463">
        <v>0</v>
      </c>
      <c r="J9" s="463">
        <v>0</v>
      </c>
      <c r="K9" s="463">
        <v>0</v>
      </c>
      <c r="L9" s="464">
        <v>0</v>
      </c>
      <c r="M9" s="23"/>
      <c r="N9" s="23"/>
    </row>
    <row r="10" spans="1:14">
      <c r="A10" s="157" t="s">
        <v>82</v>
      </c>
      <c r="B10" s="231">
        <v>436</v>
      </c>
      <c r="C10" s="231">
        <v>498</v>
      </c>
      <c r="D10" s="231">
        <v>639</v>
      </c>
      <c r="E10" s="231">
        <v>913</v>
      </c>
      <c r="F10" s="231">
        <v>786</v>
      </c>
      <c r="G10" s="232">
        <v>1069</v>
      </c>
      <c r="H10" s="231">
        <f>H60*'Income statement'!H3</f>
        <v>1380.5385500000002</v>
      </c>
      <c r="I10" s="231">
        <f>I60*'Income statement'!I3</f>
        <v>1580.0408286666666</v>
      </c>
      <c r="J10" s="231">
        <f>J60*'Income statement'!J3</f>
        <v>1636.0203213208333</v>
      </c>
      <c r="K10" s="231">
        <f>K60*'Income statement'!K3</f>
        <v>1694.4596923747167</v>
      </c>
      <c r="L10" s="233">
        <f>L60*'Income statement'!L3</f>
        <v>1737.1016567742408</v>
      </c>
      <c r="M10" s="23"/>
      <c r="N10" s="23" t="s">
        <v>363</v>
      </c>
    </row>
    <row r="11" spans="1:14">
      <c r="A11" s="556" t="s">
        <v>83</v>
      </c>
      <c r="B11" s="563">
        <v>0</v>
      </c>
      <c r="C11" s="563">
        <v>0</v>
      </c>
      <c r="D11" s="563">
        <v>0</v>
      </c>
      <c r="E11" s="563">
        <v>0</v>
      </c>
      <c r="F11" s="563">
        <v>4609</v>
      </c>
      <c r="G11" s="563">
        <v>0</v>
      </c>
      <c r="H11" s="563">
        <v>0</v>
      </c>
      <c r="I11" s="563">
        <v>0</v>
      </c>
      <c r="J11" s="563">
        <v>0</v>
      </c>
      <c r="K11" s="563">
        <v>0</v>
      </c>
      <c r="L11" s="564">
        <v>0</v>
      </c>
      <c r="M11" s="23"/>
      <c r="N11" s="23"/>
    </row>
    <row r="12" spans="1:14">
      <c r="A12" s="562" t="s">
        <v>84</v>
      </c>
      <c r="B12" s="235">
        <f t="shared" ref="B12:L12" si="0">SUM(B4:B11)</f>
        <v>8505</v>
      </c>
      <c r="C12" s="235">
        <f t="shared" si="0"/>
        <v>7696</v>
      </c>
      <c r="D12" s="235">
        <f t="shared" si="0"/>
        <v>6515</v>
      </c>
      <c r="E12" s="235">
        <f t="shared" si="0"/>
        <v>7512</v>
      </c>
      <c r="F12" s="235">
        <f t="shared" si="0"/>
        <v>12275</v>
      </c>
      <c r="G12" s="236">
        <f t="shared" si="0"/>
        <v>13066</v>
      </c>
      <c r="H12" s="235">
        <f t="shared" ca="1" si="0"/>
        <v>16031.127200519484</v>
      </c>
      <c r="I12" s="235">
        <f t="shared" ca="1" si="0"/>
        <v>23043.117642892474</v>
      </c>
      <c r="J12" s="235">
        <f t="shared" ca="1" si="0"/>
        <v>28767.123943751136</v>
      </c>
      <c r="K12" s="235">
        <f t="shared" ca="1" si="0"/>
        <v>34208.476959740343</v>
      </c>
      <c r="L12" s="237">
        <f t="shared" ca="1" si="0"/>
        <v>39183.17801772619</v>
      </c>
      <c r="M12" s="23"/>
      <c r="N12" s="23"/>
    </row>
    <row r="13" spans="1:14">
      <c r="A13" s="157" t="s">
        <v>85</v>
      </c>
      <c r="B13" s="231">
        <v>24281</v>
      </c>
      <c r="C13" s="231">
        <v>24124</v>
      </c>
      <c r="D13" s="231">
        <v>24073</v>
      </c>
      <c r="E13" s="231">
        <v>37563</v>
      </c>
      <c r="F13" s="231">
        <v>33547</v>
      </c>
      <c r="G13" s="232">
        <v>33310</v>
      </c>
      <c r="H13" s="231">
        <f>Schedules!H44</f>
        <v>36884.761697346155</v>
      </c>
      <c r="I13" s="231">
        <f>Schedules!I44</f>
        <v>39274.959305948018</v>
      </c>
      <c r="J13" s="231">
        <f>Schedules!J44</f>
        <v>41758.898414504903</v>
      </c>
      <c r="K13" s="231">
        <f>Schedules!K44</f>
        <v>44341.660456870035</v>
      </c>
      <c r="L13" s="233">
        <f>Schedules!L44</f>
        <v>47028.63924573375</v>
      </c>
      <c r="M13" s="23"/>
      <c r="N13" s="23" t="s">
        <v>246</v>
      </c>
    </row>
    <row r="14" spans="1:14">
      <c r="A14" s="455" t="s">
        <v>86</v>
      </c>
      <c r="B14" s="463">
        <v>3197</v>
      </c>
      <c r="C14" s="463">
        <v>3243</v>
      </c>
      <c r="D14" s="463">
        <v>3278</v>
      </c>
      <c r="E14" s="463">
        <v>4143</v>
      </c>
      <c r="F14" s="463">
        <v>4471</v>
      </c>
      <c r="G14" s="463">
        <v>4186</v>
      </c>
      <c r="H14" s="463">
        <f>Schedules!H46</f>
        <v>3208.7872266863837</v>
      </c>
      <c r="I14" s="463">
        <f>Schedules!I46</f>
        <v>3677.2270901567176</v>
      </c>
      <c r="J14" s="463">
        <f>Schedules!J46</f>
        <v>3821.4447823952155</v>
      </c>
      <c r="K14" s="463">
        <f>Schedules!K46</f>
        <v>3973.4800651771229</v>
      </c>
      <c r="L14" s="464">
        <f>Schedules!L46</f>
        <v>4133.813521328786</v>
      </c>
      <c r="M14" s="23"/>
      <c r="N14" s="23" t="s">
        <v>246</v>
      </c>
    </row>
    <row r="15" spans="1:14">
      <c r="A15" s="157" t="s">
        <v>87</v>
      </c>
      <c r="B15" s="231">
        <v>1705</v>
      </c>
      <c r="C15" s="231">
        <v>1775</v>
      </c>
      <c r="D15" s="231">
        <v>1716</v>
      </c>
      <c r="E15" s="231">
        <v>1935</v>
      </c>
      <c r="F15" s="231">
        <v>2266</v>
      </c>
      <c r="G15" s="232">
        <v>2410</v>
      </c>
      <c r="H15" s="231">
        <f>Schedules!H23</f>
        <v>1851.2441412574296</v>
      </c>
      <c r="I15" s="231">
        <f>Schedules!I23</f>
        <v>2021.561322055773</v>
      </c>
      <c r="J15" s="231">
        <f>Schedules!J23</f>
        <v>2016.1718761734396</v>
      </c>
      <c r="K15" s="231">
        <f>Schedules!K23</f>
        <v>2011.3403596249452</v>
      </c>
      <c r="L15" s="233">
        <f>Schedules!L23</f>
        <v>2007.0682824813384</v>
      </c>
      <c r="M15" s="23"/>
      <c r="N15" s="23" t="s">
        <v>246</v>
      </c>
    </row>
    <row r="16" spans="1:14">
      <c r="A16" s="455" t="s">
        <v>88</v>
      </c>
      <c r="B16" s="463">
        <v>337</v>
      </c>
      <c r="C16" s="463">
        <v>269</v>
      </c>
      <c r="D16" s="463">
        <v>173</v>
      </c>
      <c r="E16" s="463">
        <v>268</v>
      </c>
      <c r="F16" s="463">
        <v>124</v>
      </c>
      <c r="G16" s="463">
        <v>45</v>
      </c>
      <c r="H16" s="463">
        <f>G16</f>
        <v>45</v>
      </c>
      <c r="I16" s="463">
        <f t="shared" ref="I16:L18" si="1">H16</f>
        <v>45</v>
      </c>
      <c r="J16" s="463">
        <f t="shared" si="1"/>
        <v>45</v>
      </c>
      <c r="K16" s="463">
        <f t="shared" si="1"/>
        <v>45</v>
      </c>
      <c r="L16" s="464">
        <f t="shared" si="1"/>
        <v>45</v>
      </c>
      <c r="M16" s="23"/>
      <c r="N16" s="23" t="s">
        <v>364</v>
      </c>
    </row>
    <row r="17" spans="1:14">
      <c r="A17" s="157" t="s">
        <v>89</v>
      </c>
      <c r="B17" s="231">
        <v>2771</v>
      </c>
      <c r="C17" s="231">
        <v>2771</v>
      </c>
      <c r="D17" s="231">
        <v>1971</v>
      </c>
      <c r="E17" s="231">
        <v>3001</v>
      </c>
      <c r="F17" s="231">
        <v>2658</v>
      </c>
      <c r="G17" s="232">
        <v>2658</v>
      </c>
      <c r="H17" s="231">
        <f>G17</f>
        <v>2658</v>
      </c>
      <c r="I17" s="231">
        <f t="shared" si="1"/>
        <v>2658</v>
      </c>
      <c r="J17" s="231">
        <f t="shared" si="1"/>
        <v>2658</v>
      </c>
      <c r="K17" s="231">
        <f t="shared" si="1"/>
        <v>2658</v>
      </c>
      <c r="L17" s="233">
        <f t="shared" si="1"/>
        <v>2658</v>
      </c>
      <c r="M17" s="23"/>
      <c r="N17" s="23"/>
    </row>
    <row r="18" spans="1:14">
      <c r="A18" s="455" t="s">
        <v>90</v>
      </c>
      <c r="B18" s="463">
        <v>0</v>
      </c>
      <c r="C18" s="463">
        <v>0</v>
      </c>
      <c r="D18" s="463">
        <v>0</v>
      </c>
      <c r="E18" s="463">
        <v>444</v>
      </c>
      <c r="F18" s="463">
        <v>142</v>
      </c>
      <c r="G18" s="463"/>
      <c r="H18" s="463">
        <v>0</v>
      </c>
      <c r="I18" s="463">
        <f t="shared" si="1"/>
        <v>0</v>
      </c>
      <c r="J18" s="463">
        <f t="shared" si="1"/>
        <v>0</v>
      </c>
      <c r="K18" s="463">
        <f t="shared" si="1"/>
        <v>0</v>
      </c>
      <c r="L18" s="464">
        <f t="shared" si="1"/>
        <v>0</v>
      </c>
      <c r="M18" s="23"/>
      <c r="N18" s="23"/>
    </row>
    <row r="19" spans="1:14">
      <c r="A19" s="157" t="s">
        <v>91</v>
      </c>
      <c r="B19" s="231">
        <v>573</v>
      </c>
      <c r="C19" s="231">
        <v>686</v>
      </c>
      <c r="D19" s="231">
        <v>756</v>
      </c>
      <c r="E19" s="231">
        <v>640</v>
      </c>
      <c r="F19" s="231">
        <v>866</v>
      </c>
      <c r="G19" s="232">
        <v>1446</v>
      </c>
      <c r="H19" s="231">
        <f>H69*H32</f>
        <v>1437.7442854440205</v>
      </c>
      <c r="I19" s="231">
        <f t="shared" ref="I19:L19" si="2">I69*I32</f>
        <v>1647.6356522437288</v>
      </c>
      <c r="J19" s="231">
        <f t="shared" si="2"/>
        <v>1712.2545092222722</v>
      </c>
      <c r="K19" s="231">
        <f t="shared" si="2"/>
        <v>1780.3761525607999</v>
      </c>
      <c r="L19" s="233">
        <f t="shared" si="2"/>
        <v>1852.2159144591269</v>
      </c>
      <c r="M19" s="23"/>
      <c r="N19" s="23"/>
    </row>
    <row r="20" spans="1:14" ht="15" thickBot="1">
      <c r="A20" s="238" t="s">
        <v>92</v>
      </c>
      <c r="B20" s="239">
        <f t="shared" ref="B20:L20" si="3">SUM(B12:B19)</f>
        <v>41369</v>
      </c>
      <c r="C20" s="239">
        <f t="shared" si="3"/>
        <v>40564</v>
      </c>
      <c r="D20" s="239">
        <f t="shared" si="3"/>
        <v>38482</v>
      </c>
      <c r="E20" s="239">
        <f t="shared" si="3"/>
        <v>55506</v>
      </c>
      <c r="F20" s="239">
        <f t="shared" si="3"/>
        <v>56349</v>
      </c>
      <c r="G20" s="240">
        <f t="shared" si="3"/>
        <v>57121</v>
      </c>
      <c r="H20" s="239">
        <f t="shared" ca="1" si="3"/>
        <v>62116.664551253474</v>
      </c>
      <c r="I20" s="239">
        <f t="shared" ca="1" si="3"/>
        <v>72367.501013296715</v>
      </c>
      <c r="J20" s="239">
        <f t="shared" ca="1" si="3"/>
        <v>80778.893526046973</v>
      </c>
      <c r="K20" s="239">
        <f t="shared" ca="1" si="3"/>
        <v>89018.33399397324</v>
      </c>
      <c r="L20" s="241">
        <f t="shared" ca="1" si="3"/>
        <v>96907.914981729191</v>
      </c>
      <c r="M20" s="23"/>
      <c r="N20" s="23"/>
    </row>
    <row r="21" spans="1:14">
      <c r="A21" s="157"/>
      <c r="B21" s="231"/>
      <c r="C21" s="231"/>
      <c r="D21" s="231"/>
      <c r="E21" s="231"/>
      <c r="F21" s="231"/>
      <c r="G21" s="232"/>
      <c r="H21" s="231"/>
      <c r="I21" s="231"/>
      <c r="J21" s="231"/>
      <c r="K21" s="231"/>
      <c r="L21" s="233"/>
      <c r="M21" s="23"/>
      <c r="N21" s="23"/>
    </row>
    <row r="22" spans="1:14">
      <c r="A22" s="157" t="s">
        <v>93</v>
      </c>
      <c r="B22" s="231">
        <v>493</v>
      </c>
      <c r="C22" s="231">
        <v>518</v>
      </c>
      <c r="D22" s="231">
        <v>633</v>
      </c>
      <c r="E22" s="231">
        <v>960</v>
      </c>
      <c r="F22" s="231">
        <v>843</v>
      </c>
      <c r="G22" s="232">
        <v>816</v>
      </c>
      <c r="H22" s="231">
        <f>H72*'Income statement'!H3</f>
        <v>993.88544426309056</v>
      </c>
      <c r="I22" s="231">
        <f>I72*'Income statement'!I3</f>
        <v>1137.5122997856101</v>
      </c>
      <c r="J22" s="231">
        <f>J72*'Income statement'!J3</f>
        <v>1177.8133858553972</v>
      </c>
      <c r="K22" s="231">
        <f>K72*'Income statement'!K3</f>
        <v>1219.8854020713472</v>
      </c>
      <c r="L22" s="233">
        <f>L72*'Income statement'!L3</f>
        <v>1250.5844562422519</v>
      </c>
      <c r="M22" s="23"/>
      <c r="N22" s="23" t="s">
        <v>374</v>
      </c>
    </row>
    <row r="23" spans="1:14">
      <c r="A23" s="455" t="s">
        <v>94</v>
      </c>
      <c r="B23" s="463">
        <v>380</v>
      </c>
      <c r="C23" s="463">
        <v>386</v>
      </c>
      <c r="D23" s="463">
        <v>399</v>
      </c>
      <c r="E23" s="463">
        <v>551</v>
      </c>
      <c r="F23" s="463">
        <v>630</v>
      </c>
      <c r="G23" s="463">
        <v>898</v>
      </c>
      <c r="H23" s="463">
        <f>H73*'Income statement'!H9</f>
        <v>789.27315080009953</v>
      </c>
      <c r="I23" s="463">
        <f>I73*'Income statement'!I9</f>
        <v>904.49643638497912</v>
      </c>
      <c r="J23" s="463">
        <f>J73*'Income statement'!J9</f>
        <v>939.97001076458798</v>
      </c>
      <c r="K23" s="463">
        <f>K73*'Income statement'!K9</f>
        <v>977.36649678774438</v>
      </c>
      <c r="L23" s="464">
        <f>L73*'Income statement'!L9</f>
        <v>1016.8041045739653</v>
      </c>
      <c r="M23" s="23"/>
      <c r="N23" s="23"/>
    </row>
    <row r="24" spans="1:14">
      <c r="A24" s="157" t="s">
        <v>95</v>
      </c>
      <c r="B24" s="231">
        <v>657</v>
      </c>
      <c r="C24" s="231">
        <v>384</v>
      </c>
      <c r="D24" s="231">
        <v>199</v>
      </c>
      <c r="E24" s="231">
        <v>88</v>
      </c>
      <c r="F24" s="231">
        <v>381</v>
      </c>
      <c r="G24" s="232">
        <v>1188</v>
      </c>
      <c r="H24" s="231">
        <f ca="1">H74*'Income statement'!H18</f>
        <v>1176.3041134260097</v>
      </c>
      <c r="I24" s="231">
        <f ca="1">I74*'Income statement'!I18</f>
        <v>1382.9974836613485</v>
      </c>
      <c r="J24" s="231">
        <f ca="1">J74*'Income statement'!J18</f>
        <v>1420.0197509154318</v>
      </c>
      <c r="K24" s="231">
        <f ca="1">K74*'Income statement'!K18</f>
        <v>1461.9889418645887</v>
      </c>
      <c r="L24" s="233">
        <f ca="1">L74*'Income statement'!L18</f>
        <v>1476.0478785025114</v>
      </c>
      <c r="M24" s="23"/>
      <c r="N24" s="23"/>
    </row>
    <row r="25" spans="1:14">
      <c r="A25" s="455" t="s">
        <v>96</v>
      </c>
      <c r="B25" s="463">
        <v>106</v>
      </c>
      <c r="C25" s="463">
        <v>106</v>
      </c>
      <c r="D25" s="463">
        <v>96</v>
      </c>
      <c r="E25" s="463">
        <v>114</v>
      </c>
      <c r="F25" s="463">
        <v>107</v>
      </c>
      <c r="G25" s="463">
        <v>118</v>
      </c>
      <c r="H25" s="463">
        <v>96</v>
      </c>
      <c r="I25" s="463">
        <v>77</v>
      </c>
      <c r="J25" s="463">
        <v>71</v>
      </c>
      <c r="K25" s="463">
        <v>46</v>
      </c>
      <c r="L25" s="464">
        <v>252</v>
      </c>
      <c r="M25" s="23"/>
      <c r="N25" s="23" t="s">
        <v>375</v>
      </c>
    </row>
    <row r="26" spans="1:14">
      <c r="A26" s="157" t="s">
        <v>97</v>
      </c>
      <c r="B26" s="231">
        <v>551</v>
      </c>
      <c r="C26" s="231">
        <v>87</v>
      </c>
      <c r="D26" s="231">
        <v>0</v>
      </c>
      <c r="E26" s="231">
        <v>1923</v>
      </c>
      <c r="F26" s="231">
        <v>924</v>
      </c>
      <c r="G26" s="232">
        <v>0</v>
      </c>
      <c r="H26" s="231">
        <v>0</v>
      </c>
      <c r="I26" s="231">
        <v>0</v>
      </c>
      <c r="J26" s="231">
        <v>0</v>
      </c>
      <c r="K26" s="231">
        <v>0</v>
      </c>
      <c r="L26" s="233">
        <v>0</v>
      </c>
      <c r="M26" s="23"/>
      <c r="N26" s="23" t="s">
        <v>376</v>
      </c>
    </row>
    <row r="27" spans="1:14">
      <c r="A27" s="455" t="s">
        <v>98</v>
      </c>
      <c r="B27" s="463">
        <v>1182</v>
      </c>
      <c r="C27" s="463">
        <v>1173</v>
      </c>
      <c r="D27" s="463">
        <v>1599</v>
      </c>
      <c r="E27" s="463">
        <v>2362</v>
      </c>
      <c r="F27" s="463">
        <v>2481</v>
      </c>
      <c r="G27" s="463">
        <v>2692</v>
      </c>
      <c r="H27" s="463">
        <f>H77*'Income statement'!H4</f>
        <v>2510.5677941367517</v>
      </c>
      <c r="I27" s="463">
        <f>I77*'Income statement'!I4</f>
        <v>2877.076992670588</v>
      </c>
      <c r="J27" s="463">
        <f>J77*'Income statement'!J4</f>
        <v>2989.9134844352957</v>
      </c>
      <c r="K27" s="463">
        <f>K77*'Income statement'!K4</f>
        <v>3108.8664899042483</v>
      </c>
      <c r="L27" s="464">
        <f>L77*'Income statement'!L4</f>
        <v>3234.312018978073</v>
      </c>
      <c r="M27" s="23"/>
      <c r="N27" s="23" t="s">
        <v>377</v>
      </c>
    </row>
    <row r="28" spans="1:14">
      <c r="A28" s="555" t="s">
        <v>99</v>
      </c>
      <c r="B28" s="565">
        <v>0</v>
      </c>
      <c r="C28" s="565">
        <v>0</v>
      </c>
      <c r="D28" s="565">
        <v>0</v>
      </c>
      <c r="E28" s="565">
        <v>0</v>
      </c>
      <c r="F28" s="565">
        <v>2177</v>
      </c>
      <c r="G28" s="566">
        <v>0</v>
      </c>
      <c r="H28" s="565">
        <v>0</v>
      </c>
      <c r="I28" s="565">
        <v>0</v>
      </c>
      <c r="J28" s="565">
        <v>0</v>
      </c>
      <c r="K28" s="565">
        <v>0</v>
      </c>
      <c r="L28" s="567">
        <v>0</v>
      </c>
      <c r="M28" s="23"/>
      <c r="N28" s="23"/>
    </row>
    <row r="29" spans="1:14">
      <c r="A29" s="562" t="s">
        <v>100</v>
      </c>
      <c r="B29" s="235">
        <f>SUM(B22:B28)</f>
        <v>3369</v>
      </c>
      <c r="C29" s="235">
        <f t="shared" ref="C29:G29" si="4">SUM(C22:C28)</f>
        <v>2654</v>
      </c>
      <c r="D29" s="235">
        <f t="shared" si="4"/>
        <v>2926</v>
      </c>
      <c r="E29" s="235">
        <f t="shared" si="4"/>
        <v>5998</v>
      </c>
      <c r="F29" s="235">
        <f t="shared" si="4"/>
        <v>7543</v>
      </c>
      <c r="G29" s="236">
        <f t="shared" si="4"/>
        <v>5712</v>
      </c>
      <c r="H29" s="235">
        <f t="shared" ref="H29:L29" ca="1" si="5">SUM(H22:H28)</f>
        <v>5566.0305026259521</v>
      </c>
      <c r="I29" s="235">
        <f t="shared" ca="1" si="5"/>
        <v>6379.0832125025254</v>
      </c>
      <c r="J29" s="235">
        <f t="shared" ca="1" si="5"/>
        <v>6598.7166319707121</v>
      </c>
      <c r="K29" s="235">
        <f t="shared" ca="1" si="5"/>
        <v>6814.1073306279286</v>
      </c>
      <c r="L29" s="237">
        <f t="shared" ca="1" si="5"/>
        <v>7229.7484582968018</v>
      </c>
      <c r="M29" s="23"/>
      <c r="N29" s="23"/>
    </row>
    <row r="30" spans="1:14">
      <c r="A30" s="157" t="s">
        <v>101</v>
      </c>
      <c r="B30" s="231">
        <v>5480</v>
      </c>
      <c r="C30" s="231">
        <v>5565</v>
      </c>
      <c r="D30" s="231">
        <v>5571</v>
      </c>
      <c r="E30" s="231">
        <v>6951</v>
      </c>
      <c r="F30" s="231">
        <v>7552</v>
      </c>
      <c r="G30" s="232">
        <v>5115</v>
      </c>
      <c r="H30" s="231">
        <f ca="1">H80*H44</f>
        <v>5988.0240037048134</v>
      </c>
      <c r="I30" s="231">
        <f ca="1">I80*I44</f>
        <v>7057.5403322670709</v>
      </c>
      <c r="J30" s="231">
        <f ca="1">J80*J44</f>
        <v>8092.6248134681882</v>
      </c>
      <c r="K30" s="231">
        <f ca="1">K80*K44</f>
        <v>9099.7378992892081</v>
      </c>
      <c r="L30" s="233">
        <f ca="1">L80*L44</f>
        <v>10039.700637168959</v>
      </c>
      <c r="M30" s="23"/>
      <c r="N30" s="23" t="s">
        <v>418</v>
      </c>
    </row>
    <row r="31" spans="1:14">
      <c r="A31" s="455" t="s">
        <v>102</v>
      </c>
      <c r="B31" s="463">
        <v>565</v>
      </c>
      <c r="C31" s="463">
        <v>544</v>
      </c>
      <c r="D31" s="463">
        <v>465</v>
      </c>
      <c r="E31" s="463">
        <v>448</v>
      </c>
      <c r="F31" s="463">
        <v>389</v>
      </c>
      <c r="G31" s="463">
        <v>356</v>
      </c>
      <c r="H31" s="463">
        <f>G31-H25</f>
        <v>260</v>
      </c>
      <c r="I31" s="463">
        <f>H31-I25</f>
        <v>183</v>
      </c>
      <c r="J31" s="463">
        <f>I31-J25</f>
        <v>112</v>
      </c>
      <c r="K31" s="463">
        <f>J31-K25</f>
        <v>66</v>
      </c>
      <c r="L31" s="464">
        <v>0</v>
      </c>
      <c r="M31" s="23"/>
      <c r="N31" s="23"/>
    </row>
    <row r="32" spans="1:14">
      <c r="A32" s="157" t="s">
        <v>103</v>
      </c>
      <c r="B32" s="231">
        <v>3818</v>
      </c>
      <c r="C32" s="231">
        <v>5839</v>
      </c>
      <c r="D32" s="231">
        <v>6578</v>
      </c>
      <c r="E32" s="231">
        <v>8167</v>
      </c>
      <c r="F32" s="231">
        <v>6394</v>
      </c>
      <c r="G32" s="232">
        <v>6297</v>
      </c>
      <c r="H32" s="231">
        <f>Schedules!H35</f>
        <v>6261.0482471929445</v>
      </c>
      <c r="I32" s="231">
        <f>Schedules!I35</f>
        <v>7175.0772490862792</v>
      </c>
      <c r="J32" s="231">
        <f>Schedules!J35</f>
        <v>7456.4776241857871</v>
      </c>
      <c r="K32" s="231">
        <f>Schedules!K35</f>
        <v>7753.1318344919482</v>
      </c>
      <c r="L32" s="233">
        <f>Schedules!L35</f>
        <v>8065.977602592754</v>
      </c>
      <c r="M32" s="23"/>
      <c r="N32" s="23" t="s">
        <v>373</v>
      </c>
    </row>
    <row r="33" spans="1:14">
      <c r="A33" s="455" t="s">
        <v>104</v>
      </c>
      <c r="B33" s="463">
        <v>2073</v>
      </c>
      <c r="C33" s="463">
        <v>2144</v>
      </c>
      <c r="D33" s="463">
        <v>1809</v>
      </c>
      <c r="E33" s="463">
        <v>2987</v>
      </c>
      <c r="F33" s="463">
        <v>2820</v>
      </c>
      <c r="G33" s="463">
        <v>4045</v>
      </c>
      <c r="H33" s="463">
        <f>H83*'Income statement'!H3</f>
        <v>2484.9693899999997</v>
      </c>
      <c r="I33" s="463">
        <f>I83*'Income statement'!I3</f>
        <v>2844.0734915999997</v>
      </c>
      <c r="J33" s="463">
        <f>J83*'Income statement'!J3</f>
        <v>2944.8365783774998</v>
      </c>
      <c r="K33" s="463">
        <f>K83*'Income statement'!K3</f>
        <v>3050.0274462744896</v>
      </c>
      <c r="L33" s="464">
        <f>L83*'Income statement'!L3</f>
        <v>3126.7829821936334</v>
      </c>
      <c r="M33" s="23"/>
      <c r="N33" s="23" t="s">
        <v>372</v>
      </c>
    </row>
    <row r="34" spans="1:14">
      <c r="A34" s="157" t="s">
        <v>105</v>
      </c>
      <c r="B34" s="231">
        <v>493</v>
      </c>
      <c r="C34" s="231">
        <v>439</v>
      </c>
      <c r="D34" s="231">
        <v>342</v>
      </c>
      <c r="E34" s="231">
        <v>655</v>
      </c>
      <c r="F34" s="231">
        <v>555</v>
      </c>
      <c r="G34" s="232">
        <v>634</v>
      </c>
      <c r="H34" s="231">
        <f>H84*'Income statement'!H9</f>
        <v>557.23739154483633</v>
      </c>
      <c r="I34" s="231">
        <f>I84*'Income statement'!I9</f>
        <v>638.58657089986275</v>
      </c>
      <c r="J34" s="231">
        <f>J84*'Income statement'!J9</f>
        <v>663.63138844626815</v>
      </c>
      <c r="K34" s="231">
        <f>K84*'Income statement'!K9</f>
        <v>690.03380730894207</v>
      </c>
      <c r="L34" s="233">
        <f>L84*'Income statement'!L9</f>
        <v>717.87728541190859</v>
      </c>
      <c r="M34" s="23"/>
      <c r="N34" s="23"/>
    </row>
    <row r="35" spans="1:14">
      <c r="A35" s="455" t="s">
        <v>106</v>
      </c>
      <c r="B35" s="463">
        <v>993</v>
      </c>
      <c r="C35" s="463">
        <v>910</v>
      </c>
      <c r="D35" s="463">
        <v>828</v>
      </c>
      <c r="E35" s="463">
        <v>779</v>
      </c>
      <c r="F35" s="463">
        <v>699</v>
      </c>
      <c r="G35" s="463">
        <v>598</v>
      </c>
      <c r="H35" s="463">
        <f>G35-96</f>
        <v>502</v>
      </c>
      <c r="I35" s="463">
        <f>H35-96</f>
        <v>406</v>
      </c>
      <c r="J35" s="463">
        <f>I35-96</f>
        <v>310</v>
      </c>
      <c r="K35" s="463">
        <f>J35-96</f>
        <v>214</v>
      </c>
      <c r="L35" s="464">
        <f>K35-96</f>
        <v>118</v>
      </c>
      <c r="M35" s="23"/>
      <c r="N35" s="23" t="s">
        <v>371</v>
      </c>
    </row>
    <row r="36" spans="1:14">
      <c r="A36" s="157" t="s">
        <v>107</v>
      </c>
      <c r="B36" s="231">
        <v>699</v>
      </c>
      <c r="C36" s="231">
        <v>608</v>
      </c>
      <c r="D36" s="231">
        <v>430</v>
      </c>
      <c r="E36" s="231">
        <v>316</v>
      </c>
      <c r="F36" s="231">
        <v>288</v>
      </c>
      <c r="G36" s="232">
        <v>322</v>
      </c>
      <c r="H36" s="231">
        <f>H86*'Income statement'!H3</f>
        <v>392.19499148617058</v>
      </c>
      <c r="I36" s="231">
        <f>I86*'Income statement'!I3</f>
        <v>448.87127516049816</v>
      </c>
      <c r="J36" s="231">
        <f>J86*'Income statement'!J3</f>
        <v>464.77439981058569</v>
      </c>
      <c r="K36" s="231">
        <f>K86*'Income statement'!K3</f>
        <v>481.37634738599741</v>
      </c>
      <c r="L36" s="233">
        <f>L86*'Income statement'!L3</f>
        <v>493.49043493873177</v>
      </c>
      <c r="M36" s="23"/>
      <c r="N36" s="23" t="s">
        <v>370</v>
      </c>
    </row>
    <row r="37" spans="1:14" ht="15" thickBot="1">
      <c r="A37" s="238" t="s">
        <v>108</v>
      </c>
      <c r="B37" s="239">
        <f>SUM(B29:B36)</f>
        <v>17490</v>
      </c>
      <c r="C37" s="239">
        <f t="shared" ref="C37:L37" si="6">SUM(C29:C36)</f>
        <v>18703</v>
      </c>
      <c r="D37" s="239">
        <f t="shared" si="6"/>
        <v>18949</v>
      </c>
      <c r="E37" s="239">
        <f t="shared" si="6"/>
        <v>26301</v>
      </c>
      <c r="F37" s="239">
        <f t="shared" si="6"/>
        <v>26240</v>
      </c>
      <c r="G37" s="240">
        <f t="shared" si="6"/>
        <v>23079</v>
      </c>
      <c r="H37" s="239">
        <f t="shared" ca="1" si="6"/>
        <v>22011.504526554712</v>
      </c>
      <c r="I37" s="239">
        <f t="shared" ca="1" si="6"/>
        <v>25132.232131516237</v>
      </c>
      <c r="J37" s="239">
        <f t="shared" ca="1" si="6"/>
        <v>26643.061436259046</v>
      </c>
      <c r="K37" s="239">
        <f t="shared" ca="1" si="6"/>
        <v>28168.414665378514</v>
      </c>
      <c r="L37" s="241">
        <f t="shared" ca="1" si="6"/>
        <v>29791.577400602786</v>
      </c>
      <c r="M37" s="23"/>
      <c r="N37" s="23"/>
    </row>
    <row r="38" spans="1:14">
      <c r="A38" s="157"/>
      <c r="B38" s="231"/>
      <c r="C38" s="231"/>
      <c r="D38" s="231"/>
      <c r="E38" s="231"/>
      <c r="F38" s="231"/>
      <c r="G38" s="232"/>
      <c r="H38" s="231"/>
      <c r="I38" s="231"/>
      <c r="J38" s="231"/>
      <c r="K38" s="231"/>
      <c r="L38" s="233"/>
      <c r="M38" s="23"/>
      <c r="N38" s="23"/>
    </row>
    <row r="39" spans="1:14">
      <c r="A39" s="157" t="s">
        <v>109</v>
      </c>
      <c r="B39" s="231">
        <v>1287</v>
      </c>
      <c r="C39" s="231">
        <v>1276</v>
      </c>
      <c r="D39" s="231">
        <v>1279</v>
      </c>
      <c r="E39" s="231">
        <v>1854</v>
      </c>
      <c r="F39" s="231">
        <v>1813</v>
      </c>
      <c r="G39" s="232">
        <v>1753</v>
      </c>
      <c r="H39" s="231">
        <v>1760</v>
      </c>
      <c r="I39" s="231">
        <v>1760</v>
      </c>
      <c r="J39" s="231">
        <v>1760</v>
      </c>
      <c r="K39" s="231">
        <v>1760</v>
      </c>
      <c r="L39" s="233">
        <v>1760</v>
      </c>
      <c r="M39" s="23"/>
      <c r="N39" s="23" t="s">
        <v>369</v>
      </c>
    </row>
    <row r="40" spans="1:14">
      <c r="A40" s="455" t="s">
        <v>110</v>
      </c>
      <c r="B40" s="463">
        <v>-168</v>
      </c>
      <c r="C40" s="463">
        <v>-200</v>
      </c>
      <c r="D40" s="463">
        <v>-239</v>
      </c>
      <c r="E40" s="463">
        <v>-264</v>
      </c>
      <c r="F40" s="463">
        <v>-278</v>
      </c>
      <c r="G40" s="463">
        <v>-301</v>
      </c>
      <c r="H40" s="463">
        <f>+-'Changes in Equity'!H28</f>
        <v>-328.610771</v>
      </c>
      <c r="I40" s="463">
        <f>+-'Changes in Equity'!I28</f>
        <v>-391.81240414666667</v>
      </c>
      <c r="J40" s="463">
        <f>+-'Changes in Equity'!J28</f>
        <v>-457.25321699950001</v>
      </c>
      <c r="K40" s="463">
        <f>+-'Changes in Equity'!K28</f>
        <v>-525.03160469448869</v>
      </c>
      <c r="L40" s="464">
        <f>+-'Changes in Equity'!L28</f>
        <v>-629.2577041009431</v>
      </c>
      <c r="M40" s="23"/>
      <c r="N40" s="23" t="s">
        <v>368</v>
      </c>
    </row>
    <row r="41" spans="1:14">
      <c r="A41" s="157" t="s">
        <v>111</v>
      </c>
      <c r="B41" s="231">
        <v>18103</v>
      </c>
      <c r="C41" s="231">
        <v>17981</v>
      </c>
      <c r="D41" s="231">
        <v>17369</v>
      </c>
      <c r="E41" s="231">
        <v>30419</v>
      </c>
      <c r="F41" s="231">
        <v>29808</v>
      </c>
      <c r="G41" s="232">
        <v>28847</v>
      </c>
      <c r="H41" s="231">
        <f>+'Changes in Equity'!H37</f>
        <v>27604.515305000001</v>
      </c>
      <c r="I41" s="231">
        <f>+'Changes in Equity'!I37</f>
        <v>26182.478559200001</v>
      </c>
      <c r="J41" s="231">
        <f>+'Changes in Equity'!J37</f>
        <v>24710.06027001125</v>
      </c>
      <c r="K41" s="231">
        <f>+'Changes in Equity'!K37</f>
        <v>23185.046546874004</v>
      </c>
      <c r="L41" s="233">
        <f>+'Changes in Equity'!L37</f>
        <v>21621.655055777188</v>
      </c>
      <c r="M41" s="23"/>
      <c r="N41" s="23" t="s">
        <v>365</v>
      </c>
    </row>
    <row r="42" spans="1:14">
      <c r="A42" s="455" t="s">
        <v>112</v>
      </c>
      <c r="B42" s="463">
        <v>-216</v>
      </c>
      <c r="C42" s="463">
        <v>-133</v>
      </c>
      <c r="D42" s="463">
        <v>29</v>
      </c>
      <c r="E42" s="463">
        <v>14</v>
      </c>
      <c r="F42" s="463">
        <v>-95</v>
      </c>
      <c r="G42" s="463">
        <v>137</v>
      </c>
      <c r="H42" s="463">
        <f>G42</f>
        <v>137</v>
      </c>
      <c r="I42" s="463">
        <f t="shared" ref="I42:L42" si="7">+H42</f>
        <v>137</v>
      </c>
      <c r="J42" s="463">
        <f t="shared" si="7"/>
        <v>137</v>
      </c>
      <c r="K42" s="463">
        <f t="shared" si="7"/>
        <v>137</v>
      </c>
      <c r="L42" s="464">
        <f t="shared" si="7"/>
        <v>137</v>
      </c>
      <c r="M42" s="23"/>
      <c r="N42" s="23" t="s">
        <v>366</v>
      </c>
    </row>
    <row r="43" spans="1:14">
      <c r="A43" s="157" t="s">
        <v>113</v>
      </c>
      <c r="B43" s="231">
        <v>4002</v>
      </c>
      <c r="C43" s="231">
        <v>3098</v>
      </c>
      <c r="D43" s="231">
        <v>916</v>
      </c>
      <c r="E43" s="231">
        <v>-2996</v>
      </c>
      <c r="F43" s="231">
        <v>-1320</v>
      </c>
      <c r="G43" s="232">
        <v>3431</v>
      </c>
      <c r="H43" s="231">
        <f ca="1">+'Changes in Equity'!H21</f>
        <v>10747.255490698757</v>
      </c>
      <c r="I43" s="231">
        <f ca="1">+'Changes in Equity'!I21</f>
        <v>19362.602726727138</v>
      </c>
      <c r="J43" s="231">
        <f ca="1">+'Changes in Equity'!J21</f>
        <v>27801.025036776173</v>
      </c>
      <c r="K43" s="231">
        <f ca="1">+'Changes in Equity'!K21</f>
        <v>36107.904386415212</v>
      </c>
      <c r="L43" s="233">
        <f ca="1">+'Changes in Equity'!L21</f>
        <v>44041.940229450156</v>
      </c>
      <c r="M43" s="23"/>
      <c r="N43" s="23" t="s">
        <v>367</v>
      </c>
    </row>
    <row r="44" spans="1:14">
      <c r="A44" s="465" t="s">
        <v>114</v>
      </c>
      <c r="B44" s="466">
        <f>+B39+B40+B41+B42+B43</f>
        <v>23008</v>
      </c>
      <c r="C44" s="466">
        <f t="shared" ref="C44:G44" si="8">+C39+C40+C41+C42+C43</f>
        <v>22022</v>
      </c>
      <c r="D44" s="466">
        <f t="shared" si="8"/>
        <v>19354</v>
      </c>
      <c r="E44" s="466">
        <f t="shared" si="8"/>
        <v>29027</v>
      </c>
      <c r="F44" s="466">
        <f t="shared" si="8"/>
        <v>29928</v>
      </c>
      <c r="G44" s="466">
        <f t="shared" si="8"/>
        <v>33867</v>
      </c>
      <c r="H44" s="466">
        <f t="shared" ref="H44" ca="1" si="9">+H39+H40+H41+H42+H43</f>
        <v>39920.160024698758</v>
      </c>
      <c r="I44" s="466">
        <f t="shared" ref="I44" ca="1" si="10">+I39+I40+I41+I42+I43</f>
        <v>47050.268881780474</v>
      </c>
      <c r="J44" s="466">
        <f t="shared" ref="J44" ca="1" si="11">+J39+J40+J41+J42+J43</f>
        <v>53950.832089787924</v>
      </c>
      <c r="K44" s="466">
        <f t="shared" ref="K44" ca="1" si="12">+K39+K40+K41+K42+K43</f>
        <v>60664.919328594726</v>
      </c>
      <c r="L44" s="467">
        <f t="shared" ref="L44" ca="1" si="13">+L39+L40+L41+L42+L43</f>
        <v>66931.337581126398</v>
      </c>
      <c r="M44" s="23"/>
      <c r="N44" s="23"/>
    </row>
    <row r="45" spans="1:14">
      <c r="A45" s="234" t="s">
        <v>268</v>
      </c>
      <c r="B45" s="235">
        <v>34</v>
      </c>
      <c r="C45" s="235">
        <v>48</v>
      </c>
      <c r="D45" s="235">
        <v>0</v>
      </c>
      <c r="E45" s="235">
        <v>0</v>
      </c>
      <c r="F45" s="235">
        <v>0</v>
      </c>
      <c r="G45" s="236">
        <v>0</v>
      </c>
      <c r="H45" s="235">
        <v>0</v>
      </c>
      <c r="I45" s="235">
        <v>0</v>
      </c>
      <c r="J45" s="235">
        <v>0</v>
      </c>
      <c r="K45" s="235">
        <v>0</v>
      </c>
      <c r="L45" s="237">
        <v>0</v>
      </c>
      <c r="M45" s="23"/>
      <c r="N45" s="23"/>
    </row>
    <row r="46" spans="1:14">
      <c r="A46" s="455" t="s">
        <v>115</v>
      </c>
      <c r="B46" s="463">
        <v>837</v>
      </c>
      <c r="C46" s="463">
        <v>-209</v>
      </c>
      <c r="D46" s="463">
        <v>179</v>
      </c>
      <c r="E46" s="463">
        <v>178</v>
      </c>
      <c r="F46" s="463">
        <v>181</v>
      </c>
      <c r="G46" s="463">
        <v>175</v>
      </c>
      <c r="H46" s="463">
        <v>185</v>
      </c>
      <c r="I46" s="463">
        <v>185</v>
      </c>
      <c r="J46" s="463">
        <v>185</v>
      </c>
      <c r="K46" s="463">
        <v>185</v>
      </c>
      <c r="L46" s="464">
        <v>185</v>
      </c>
      <c r="M46" s="23"/>
      <c r="N46" s="23" t="s">
        <v>301</v>
      </c>
    </row>
    <row r="47" spans="1:14">
      <c r="A47" s="234" t="s">
        <v>116</v>
      </c>
      <c r="B47" s="235">
        <f>+B44+B45+B46</f>
        <v>23879</v>
      </c>
      <c r="C47" s="235">
        <f>+C44+C45+C46</f>
        <v>21861</v>
      </c>
      <c r="D47" s="235">
        <f t="shared" ref="D47:L47" si="14">+D44+D45+D46</f>
        <v>19533</v>
      </c>
      <c r="E47" s="235">
        <f t="shared" si="14"/>
        <v>29205</v>
      </c>
      <c r="F47" s="235">
        <f t="shared" si="14"/>
        <v>30109</v>
      </c>
      <c r="G47" s="236">
        <f t="shared" si="14"/>
        <v>34042</v>
      </c>
      <c r="H47" s="235">
        <f t="shared" ca="1" si="14"/>
        <v>40105.160024698758</v>
      </c>
      <c r="I47" s="235">
        <f t="shared" ca="1" si="14"/>
        <v>47235.268881780474</v>
      </c>
      <c r="J47" s="235">
        <f t="shared" ca="1" si="14"/>
        <v>54135.832089787924</v>
      </c>
      <c r="K47" s="235">
        <f t="shared" ca="1" si="14"/>
        <v>60849.919328594726</v>
      </c>
      <c r="L47" s="237">
        <f t="shared" ca="1" si="14"/>
        <v>67116.337581126398</v>
      </c>
      <c r="M47" s="23"/>
      <c r="N47" s="23"/>
    </row>
    <row r="48" spans="1:14" ht="15" thickBot="1">
      <c r="A48" s="220" t="s">
        <v>117</v>
      </c>
      <c r="B48" s="568">
        <f>+B37+B47</f>
        <v>41369</v>
      </c>
      <c r="C48" s="568">
        <f t="shared" ref="C48:F48" si="15">+C37+C47</f>
        <v>40564</v>
      </c>
      <c r="D48" s="568">
        <f t="shared" si="15"/>
        <v>38482</v>
      </c>
      <c r="E48" s="568">
        <f t="shared" si="15"/>
        <v>55506</v>
      </c>
      <c r="F48" s="568">
        <f t="shared" si="15"/>
        <v>56349</v>
      </c>
      <c r="G48" s="569">
        <f>+G37+G47</f>
        <v>57121</v>
      </c>
      <c r="H48" s="568">
        <f t="shared" ref="H48:L48" ca="1" si="16">+H37+H47</f>
        <v>62116.664551253474</v>
      </c>
      <c r="I48" s="568">
        <f t="shared" ca="1" si="16"/>
        <v>72367.501013296715</v>
      </c>
      <c r="J48" s="568">
        <f t="shared" ca="1" si="16"/>
        <v>80778.893526046973</v>
      </c>
      <c r="K48" s="568">
        <f t="shared" ca="1" si="16"/>
        <v>89018.33399397324</v>
      </c>
      <c r="L48" s="570">
        <f t="shared" ca="1" si="16"/>
        <v>96907.914981729176</v>
      </c>
      <c r="M48" s="23"/>
      <c r="N48" s="23"/>
    </row>
    <row r="49" spans="1:14">
      <c r="A49" s="23"/>
      <c r="B49" s="164"/>
      <c r="C49" s="164"/>
      <c r="D49" s="164"/>
      <c r="E49" s="164"/>
      <c r="F49" s="164"/>
      <c r="G49" s="164"/>
      <c r="H49" s="164"/>
      <c r="I49" s="23"/>
      <c r="J49" s="23"/>
      <c r="K49" s="23"/>
      <c r="L49" s="23"/>
      <c r="M49" s="23"/>
      <c r="N49" s="23"/>
    </row>
    <row r="50" spans="1:14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</row>
    <row r="51" spans="1:14">
      <c r="A51" s="172" t="s">
        <v>269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</row>
    <row r="52" spans="1:14" ht="15" thickBo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</row>
    <row r="53" spans="1:14">
      <c r="A53" s="153" t="s">
        <v>263</v>
      </c>
      <c r="B53" s="154">
        <v>2020</v>
      </c>
      <c r="C53" s="154">
        <v>2021</v>
      </c>
      <c r="D53" s="154">
        <v>2022</v>
      </c>
      <c r="E53" s="154">
        <v>2023</v>
      </c>
      <c r="F53" s="154">
        <v>2024</v>
      </c>
      <c r="G53" s="154">
        <v>2025</v>
      </c>
      <c r="H53" s="155" t="s">
        <v>3</v>
      </c>
      <c r="I53" s="155" t="s">
        <v>4</v>
      </c>
      <c r="J53" s="155" t="s">
        <v>5</v>
      </c>
      <c r="K53" s="155" t="s">
        <v>6</v>
      </c>
      <c r="L53" s="156" t="s">
        <v>7</v>
      </c>
      <c r="M53" s="23"/>
      <c r="N53" s="23"/>
    </row>
    <row r="54" spans="1:14">
      <c r="A54" s="157" t="s">
        <v>76</v>
      </c>
      <c r="B54" s="164"/>
      <c r="C54" s="164"/>
      <c r="D54" s="164"/>
      <c r="E54" s="164"/>
      <c r="F54" s="164"/>
      <c r="G54" s="164"/>
      <c r="H54" s="23"/>
      <c r="I54" s="23"/>
      <c r="J54" s="23"/>
      <c r="K54" s="23"/>
      <c r="L54" s="158"/>
      <c r="M54" s="23"/>
      <c r="N54" s="23"/>
    </row>
    <row r="55" spans="1:14">
      <c r="A55" s="157" t="s">
        <v>77</v>
      </c>
      <c r="B55" s="221">
        <f>B5/'Income statement'!B3</f>
        <v>3.9053666173784467E-2</v>
      </c>
      <c r="C55" s="221">
        <f>C5/'Income statement'!C3</f>
        <v>2.7573228604156438E-2</v>
      </c>
      <c r="D55" s="221">
        <f>D5/'Income statement'!D3</f>
        <v>3.0717582878724298E-2</v>
      </c>
      <c r="E55" s="221">
        <f>E5/'Income statement'!E3</f>
        <v>6.2140196410430074E-2</v>
      </c>
      <c r="F55" s="221">
        <f>F5/'Income statement'!F3</f>
        <v>5.6524997323627021E-2</v>
      </c>
      <c r="G55" s="221">
        <f>G5/'Income statement'!G3</f>
        <v>4.7068684106047906E-2</v>
      </c>
      <c r="H55" s="226">
        <v>0.05</v>
      </c>
      <c r="I55" s="226">
        <v>0.05</v>
      </c>
      <c r="J55" s="226">
        <v>0.05</v>
      </c>
      <c r="K55" s="226">
        <v>0.05</v>
      </c>
      <c r="L55" s="242">
        <v>0.05</v>
      </c>
      <c r="M55" s="23"/>
      <c r="N55" s="23"/>
    </row>
    <row r="56" spans="1:14">
      <c r="A56" s="157" t="s">
        <v>78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158"/>
      <c r="M56" s="23"/>
      <c r="N56" s="23"/>
    </row>
    <row r="57" spans="1:14">
      <c r="A57" s="157" t="s">
        <v>79</v>
      </c>
      <c r="B57" s="23"/>
      <c r="C57" s="23"/>
      <c r="D57" s="23"/>
      <c r="E57" s="164"/>
      <c r="F57" s="164"/>
      <c r="G57" s="164"/>
      <c r="H57" s="36"/>
      <c r="I57" s="36"/>
      <c r="J57" s="36"/>
      <c r="K57" s="36"/>
      <c r="L57" s="159"/>
      <c r="M57" s="23"/>
      <c r="N57" s="23"/>
    </row>
    <row r="58" spans="1:14">
      <c r="A58" s="157" t="s">
        <v>80</v>
      </c>
      <c r="B58" s="23"/>
      <c r="C58" s="23"/>
      <c r="D58" s="23"/>
      <c r="E58" s="23"/>
      <c r="F58" s="23"/>
      <c r="G58" s="23"/>
      <c r="H58" s="36"/>
      <c r="I58" s="36"/>
      <c r="J58" s="36"/>
      <c r="K58" s="36"/>
      <c r="L58" s="159"/>
      <c r="M58" s="23"/>
      <c r="N58" s="23"/>
    </row>
    <row r="59" spans="1:14">
      <c r="A59" s="157" t="s">
        <v>81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158"/>
      <c r="M59" s="23"/>
      <c r="N59" s="23"/>
    </row>
    <row r="60" spans="1:14">
      <c r="A60" s="157" t="s">
        <v>82</v>
      </c>
      <c r="B60" s="221">
        <f>B10/'Income statement'!B3</f>
        <v>3.7922936418196052E-2</v>
      </c>
      <c r="C60" s="221">
        <f>C10/'Income statement'!C3</f>
        <v>4.0746195385370644E-2</v>
      </c>
      <c r="D60" s="221">
        <f>D10/'Income statement'!D3</f>
        <v>5.3629878304657992E-2</v>
      </c>
      <c r="E60" s="221">
        <f>E10/'Income statement'!E3</f>
        <v>7.7294277006434139E-2</v>
      </c>
      <c r="F60" s="221">
        <f>F10/'Income statement'!F3</f>
        <v>4.2072583235199655E-2</v>
      </c>
      <c r="G60" s="222">
        <f>G10/'Income statement'!G3</f>
        <v>4.7156910318055495E-2</v>
      </c>
      <c r="H60" s="224">
        <v>0.05</v>
      </c>
      <c r="I60" s="224">
        <v>0.05</v>
      </c>
      <c r="J60" s="224">
        <v>0.05</v>
      </c>
      <c r="K60" s="224">
        <v>0.05</v>
      </c>
      <c r="L60" s="225">
        <v>0.05</v>
      </c>
      <c r="M60" s="23"/>
      <c r="N60" s="23"/>
    </row>
    <row r="61" spans="1:14">
      <c r="A61" s="157" t="s">
        <v>83</v>
      </c>
      <c r="B61" s="23"/>
      <c r="C61" s="23"/>
      <c r="D61" s="23"/>
      <c r="E61" s="23"/>
      <c r="F61" s="164"/>
      <c r="G61" s="23"/>
      <c r="H61" s="23"/>
      <c r="I61" s="23"/>
      <c r="J61" s="23"/>
      <c r="K61" s="23"/>
      <c r="L61" s="158"/>
      <c r="M61" s="23"/>
      <c r="N61" s="23"/>
    </row>
    <row r="62" spans="1:14">
      <c r="A62" s="243" t="s">
        <v>84</v>
      </c>
      <c r="B62" s="218"/>
      <c r="C62" s="218"/>
      <c r="D62" s="218"/>
      <c r="E62" s="218"/>
      <c r="F62" s="218"/>
      <c r="G62" s="218"/>
      <c r="H62" s="218"/>
      <c r="I62" s="218"/>
      <c r="J62" s="218"/>
      <c r="K62" s="218"/>
      <c r="L62" s="219"/>
      <c r="M62" s="23"/>
      <c r="N62" s="23"/>
    </row>
    <row r="63" spans="1:14">
      <c r="A63" s="157" t="s">
        <v>85</v>
      </c>
      <c r="B63" s="164"/>
      <c r="C63" s="164"/>
      <c r="D63" s="164"/>
      <c r="E63" s="164"/>
      <c r="F63" s="164"/>
      <c r="G63" s="164"/>
      <c r="H63" s="23"/>
      <c r="I63" s="23"/>
      <c r="J63" s="23"/>
      <c r="K63" s="23"/>
      <c r="L63" s="158"/>
      <c r="M63" s="23"/>
      <c r="N63" s="23"/>
    </row>
    <row r="64" spans="1:14">
      <c r="A64" s="157" t="s">
        <v>86</v>
      </c>
      <c r="B64" s="164"/>
      <c r="C64" s="164"/>
      <c r="D64" s="164"/>
      <c r="E64" s="164"/>
      <c r="F64" s="164"/>
      <c r="G64" s="164"/>
      <c r="H64" s="23"/>
      <c r="I64" s="23"/>
      <c r="J64" s="23"/>
      <c r="K64" s="23"/>
      <c r="L64" s="158"/>
      <c r="M64" s="23"/>
      <c r="N64" s="23"/>
    </row>
    <row r="65" spans="1:14">
      <c r="A65" s="157" t="s">
        <v>87</v>
      </c>
      <c r="B65" s="164"/>
      <c r="C65" s="164"/>
      <c r="D65" s="164"/>
      <c r="E65" s="164"/>
      <c r="F65" s="164"/>
      <c r="G65" s="164"/>
      <c r="H65" s="36"/>
      <c r="I65" s="36"/>
      <c r="J65" s="36"/>
      <c r="K65" s="36"/>
      <c r="L65" s="159"/>
      <c r="M65" s="23"/>
      <c r="N65" s="23"/>
    </row>
    <row r="66" spans="1:14">
      <c r="A66" s="157" t="s">
        <v>88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158"/>
      <c r="M66" s="23"/>
      <c r="N66" s="23"/>
    </row>
    <row r="67" spans="1:14">
      <c r="A67" s="157" t="s">
        <v>89</v>
      </c>
      <c r="B67" s="164"/>
      <c r="C67" s="164"/>
      <c r="D67" s="164"/>
      <c r="E67" s="164"/>
      <c r="F67" s="164"/>
      <c r="G67" s="164"/>
      <c r="H67" s="23"/>
      <c r="I67" s="23"/>
      <c r="J67" s="23"/>
      <c r="K67" s="23"/>
      <c r="L67" s="158"/>
      <c r="M67" s="23"/>
      <c r="N67" s="23"/>
    </row>
    <row r="68" spans="1:14">
      <c r="A68" s="157" t="s">
        <v>90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158"/>
      <c r="M68" s="23"/>
      <c r="N68" s="23"/>
    </row>
    <row r="69" spans="1:14">
      <c r="A69" s="157" t="s">
        <v>91</v>
      </c>
      <c r="B69" s="221">
        <f t="shared" ref="B69:G69" si="17">B19/B32</f>
        <v>0.1500785751702462</v>
      </c>
      <c r="C69" s="221">
        <f t="shared" si="17"/>
        <v>0.11748587086829937</v>
      </c>
      <c r="D69" s="221">
        <f t="shared" si="17"/>
        <v>0.1149285497111584</v>
      </c>
      <c r="E69" s="221">
        <f t="shared" si="17"/>
        <v>7.8364148402106037E-2</v>
      </c>
      <c r="F69" s="221">
        <f t="shared" si="17"/>
        <v>0.13543947450735064</v>
      </c>
      <c r="G69" s="222">
        <f t="shared" si="17"/>
        <v>0.22963315864697476</v>
      </c>
      <c r="H69" s="244">
        <f>G69</f>
        <v>0.22963315864697476</v>
      </c>
      <c r="I69" s="244">
        <f>H69</f>
        <v>0.22963315864697476</v>
      </c>
      <c r="J69" s="244">
        <f>I69</f>
        <v>0.22963315864697476</v>
      </c>
      <c r="K69" s="244">
        <f>J69</f>
        <v>0.22963315864697476</v>
      </c>
      <c r="L69" s="245">
        <f>K69</f>
        <v>0.22963315864697476</v>
      </c>
      <c r="M69" s="23"/>
      <c r="N69" s="23"/>
    </row>
    <row r="70" spans="1:14">
      <c r="A70" s="234" t="s">
        <v>92</v>
      </c>
      <c r="B70" s="246"/>
      <c r="C70" s="246"/>
      <c r="D70" s="246"/>
      <c r="E70" s="246"/>
      <c r="F70" s="246"/>
      <c r="G70" s="246"/>
      <c r="H70" s="23"/>
      <c r="I70" s="23"/>
      <c r="J70" s="23"/>
      <c r="K70" s="23"/>
      <c r="L70" s="158"/>
      <c r="M70" s="23"/>
      <c r="N70" s="23"/>
    </row>
    <row r="71" spans="1:14">
      <c r="A71" s="157"/>
      <c r="B71" s="164"/>
      <c r="C71" s="164"/>
      <c r="D71" s="164"/>
      <c r="E71" s="164"/>
      <c r="F71" s="164"/>
      <c r="G71" s="164"/>
      <c r="H71" s="23"/>
      <c r="I71" s="23"/>
      <c r="J71" s="23"/>
      <c r="K71" s="23"/>
      <c r="L71" s="158"/>
      <c r="M71" s="23"/>
      <c r="N71" s="23"/>
    </row>
    <row r="72" spans="1:14">
      <c r="A72" s="157" t="s">
        <v>93</v>
      </c>
      <c r="B72" s="221">
        <f>B22/'Income statement'!B3</f>
        <v>4.2880751500391404E-2</v>
      </c>
      <c r="C72" s="221">
        <f>C22/'Income statement'!C3</f>
        <v>4.2382588774341354E-2</v>
      </c>
      <c r="D72" s="221">
        <f>D22/'Income statement'!D3</f>
        <v>5.3126311372219889E-2</v>
      </c>
      <c r="E72" s="221">
        <f>E22/'Income statement'!E3</f>
        <v>8.127328140873688E-2</v>
      </c>
      <c r="F72" s="221">
        <f>F22/'Income statement'!F3</f>
        <v>4.5123648431645437E-2</v>
      </c>
      <c r="G72" s="222">
        <f>G22/'Income statement'!G3</f>
        <v>3.599629449909568E-2</v>
      </c>
      <c r="H72" s="244">
        <f>G72</f>
        <v>3.599629449909568E-2</v>
      </c>
      <c r="I72" s="244">
        <f t="shared" ref="I72:L74" si="18">H72</f>
        <v>3.599629449909568E-2</v>
      </c>
      <c r="J72" s="244">
        <f t="shared" si="18"/>
        <v>3.599629449909568E-2</v>
      </c>
      <c r="K72" s="244">
        <f t="shared" si="18"/>
        <v>3.599629449909568E-2</v>
      </c>
      <c r="L72" s="245">
        <f t="shared" si="18"/>
        <v>3.599629449909568E-2</v>
      </c>
      <c r="M72" s="23"/>
      <c r="N72" s="23"/>
    </row>
    <row r="73" spans="1:14">
      <c r="A73" s="157" t="s">
        <v>94</v>
      </c>
      <c r="B73" s="224">
        <f>B23/'Income statement'!B9</f>
        <v>1.4126394052044611</v>
      </c>
      <c r="C73" s="224">
        <f>C23/'Income statement'!C9</f>
        <v>1.4903474903474903</v>
      </c>
      <c r="D73" s="224">
        <f>D23/'Income statement'!D9</f>
        <v>1.4456521739130435</v>
      </c>
      <c r="E73" s="224">
        <f>E23/'Income statement'!E9</f>
        <v>1.8428093645484951</v>
      </c>
      <c r="F73" s="224">
        <f>F23/'Income statement'!F9</f>
        <v>1.4253393665158371</v>
      </c>
      <c r="G73" s="247">
        <f>G23/'Income statement'!G9</f>
        <v>2.3507853403141361</v>
      </c>
      <c r="H73" s="248">
        <f>G73</f>
        <v>2.3507853403141361</v>
      </c>
      <c r="I73" s="248">
        <f t="shared" si="18"/>
        <v>2.3507853403141361</v>
      </c>
      <c r="J73" s="248">
        <f t="shared" si="18"/>
        <v>2.3507853403141361</v>
      </c>
      <c r="K73" s="248">
        <f t="shared" si="18"/>
        <v>2.3507853403141361</v>
      </c>
      <c r="L73" s="249">
        <f t="shared" si="18"/>
        <v>2.3507853403141361</v>
      </c>
      <c r="M73" s="23"/>
      <c r="N73" s="23"/>
    </row>
    <row r="74" spans="1:14">
      <c r="A74" s="157" t="s">
        <v>95</v>
      </c>
      <c r="B74" s="226">
        <f>B24/'Income statement'!B18</f>
        <v>-0.93323863636363635</v>
      </c>
      <c r="C74" s="226">
        <f>C24/'Income statement'!C18</f>
        <v>-0.34972677595628415</v>
      </c>
      <c r="D74" s="226">
        <f>D24/'Income statement'!D18</f>
        <v>-0.43736263736263736</v>
      </c>
      <c r="E74" s="226">
        <f>E24/'Income statement'!E18</f>
        <v>-0.16730038022813687</v>
      </c>
      <c r="F74" s="226">
        <f>F24/'Income statement'!F18</f>
        <v>-0.27272727272727271</v>
      </c>
      <c r="G74" s="226">
        <f>G24/'Income statement'!G18</f>
        <v>-0.25848563968668409</v>
      </c>
      <c r="H74" s="228">
        <f>AVERAGE(E74:G74)</f>
        <v>-0.23283776421403121</v>
      </c>
      <c r="I74" s="228">
        <f t="shared" si="18"/>
        <v>-0.23283776421403121</v>
      </c>
      <c r="J74" s="228">
        <f t="shared" si="18"/>
        <v>-0.23283776421403121</v>
      </c>
      <c r="K74" s="228">
        <f t="shared" si="18"/>
        <v>-0.23283776421403121</v>
      </c>
      <c r="L74" s="229">
        <f t="shared" si="18"/>
        <v>-0.23283776421403121</v>
      </c>
      <c r="M74" s="23"/>
      <c r="N74" s="23"/>
    </row>
    <row r="75" spans="1:14">
      <c r="A75" s="157" t="s">
        <v>96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158"/>
      <c r="M75" s="23"/>
      <c r="N75" s="23"/>
    </row>
    <row r="76" spans="1:14">
      <c r="A76" s="157" t="s">
        <v>97</v>
      </c>
      <c r="B76" s="23"/>
      <c r="C76" s="23"/>
      <c r="D76" s="23"/>
      <c r="E76" s="164"/>
      <c r="F76" s="23"/>
      <c r="G76" s="23"/>
      <c r="H76" s="23"/>
      <c r="I76" s="23"/>
      <c r="J76" s="23"/>
      <c r="K76" s="23"/>
      <c r="L76" s="158"/>
      <c r="M76" s="23"/>
      <c r="N76" s="23"/>
    </row>
    <row r="77" spans="1:14">
      <c r="A77" s="157" t="s">
        <v>98</v>
      </c>
      <c r="B77" s="224">
        <f>B27/'Income statement'!B4</f>
        <v>0.23573992820103709</v>
      </c>
      <c r="C77" s="224">
        <f>C27/'Income statement'!C4</f>
        <v>0.21582336706531738</v>
      </c>
      <c r="D77" s="224">
        <f>D27/'Income statement'!D4</f>
        <v>0.24721706864564008</v>
      </c>
      <c r="E77" s="224">
        <f>E27/'Income statement'!E4</f>
        <v>0.35258993879683537</v>
      </c>
      <c r="F77" s="224">
        <f>F27/'Income statement'!F4</f>
        <v>0.27680464130313509</v>
      </c>
      <c r="G77" s="224">
        <f>G27/'Income statement'!G4</f>
        <v>0.33296227581941867</v>
      </c>
      <c r="H77" s="228">
        <f>AVERAGE(E77:G77)</f>
        <v>0.32078561863979638</v>
      </c>
      <c r="I77" s="248">
        <f>H77</f>
        <v>0.32078561863979638</v>
      </c>
      <c r="J77" s="248">
        <f>I77</f>
        <v>0.32078561863979638</v>
      </c>
      <c r="K77" s="248">
        <f>J77</f>
        <v>0.32078561863979638</v>
      </c>
      <c r="L77" s="249">
        <f>K77</f>
        <v>0.32078561863979638</v>
      </c>
      <c r="M77" s="23"/>
      <c r="N77" s="23"/>
    </row>
    <row r="78" spans="1:14">
      <c r="A78" s="157" t="s">
        <v>99</v>
      </c>
      <c r="B78" s="23"/>
      <c r="C78" s="23"/>
      <c r="D78" s="23"/>
      <c r="E78" s="23"/>
      <c r="F78" s="164"/>
      <c r="G78" s="23"/>
      <c r="H78" s="23"/>
      <c r="I78" s="23"/>
      <c r="J78" s="23"/>
      <c r="K78" s="23"/>
      <c r="L78" s="158"/>
      <c r="M78" s="23"/>
      <c r="N78" s="23"/>
    </row>
    <row r="79" spans="1:14">
      <c r="A79" s="243" t="s">
        <v>100</v>
      </c>
      <c r="B79" s="218"/>
      <c r="C79" s="218"/>
      <c r="D79" s="218"/>
      <c r="E79" s="218"/>
      <c r="F79" s="218"/>
      <c r="G79" s="218"/>
      <c r="H79" s="23"/>
      <c r="I79" s="23"/>
      <c r="J79" s="23"/>
      <c r="K79" s="23"/>
      <c r="L79" s="158"/>
      <c r="M79" s="23"/>
      <c r="N79" s="23"/>
    </row>
    <row r="80" spans="1:14">
      <c r="A80" s="157" t="s">
        <v>101</v>
      </c>
      <c r="B80" s="224">
        <f t="shared" ref="B80:G80" si="19">B30/B13</f>
        <v>0.2256908694040608</v>
      </c>
      <c r="C80" s="224">
        <f t="shared" si="19"/>
        <v>0.23068313712485491</v>
      </c>
      <c r="D80" s="224">
        <f t="shared" si="19"/>
        <v>0.23142109417189383</v>
      </c>
      <c r="E80" s="224">
        <f>E30/E13</f>
        <v>0.18504911748262917</v>
      </c>
      <c r="F80" s="224">
        <f t="shared" si="19"/>
        <v>0.22511700002980892</v>
      </c>
      <c r="G80" s="247">
        <f t="shared" si="19"/>
        <v>0.15355749024317022</v>
      </c>
      <c r="H80" s="224">
        <v>0.15</v>
      </c>
      <c r="I80" s="224">
        <v>0.15</v>
      </c>
      <c r="J80" s="224">
        <v>0.15</v>
      </c>
      <c r="K80" s="224">
        <v>0.15</v>
      </c>
      <c r="L80" s="225">
        <v>0.15</v>
      </c>
      <c r="M80" s="23"/>
      <c r="N80" s="23"/>
    </row>
    <row r="81" spans="1:14">
      <c r="A81" s="157" t="s">
        <v>102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158"/>
      <c r="M81" s="23"/>
      <c r="N81" s="23"/>
    </row>
    <row r="82" spans="1:14">
      <c r="A82" s="157" t="s">
        <v>103</v>
      </c>
      <c r="B82" s="164"/>
      <c r="C82" s="164"/>
      <c r="D82" s="164"/>
      <c r="E82" s="164"/>
      <c r="F82" s="164"/>
      <c r="G82" s="164"/>
      <c r="H82" s="23"/>
      <c r="I82" s="23"/>
      <c r="J82" s="23"/>
      <c r="K82" s="23"/>
      <c r="L82" s="158"/>
      <c r="M82" s="23"/>
      <c r="N82" s="23"/>
    </row>
    <row r="83" spans="1:14">
      <c r="A83" s="157" t="s">
        <v>104</v>
      </c>
      <c r="B83" s="224">
        <f>B33/'Income statement'!B3</f>
        <v>0.18030790641036792</v>
      </c>
      <c r="C83" s="224">
        <f>C33/'Income statement'!C3</f>
        <v>0.17542137129765994</v>
      </c>
      <c r="D83" s="224">
        <f>D33/'Income statement'!D3</f>
        <v>0.15182543013008812</v>
      </c>
      <c r="E83" s="224">
        <f>E33/'Income statement'!E3</f>
        <v>0.25287842871655941</v>
      </c>
      <c r="F83" s="224">
        <f>F33/'Income statement'!F3</f>
        <v>0.1509474360346858</v>
      </c>
      <c r="G83" s="247">
        <f>G33/'Income statement'!G3</f>
        <v>0.17843751378534561</v>
      </c>
      <c r="H83" s="248">
        <v>0.09</v>
      </c>
      <c r="I83" s="248">
        <v>0.09</v>
      </c>
      <c r="J83" s="248">
        <v>0.09</v>
      </c>
      <c r="K83" s="248">
        <v>0.09</v>
      </c>
      <c r="L83" s="249">
        <v>0.09</v>
      </c>
      <c r="M83" s="23"/>
      <c r="N83" s="23"/>
    </row>
    <row r="84" spans="1:14">
      <c r="A84" s="157" t="s">
        <v>105</v>
      </c>
      <c r="B84" s="224">
        <f>B34/'Income statement'!B9</f>
        <v>1.8327137546468402</v>
      </c>
      <c r="C84" s="224">
        <f>C34/'Income statement'!C9</f>
        <v>1.6949806949806949</v>
      </c>
      <c r="D84" s="224">
        <f>D34/'Income statement'!D9</f>
        <v>1.2391304347826086</v>
      </c>
      <c r="E84" s="224">
        <f>E34/'Income statement'!E9</f>
        <v>2.1906354515050168</v>
      </c>
      <c r="F84" s="224">
        <f>F34/'Income statement'!F9</f>
        <v>1.255656108597285</v>
      </c>
      <c r="G84" s="247">
        <f>G34/'Income statement'!G9</f>
        <v>1.6596858638743455</v>
      </c>
      <c r="H84" s="224">
        <f>G84</f>
        <v>1.6596858638743455</v>
      </c>
      <c r="I84" s="224">
        <f t="shared" ref="I84:L84" si="20">H84</f>
        <v>1.6596858638743455</v>
      </c>
      <c r="J84" s="224">
        <f t="shared" si="20"/>
        <v>1.6596858638743455</v>
      </c>
      <c r="K84" s="224">
        <f t="shared" si="20"/>
        <v>1.6596858638743455</v>
      </c>
      <c r="L84" s="225">
        <f t="shared" si="20"/>
        <v>1.6596858638743455</v>
      </c>
      <c r="M84" s="23"/>
      <c r="N84" s="23"/>
    </row>
    <row r="85" spans="1:14">
      <c r="A85" s="157" t="s">
        <v>106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158"/>
      <c r="M85" s="23"/>
      <c r="N85" s="23"/>
    </row>
    <row r="86" spans="1:14">
      <c r="A86" s="157" t="s">
        <v>107</v>
      </c>
      <c r="B86" s="221">
        <f>B36/'Income statement'!B3</f>
        <v>6.0798469165869354E-2</v>
      </c>
      <c r="C86" s="221">
        <f>C36/'Income statement'!C3</f>
        <v>4.9746359024709537E-2</v>
      </c>
      <c r="D86" s="221">
        <f>D36/'Income statement'!D3</f>
        <v>3.6088963491397397E-2</v>
      </c>
      <c r="E86" s="221">
        <f>E36/'Income statement'!E3</f>
        <v>2.6752455130375889E-2</v>
      </c>
      <c r="F86" s="221">
        <f>F36/'Income statement'!F3</f>
        <v>1.5415908360989187E-2</v>
      </c>
      <c r="G86" s="222">
        <f>G36/'Income statement'!G3</f>
        <v>1.420442013322158E-2</v>
      </c>
      <c r="H86" s="244">
        <f>G86</f>
        <v>1.420442013322158E-2</v>
      </c>
      <c r="I86" s="244">
        <f>H86</f>
        <v>1.420442013322158E-2</v>
      </c>
      <c r="J86" s="244">
        <f>I86</f>
        <v>1.420442013322158E-2</v>
      </c>
      <c r="K86" s="244">
        <f>J86</f>
        <v>1.420442013322158E-2</v>
      </c>
      <c r="L86" s="245">
        <f>K86</f>
        <v>1.420442013322158E-2</v>
      </c>
      <c r="M86" s="23"/>
      <c r="N86" s="23"/>
    </row>
    <row r="87" spans="1:14">
      <c r="A87" s="234" t="s">
        <v>108</v>
      </c>
      <c r="B87" s="246"/>
      <c r="C87" s="246"/>
      <c r="D87" s="246"/>
      <c r="E87" s="246"/>
      <c r="F87" s="246"/>
      <c r="G87" s="246"/>
      <c r="H87" s="23"/>
      <c r="I87" s="23"/>
      <c r="J87" s="23"/>
      <c r="K87" s="23"/>
      <c r="L87" s="158"/>
      <c r="M87" s="23"/>
      <c r="N87" s="23"/>
    </row>
    <row r="88" spans="1:14">
      <c r="A88" s="157"/>
      <c r="B88" s="164"/>
      <c r="C88" s="164"/>
      <c r="D88" s="164"/>
      <c r="E88" s="164"/>
      <c r="F88" s="164"/>
      <c r="G88" s="164"/>
      <c r="H88" s="23"/>
      <c r="I88" s="23"/>
      <c r="J88" s="23"/>
      <c r="K88" s="23"/>
      <c r="L88" s="158"/>
      <c r="M88" s="23"/>
      <c r="N88" s="23"/>
    </row>
    <row r="89" spans="1:14">
      <c r="A89" s="157" t="s">
        <v>109</v>
      </c>
      <c r="B89" s="164"/>
      <c r="C89" s="164"/>
      <c r="D89" s="164"/>
      <c r="E89" s="164"/>
      <c r="F89" s="164"/>
      <c r="G89" s="164"/>
      <c r="H89" s="23"/>
      <c r="I89" s="23"/>
      <c r="J89" s="23"/>
      <c r="K89" s="23"/>
      <c r="L89" s="158"/>
      <c r="M89" s="23"/>
      <c r="N89" s="23"/>
    </row>
    <row r="90" spans="1:14">
      <c r="A90" s="157" t="s">
        <v>110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158"/>
      <c r="M90" s="23"/>
      <c r="N90" s="23"/>
    </row>
    <row r="91" spans="1:14">
      <c r="A91" s="157" t="s">
        <v>111</v>
      </c>
      <c r="B91" s="164"/>
      <c r="C91" s="164"/>
      <c r="D91" s="164"/>
      <c r="E91" s="164"/>
      <c r="F91" s="164"/>
      <c r="G91" s="164"/>
      <c r="H91" s="23"/>
      <c r="I91" s="23"/>
      <c r="J91" s="23"/>
      <c r="K91" s="23"/>
      <c r="L91" s="158"/>
      <c r="M91" s="23"/>
      <c r="N91" s="23"/>
    </row>
    <row r="92" spans="1:14">
      <c r="A92" s="157" t="s">
        <v>112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158"/>
      <c r="M92" s="23"/>
      <c r="N92" s="23"/>
    </row>
    <row r="93" spans="1:14">
      <c r="A93" s="157" t="s">
        <v>113</v>
      </c>
      <c r="B93" s="164"/>
      <c r="C93" s="164"/>
      <c r="D93" s="23"/>
      <c r="E93" s="164"/>
      <c r="F93" s="164"/>
      <c r="G93" s="164"/>
      <c r="H93" s="23"/>
      <c r="I93" s="23"/>
      <c r="J93" s="23"/>
      <c r="K93" s="23"/>
      <c r="L93" s="158"/>
      <c r="M93" s="23"/>
      <c r="N93" s="23"/>
    </row>
    <row r="94" spans="1:14">
      <c r="A94" s="157" t="s">
        <v>114</v>
      </c>
      <c r="B94" s="164"/>
      <c r="C94" s="164"/>
      <c r="D94" s="164"/>
      <c r="E94" s="164"/>
      <c r="F94" s="164"/>
      <c r="G94" s="164"/>
      <c r="H94" s="23"/>
      <c r="I94" s="23"/>
      <c r="J94" s="23"/>
      <c r="K94" s="23"/>
      <c r="L94" s="158"/>
      <c r="M94" s="23"/>
      <c r="N94" s="23"/>
    </row>
    <row r="95" spans="1:14">
      <c r="A95" s="157" t="s">
        <v>115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158"/>
      <c r="M95" s="23"/>
      <c r="N95" s="23"/>
    </row>
    <row r="96" spans="1:14">
      <c r="A96" s="157" t="s">
        <v>116</v>
      </c>
      <c r="B96" s="164"/>
      <c r="C96" s="164"/>
      <c r="D96" s="164"/>
      <c r="E96" s="164"/>
      <c r="F96" s="164"/>
      <c r="G96" s="164"/>
      <c r="H96" s="23"/>
      <c r="I96" s="23"/>
      <c r="J96" s="23"/>
      <c r="K96" s="23"/>
      <c r="L96" s="158"/>
      <c r="M96" s="23"/>
      <c r="N96" s="23"/>
    </row>
    <row r="97" spans="1:14" ht="15" thickBot="1">
      <c r="A97" s="238" t="s">
        <v>117</v>
      </c>
      <c r="B97" s="250"/>
      <c r="C97" s="250"/>
      <c r="D97" s="250"/>
      <c r="E97" s="250"/>
      <c r="F97" s="250"/>
      <c r="G97" s="250"/>
      <c r="H97" s="161"/>
      <c r="I97" s="161"/>
      <c r="J97" s="161"/>
      <c r="K97" s="161"/>
      <c r="L97" s="170"/>
      <c r="M97" s="23"/>
      <c r="N97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A793-1589-40AA-80B3-5C3C9C95CC4A}">
  <dimension ref="A2:I65"/>
  <sheetViews>
    <sheetView zoomScale="59" zoomScaleNormal="100" workbookViewId="0">
      <pane ySplit="4" topLeftCell="A5" activePane="bottomLeft" state="frozen"/>
      <selection pane="bottomLeft" activeCell="H16" sqref="H16"/>
    </sheetView>
  </sheetViews>
  <sheetFormatPr defaultColWidth="11.5546875" defaultRowHeight="14.4"/>
  <cols>
    <col min="1" max="1" width="44" bestFit="1" customWidth="1"/>
    <col min="2" max="2" width="17.6640625" bestFit="1" customWidth="1"/>
    <col min="3" max="6" width="16.44140625" bestFit="1" customWidth="1"/>
    <col min="7" max="7" width="17.33203125" bestFit="1" customWidth="1"/>
  </cols>
  <sheetData>
    <row r="2" spans="1:9">
      <c r="A2" s="172" t="s">
        <v>288</v>
      </c>
      <c r="B2" s="164">
        <f>+'Income statement'!G24</f>
        <v>7085</v>
      </c>
      <c r="C2" s="164">
        <f ca="1">+'Income statement'!H24</f>
        <v>10431.144623316219</v>
      </c>
      <c r="D2" s="164">
        <f ca="1">+'Income statement'!I24</f>
        <v>12232.445881786582</v>
      </c>
      <c r="E2" s="164">
        <f ca="1">+'Income statement'!J24</f>
        <v>12555.089305328791</v>
      </c>
      <c r="F2" s="164">
        <f ca="1">+'Income statement'!K24</f>
        <v>12920.844415846477</v>
      </c>
      <c r="G2" s="164">
        <f ca="1">+'Income statement'!L24</f>
        <v>13043.365908576558</v>
      </c>
    </row>
    <row r="3" spans="1:9" ht="15" thickBot="1">
      <c r="A3" s="23"/>
      <c r="B3" s="23"/>
      <c r="C3" s="23"/>
      <c r="D3" s="23"/>
      <c r="E3" s="23"/>
      <c r="F3" s="23"/>
      <c r="G3" s="23"/>
    </row>
    <row r="4" spans="1:9">
      <c r="A4" s="251" t="s">
        <v>263</v>
      </c>
      <c r="B4" s="252" t="s">
        <v>406</v>
      </c>
      <c r="C4" s="252" t="s">
        <v>3</v>
      </c>
      <c r="D4" s="252" t="s">
        <v>4</v>
      </c>
      <c r="E4" s="252" t="s">
        <v>5</v>
      </c>
      <c r="F4" s="252" t="s">
        <v>6</v>
      </c>
      <c r="G4" s="253" t="s">
        <v>7</v>
      </c>
    </row>
    <row r="5" spans="1:9">
      <c r="A5" s="254" t="s">
        <v>76</v>
      </c>
      <c r="B5" s="255"/>
      <c r="C5" s="255"/>
      <c r="D5" s="255"/>
      <c r="E5" s="255"/>
      <c r="F5" s="255"/>
      <c r="G5" s="256"/>
    </row>
    <row r="6" spans="1:9">
      <c r="A6" s="157" t="s">
        <v>77</v>
      </c>
      <c r="B6" s="36">
        <f>+'Balance sheet'!F5-'Balance sheet'!G5</f>
        <v>-11</v>
      </c>
      <c r="C6" s="36">
        <f>+'Balance sheet'!G5-'Balance sheet'!H5</f>
        <v>-313.53855000000021</v>
      </c>
      <c r="D6" s="36">
        <f>+'Balance sheet'!H5-'Balance sheet'!I5</f>
        <v>-199.50227866666637</v>
      </c>
      <c r="E6" s="36">
        <f>+'Balance sheet'!I5-'Balance sheet'!J5</f>
        <v>-55.979492654166734</v>
      </c>
      <c r="F6" s="36">
        <f>+'Balance sheet'!J5-'Balance sheet'!K5</f>
        <v>-58.439371053883406</v>
      </c>
      <c r="G6" s="159">
        <f>+'Balance sheet'!K5-'Balance sheet'!L5</f>
        <v>-42.641964399524113</v>
      </c>
      <c r="I6" s="15"/>
    </row>
    <row r="7" spans="1:9">
      <c r="A7" s="455" t="s">
        <v>78</v>
      </c>
      <c r="B7" s="459">
        <f>+'Balance sheet'!F6-'Balance sheet'!G6</f>
        <v>-573</v>
      </c>
      <c r="C7" s="459">
        <f>+'Balance sheet'!G6-'Balance sheet'!H6</f>
        <v>-406</v>
      </c>
      <c r="D7" s="459">
        <f>+'Balance sheet'!H6-'Balance sheet'!I6</f>
        <v>-500</v>
      </c>
      <c r="E7" s="459">
        <f>+'Balance sheet'!I6-'Balance sheet'!J6</f>
        <v>-500</v>
      </c>
      <c r="F7" s="459">
        <f>+'Balance sheet'!J6-'Balance sheet'!K6</f>
        <v>-500</v>
      </c>
      <c r="G7" s="460">
        <f>+'Balance sheet'!K6-'Balance sheet'!L6</f>
        <v>-500</v>
      </c>
    </row>
    <row r="8" spans="1:9">
      <c r="A8" s="157" t="s">
        <v>79</v>
      </c>
      <c r="B8" s="36">
        <f>+'Balance sheet'!F7-'Balance sheet'!G7</f>
        <v>-89</v>
      </c>
      <c r="C8" s="36">
        <f>+'Balance sheet'!G7-'Balance sheet'!H7</f>
        <v>71.228687778157337</v>
      </c>
      <c r="D8" s="36">
        <f>+'Balance sheet'!H7-'Balance sheet'!I7</f>
        <v>-179.57419770970682</v>
      </c>
      <c r="E8" s="36">
        <f>+'Balance sheet'!I7-'Balance sheet'!J7</f>
        <v>-45.174607836285531</v>
      </c>
      <c r="F8" s="36">
        <f>+'Balance sheet'!J7-'Balance sheet'!K7</f>
        <v>-47.772016458205371</v>
      </c>
      <c r="G8" s="159">
        <f>+'Balance sheet'!K7-'Balance sheet'!L7</f>
        <v>-50.523366594252593</v>
      </c>
    </row>
    <row r="9" spans="1:9">
      <c r="A9" s="455" t="s">
        <v>80</v>
      </c>
      <c r="B9" s="459">
        <f>+'Balance sheet'!F8-'Balance sheet'!G8</f>
        <v>-416</v>
      </c>
      <c r="C9" s="459">
        <f>+'Balance sheet'!G8-'Balance sheet'!H8</f>
        <v>205.96991369929037</v>
      </c>
      <c r="D9" s="459">
        <f>+'Balance sheet'!H8-'Balance sheet'!I8</f>
        <v>-141.75735844037877</v>
      </c>
      <c r="E9" s="459">
        <f>+'Balance sheet'!I8-'Balance sheet'!J8</f>
        <v>-43.64256906029027</v>
      </c>
      <c r="F9" s="459">
        <f>+'Balance sheet'!J8-'Balance sheet'!K8</f>
        <v>-46.008296384588448</v>
      </c>
      <c r="G9" s="460">
        <f>+'Balance sheet'!K8-'Balance sheet'!L8</f>
        <v>-48.519455721162103</v>
      </c>
    </row>
    <row r="10" spans="1:9">
      <c r="A10" s="157" t="s">
        <v>81</v>
      </c>
      <c r="B10" s="36">
        <f>+'Balance sheet'!F9-'Balance sheet'!G9</f>
        <v>0</v>
      </c>
      <c r="C10" s="36">
        <f>+'Balance sheet'!G9-'Balance sheet'!H9</f>
        <v>0</v>
      </c>
      <c r="D10" s="36">
        <f>+'Balance sheet'!H9-'Balance sheet'!I9</f>
        <v>0</v>
      </c>
      <c r="E10" s="36">
        <f>+'Balance sheet'!I9-'Balance sheet'!J9</f>
        <v>0</v>
      </c>
      <c r="F10" s="36">
        <f>+'Balance sheet'!J9-'Balance sheet'!K9</f>
        <v>0</v>
      </c>
      <c r="G10" s="159">
        <f>+'Balance sheet'!K9-'Balance sheet'!L9</f>
        <v>0</v>
      </c>
    </row>
    <row r="11" spans="1:9">
      <c r="A11" s="455" t="s">
        <v>82</v>
      </c>
      <c r="B11" s="459">
        <f>+'Balance sheet'!F10-'Balance sheet'!G10</f>
        <v>-283</v>
      </c>
      <c r="C11" s="459">
        <f>+'Balance sheet'!G10-'Balance sheet'!H10</f>
        <v>-311.53855000000021</v>
      </c>
      <c r="D11" s="459">
        <f>+'Balance sheet'!H10-'Balance sheet'!I10</f>
        <v>-199.50227866666637</v>
      </c>
      <c r="E11" s="459">
        <f>+'Balance sheet'!I10-'Balance sheet'!J10</f>
        <v>-55.979492654166734</v>
      </c>
      <c r="F11" s="459">
        <f>+'Balance sheet'!J10-'Balance sheet'!K10</f>
        <v>-58.439371053883406</v>
      </c>
      <c r="G11" s="460">
        <f>+'Balance sheet'!K10-'Balance sheet'!L10</f>
        <v>-42.641964399524113</v>
      </c>
    </row>
    <row r="12" spans="1:9">
      <c r="A12" s="157" t="s">
        <v>83</v>
      </c>
      <c r="B12" s="36">
        <f>+'Balance sheet'!F11-'Balance sheet'!G11</f>
        <v>4609</v>
      </c>
      <c r="C12" s="36">
        <f>+'Balance sheet'!G11-'Balance sheet'!H11</f>
        <v>0</v>
      </c>
      <c r="D12" s="36">
        <f>+'Balance sheet'!H11-'Balance sheet'!I11</f>
        <v>0</v>
      </c>
      <c r="E12" s="36">
        <f>+'Balance sheet'!I11-'Balance sheet'!J11</f>
        <v>0</v>
      </c>
      <c r="F12" s="36">
        <f>+'Balance sheet'!J11-'Balance sheet'!K11</f>
        <v>0</v>
      </c>
      <c r="G12" s="159">
        <f>+'Balance sheet'!K11-'Balance sheet'!L11</f>
        <v>0</v>
      </c>
    </row>
    <row r="13" spans="1:9">
      <c r="A13" s="257" t="s">
        <v>84</v>
      </c>
      <c r="B13" s="255"/>
      <c r="C13" s="255"/>
      <c r="D13" s="255"/>
      <c r="E13" s="255"/>
      <c r="F13" s="255"/>
      <c r="G13" s="256"/>
    </row>
    <row r="14" spans="1:9">
      <c r="A14" s="157" t="s">
        <v>85</v>
      </c>
      <c r="B14" s="36">
        <f>+'Balance sheet'!F13-'Balance sheet'!G13</f>
        <v>237</v>
      </c>
      <c r="C14" s="36">
        <f>+'Balance sheet'!G13-'Balance sheet'!H13</f>
        <v>-3574.7616973461554</v>
      </c>
      <c r="D14" s="36">
        <f>+'Balance sheet'!H13-'Balance sheet'!I13</f>
        <v>-2390.1976086018622</v>
      </c>
      <c r="E14" s="36">
        <f>+'Balance sheet'!I13-'Balance sheet'!J13</f>
        <v>-2483.9391085568859</v>
      </c>
      <c r="F14" s="36">
        <f>+'Balance sheet'!J13-'Balance sheet'!K13</f>
        <v>-2582.7620423651315</v>
      </c>
      <c r="G14" s="159">
        <f>+'Balance sheet'!K13-'Balance sheet'!L13</f>
        <v>-2686.9787888637147</v>
      </c>
    </row>
    <row r="15" spans="1:9">
      <c r="A15" s="455" t="s">
        <v>86</v>
      </c>
      <c r="B15" s="459">
        <f>+'Balance sheet'!F14-'Balance sheet'!G14</f>
        <v>285</v>
      </c>
      <c r="C15" s="459">
        <f>+'Balance sheet'!G14-'Balance sheet'!H14</f>
        <v>977.21277331361625</v>
      </c>
      <c r="D15" s="459">
        <f>+'Balance sheet'!H14-'Balance sheet'!I14</f>
        <v>-468.43986347033388</v>
      </c>
      <c r="E15" s="459">
        <f>+'Balance sheet'!I14-'Balance sheet'!J14</f>
        <v>-144.21769223849788</v>
      </c>
      <c r="F15" s="459">
        <f>+'Balance sheet'!J14-'Balance sheet'!K14</f>
        <v>-152.03528278190743</v>
      </c>
      <c r="G15" s="460">
        <f>+'Balance sheet'!K14-'Balance sheet'!L14</f>
        <v>-160.33345615166309</v>
      </c>
    </row>
    <row r="16" spans="1:9">
      <c r="A16" s="157" t="s">
        <v>87</v>
      </c>
      <c r="B16" s="36">
        <f>+'Balance sheet'!F15-'Balance sheet'!G15</f>
        <v>-144</v>
      </c>
      <c r="C16" s="36">
        <f>+'Balance sheet'!G15-'Balance sheet'!H15</f>
        <v>558.75585874257035</v>
      </c>
      <c r="D16" s="36">
        <f>+'Balance sheet'!H15-'Balance sheet'!I15</f>
        <v>-170.31718079834332</v>
      </c>
      <c r="E16" s="36">
        <f>+'Balance sheet'!I15-'Balance sheet'!J15</f>
        <v>5.389445882333348</v>
      </c>
      <c r="F16" s="36">
        <f>+'Balance sheet'!J15-'Balance sheet'!K15</f>
        <v>4.8315165484943918</v>
      </c>
      <c r="G16" s="159">
        <f>+'Balance sheet'!K15-'Balance sheet'!L15</f>
        <v>4.2720771436067935</v>
      </c>
    </row>
    <row r="17" spans="1:7">
      <c r="A17" s="455" t="s">
        <v>88</v>
      </c>
      <c r="B17" s="459">
        <f>+'Balance sheet'!F16-'Balance sheet'!G16</f>
        <v>79</v>
      </c>
      <c r="C17" s="459">
        <f>+'Balance sheet'!G16-'Balance sheet'!H16</f>
        <v>0</v>
      </c>
      <c r="D17" s="459">
        <f>+'Balance sheet'!H16-'Balance sheet'!I16</f>
        <v>0</v>
      </c>
      <c r="E17" s="459">
        <f>+'Balance sheet'!I16-'Balance sheet'!J16</f>
        <v>0</v>
      </c>
      <c r="F17" s="459">
        <f>+'Balance sheet'!J16-'Balance sheet'!K16</f>
        <v>0</v>
      </c>
      <c r="G17" s="460">
        <f>+'Balance sheet'!K16-'Balance sheet'!L16</f>
        <v>0</v>
      </c>
    </row>
    <row r="18" spans="1:7">
      <c r="A18" s="157" t="s">
        <v>89</v>
      </c>
      <c r="B18" s="36">
        <f>+'Balance sheet'!F17-'Balance sheet'!G17</f>
        <v>0</v>
      </c>
      <c r="C18" s="36">
        <f>+'Balance sheet'!G17-'Balance sheet'!H17</f>
        <v>0</v>
      </c>
      <c r="D18" s="36">
        <f>+'Balance sheet'!H17-'Balance sheet'!I17</f>
        <v>0</v>
      </c>
      <c r="E18" s="36">
        <f>+'Balance sheet'!I17-'Balance sheet'!J17</f>
        <v>0</v>
      </c>
      <c r="F18" s="36">
        <f>+'Balance sheet'!J17-'Balance sheet'!K17</f>
        <v>0</v>
      </c>
      <c r="G18" s="159">
        <f>+'Balance sheet'!K17-'Balance sheet'!L17</f>
        <v>0</v>
      </c>
    </row>
    <row r="19" spans="1:7">
      <c r="A19" s="455" t="s">
        <v>90</v>
      </c>
      <c r="B19" s="459">
        <f>+'Balance sheet'!F18-'Balance sheet'!G18</f>
        <v>142</v>
      </c>
      <c r="C19" s="459">
        <f>+'Balance sheet'!G18-'Balance sheet'!H18</f>
        <v>0</v>
      </c>
      <c r="D19" s="459">
        <f>+'Balance sheet'!H18-'Balance sheet'!I18</f>
        <v>0</v>
      </c>
      <c r="E19" s="459">
        <f>+'Balance sheet'!I18-'Balance sheet'!J18</f>
        <v>0</v>
      </c>
      <c r="F19" s="459">
        <f>+'Balance sheet'!J18-'Balance sheet'!K18</f>
        <v>0</v>
      </c>
      <c r="G19" s="460">
        <f>+'Balance sheet'!K18-'Balance sheet'!L18</f>
        <v>0</v>
      </c>
    </row>
    <row r="20" spans="1:7">
      <c r="A20" s="157" t="s">
        <v>91</v>
      </c>
      <c r="B20" s="36">
        <f>+'Balance sheet'!F19-'Balance sheet'!G19</f>
        <v>-580</v>
      </c>
      <c r="C20" s="36">
        <f>+'Balance sheet'!G19-'Balance sheet'!H19</f>
        <v>8.2557145559794662</v>
      </c>
      <c r="D20" s="36">
        <f>+'Balance sheet'!H19-'Balance sheet'!I19</f>
        <v>-209.89136679970829</v>
      </c>
      <c r="E20" s="36">
        <f>+'Balance sheet'!I19-'Balance sheet'!J19</f>
        <v>-64.618856978543363</v>
      </c>
      <c r="F20" s="36">
        <f>+'Balance sheet'!J19-'Balance sheet'!K19</f>
        <v>-68.121643338527747</v>
      </c>
      <c r="G20" s="159">
        <f>+'Balance sheet'!K19-'Balance sheet'!L19</f>
        <v>-71.839761898326969</v>
      </c>
    </row>
    <row r="21" spans="1:7">
      <c r="A21" s="257" t="s">
        <v>92</v>
      </c>
      <c r="B21" s="255"/>
      <c r="C21" s="255"/>
      <c r="D21" s="255"/>
      <c r="E21" s="255"/>
      <c r="F21" s="255"/>
      <c r="G21" s="256"/>
    </row>
    <row r="22" spans="1:7">
      <c r="A22" s="157"/>
      <c r="B22" s="23"/>
      <c r="C22" s="23"/>
      <c r="D22" s="23"/>
      <c r="E22" s="23"/>
      <c r="F22" s="23"/>
      <c r="G22" s="158"/>
    </row>
    <row r="23" spans="1:7">
      <c r="A23" s="157" t="s">
        <v>93</v>
      </c>
      <c r="B23" s="36">
        <f>+'Balance sheet'!G22-'Balance sheet'!F22</f>
        <v>-27</v>
      </c>
      <c r="C23" s="36">
        <f>+'Balance sheet'!H22-'Balance sheet'!G22</f>
        <v>177.88544426309056</v>
      </c>
      <c r="D23" s="36">
        <f>+'Balance sheet'!I22-'Balance sheet'!H22</f>
        <v>143.62685552251958</v>
      </c>
      <c r="E23" s="36">
        <f>+'Balance sheet'!J22-'Balance sheet'!I22</f>
        <v>40.301086069787061</v>
      </c>
      <c r="F23" s="36">
        <f>+'Balance sheet'!K22-'Balance sheet'!J22</f>
        <v>42.072016215950043</v>
      </c>
      <c r="G23" s="159">
        <f>+'Balance sheet'!L22-'Balance sheet'!K22</f>
        <v>30.699054170904674</v>
      </c>
    </row>
    <row r="24" spans="1:7">
      <c r="A24" s="455" t="s">
        <v>94</v>
      </c>
      <c r="B24" s="459">
        <f>+'Balance sheet'!G23-'Balance sheet'!F23</f>
        <v>268</v>
      </c>
      <c r="C24" s="459">
        <f>+'Balance sheet'!H23-'Balance sheet'!G23</f>
        <v>-108.72684919990047</v>
      </c>
      <c r="D24" s="459">
        <f>+'Balance sheet'!I23-'Balance sheet'!H23</f>
        <v>115.22328558487959</v>
      </c>
      <c r="E24" s="459">
        <f>+'Balance sheet'!J23-'Balance sheet'!I23</f>
        <v>35.473574379608863</v>
      </c>
      <c r="F24" s="459">
        <f>+'Balance sheet'!K23-'Balance sheet'!J23</f>
        <v>37.396486023156399</v>
      </c>
      <c r="G24" s="460">
        <f>+'Balance sheet'!L23-'Balance sheet'!K23</f>
        <v>39.437607786220951</v>
      </c>
    </row>
    <row r="25" spans="1:7">
      <c r="A25" s="157" t="s">
        <v>95</v>
      </c>
      <c r="B25" s="36">
        <f>+'Balance sheet'!G24-'Balance sheet'!F24</f>
        <v>807</v>
      </c>
      <c r="C25" s="36">
        <f ca="1">+'Balance sheet'!H24-'Balance sheet'!G24</f>
        <v>-11.695886573990265</v>
      </c>
      <c r="D25" s="36">
        <f ca="1">+'Balance sheet'!I24-'Balance sheet'!H24</f>
        <v>206.69337023533876</v>
      </c>
      <c r="E25" s="36">
        <f ca="1">+'Balance sheet'!J24-'Balance sheet'!I24</f>
        <v>37.022267254083317</v>
      </c>
      <c r="F25" s="36">
        <f ca="1">+'Balance sheet'!K24-'Balance sheet'!J24</f>
        <v>41.969190949156882</v>
      </c>
      <c r="G25" s="159">
        <f ca="1">+'Balance sheet'!L24-'Balance sheet'!K24</f>
        <v>14.05893663792267</v>
      </c>
    </row>
    <row r="26" spans="1:7">
      <c r="A26" s="455" t="s">
        <v>96</v>
      </c>
      <c r="B26" s="459">
        <f>+'Balance sheet'!G25-'Balance sheet'!F25</f>
        <v>11</v>
      </c>
      <c r="C26" s="459">
        <f>+'Balance sheet'!H25-'Balance sheet'!G25</f>
        <v>-22</v>
      </c>
      <c r="D26" s="459">
        <f>+'Balance sheet'!I25-'Balance sheet'!H25</f>
        <v>-19</v>
      </c>
      <c r="E26" s="459">
        <f>+'Balance sheet'!J25-'Balance sheet'!I25</f>
        <v>-6</v>
      </c>
      <c r="F26" s="459">
        <f>+'Balance sheet'!K25-'Balance sheet'!J25</f>
        <v>-25</v>
      </c>
      <c r="G26" s="460">
        <f>+'Balance sheet'!L25-'Balance sheet'!K25</f>
        <v>206</v>
      </c>
    </row>
    <row r="27" spans="1:7">
      <c r="A27" s="157" t="s">
        <v>97</v>
      </c>
      <c r="B27" s="36">
        <f>+'Balance sheet'!G26-'Balance sheet'!F26</f>
        <v>-924</v>
      </c>
      <c r="C27" s="36">
        <f>+'Balance sheet'!H26-'Balance sheet'!G26</f>
        <v>0</v>
      </c>
      <c r="D27" s="36">
        <f>+'Balance sheet'!I26-'Balance sheet'!H26</f>
        <v>0</v>
      </c>
      <c r="E27" s="36">
        <f>+'Balance sheet'!J26-'Balance sheet'!I26</f>
        <v>0</v>
      </c>
      <c r="F27" s="36">
        <f>+'Balance sheet'!K26-'Balance sheet'!J26</f>
        <v>0</v>
      </c>
      <c r="G27" s="159">
        <f>+'Balance sheet'!L26-'Balance sheet'!K26</f>
        <v>0</v>
      </c>
    </row>
    <row r="28" spans="1:7">
      <c r="A28" s="455" t="s">
        <v>98</v>
      </c>
      <c r="B28" s="459">
        <f>+'Balance sheet'!G27-'Balance sheet'!F27</f>
        <v>211</v>
      </c>
      <c r="C28" s="459">
        <f>+'Balance sheet'!H27-'Balance sheet'!G27</f>
        <v>-181.43220586324833</v>
      </c>
      <c r="D28" s="459">
        <f>+'Balance sheet'!I27-'Balance sheet'!H27</f>
        <v>366.5091985338363</v>
      </c>
      <c r="E28" s="459">
        <f>+'Balance sheet'!J27-'Balance sheet'!I27</f>
        <v>112.83649176470772</v>
      </c>
      <c r="F28" s="459">
        <f>+'Balance sheet'!K27-'Balance sheet'!J27</f>
        <v>118.9530054689526</v>
      </c>
      <c r="G28" s="460">
        <f>+'Balance sheet'!L27-'Balance sheet'!K27</f>
        <v>125.44552907382467</v>
      </c>
    </row>
    <row r="29" spans="1:7">
      <c r="A29" s="157" t="s">
        <v>99</v>
      </c>
      <c r="B29" s="36">
        <f>+'Balance sheet'!G28-'Balance sheet'!F28</f>
        <v>-2177</v>
      </c>
      <c r="C29" s="36">
        <f>+'Balance sheet'!H28-'Balance sheet'!G28</f>
        <v>0</v>
      </c>
      <c r="D29" s="36">
        <f>+'Balance sheet'!I28-'Balance sheet'!H28</f>
        <v>0</v>
      </c>
      <c r="E29" s="36">
        <f>+'Balance sheet'!J28-'Balance sheet'!I28</f>
        <v>0</v>
      </c>
      <c r="F29" s="36">
        <f>+'Balance sheet'!K28-'Balance sheet'!J28</f>
        <v>0</v>
      </c>
      <c r="G29" s="159">
        <f>+'Balance sheet'!L28-'Balance sheet'!K28</f>
        <v>0</v>
      </c>
    </row>
    <row r="30" spans="1:7">
      <c r="A30" s="257" t="s">
        <v>100</v>
      </c>
      <c r="B30" s="255"/>
      <c r="C30" s="255"/>
      <c r="D30" s="255"/>
      <c r="E30" s="255"/>
      <c r="F30" s="255"/>
      <c r="G30" s="256"/>
    </row>
    <row r="31" spans="1:7">
      <c r="A31" s="157" t="s">
        <v>101</v>
      </c>
      <c r="B31" s="36">
        <f>+'Balance sheet'!G30-'Balance sheet'!F30</f>
        <v>-2437</v>
      </c>
      <c r="C31" s="36">
        <f ca="1">+'Balance sheet'!H30-'Balance sheet'!G30</f>
        <v>873.02400370481337</v>
      </c>
      <c r="D31" s="36">
        <f ca="1">+'Balance sheet'!I30-'Balance sheet'!H30</f>
        <v>1069.5163285622575</v>
      </c>
      <c r="E31" s="36">
        <f ca="1">+'Balance sheet'!J30-'Balance sheet'!I30</f>
        <v>1035.0844812011173</v>
      </c>
      <c r="F31" s="36">
        <f ca="1">+'Balance sheet'!K30-'Balance sheet'!J30</f>
        <v>1007.1130858210199</v>
      </c>
      <c r="G31" s="159">
        <f ca="1">+'Balance sheet'!L30-'Balance sheet'!K30</f>
        <v>939.96273787975042</v>
      </c>
    </row>
    <row r="32" spans="1:7">
      <c r="A32" s="455" t="s">
        <v>102</v>
      </c>
      <c r="B32" s="459">
        <f>+'Balance sheet'!G31-'Balance sheet'!F31</f>
        <v>-33</v>
      </c>
      <c r="C32" s="459">
        <f>+'Balance sheet'!H31-'Balance sheet'!G31</f>
        <v>-96</v>
      </c>
      <c r="D32" s="459">
        <f>+'Balance sheet'!I31-'Balance sheet'!H31</f>
        <v>-77</v>
      </c>
      <c r="E32" s="459">
        <f>+'Balance sheet'!J31-'Balance sheet'!I31</f>
        <v>-71</v>
      </c>
      <c r="F32" s="459">
        <f>+'Balance sheet'!K31-'Balance sheet'!J31</f>
        <v>-46</v>
      </c>
      <c r="G32" s="460">
        <f>+'Balance sheet'!L31-'Balance sheet'!K31</f>
        <v>-66</v>
      </c>
    </row>
    <row r="33" spans="1:7">
      <c r="A33" s="157" t="s">
        <v>103</v>
      </c>
      <c r="B33" s="36">
        <f>+'Balance sheet'!G32-'Balance sheet'!F32</f>
        <v>-97</v>
      </c>
      <c r="C33" s="36">
        <f>+'Balance sheet'!H32-'Balance sheet'!G32</f>
        <v>-35.951752807055527</v>
      </c>
      <c r="D33" s="36">
        <f>+'Balance sheet'!I32-'Balance sheet'!H32</f>
        <v>914.02900189333468</v>
      </c>
      <c r="E33" s="36">
        <f>+'Balance sheet'!J32-'Balance sheet'!I32</f>
        <v>281.40037509950798</v>
      </c>
      <c r="F33" s="36">
        <f>+'Balance sheet'!K32-'Balance sheet'!J32</f>
        <v>296.65421030616108</v>
      </c>
      <c r="G33" s="159">
        <f>+'Balance sheet'!L32-'Balance sheet'!K32</f>
        <v>312.8457681008058</v>
      </c>
    </row>
    <row r="34" spans="1:7">
      <c r="A34" s="455" t="s">
        <v>104</v>
      </c>
      <c r="B34" s="459">
        <f>+'Balance sheet'!G33-'Balance sheet'!F33</f>
        <v>1225</v>
      </c>
      <c r="C34" s="459">
        <f>+'Balance sheet'!H33-'Balance sheet'!G33</f>
        <v>-1560.0306100000003</v>
      </c>
      <c r="D34" s="459">
        <f>+'Balance sheet'!I33-'Balance sheet'!H33</f>
        <v>359.10410159999992</v>
      </c>
      <c r="E34" s="459">
        <f>+'Balance sheet'!J33-'Balance sheet'!I33</f>
        <v>100.76308677750012</v>
      </c>
      <c r="F34" s="459">
        <f>+'Balance sheet'!K33-'Balance sheet'!J33</f>
        <v>105.19086789698986</v>
      </c>
      <c r="G34" s="460">
        <f>+'Balance sheet'!L33-'Balance sheet'!K33</f>
        <v>76.755535919143767</v>
      </c>
    </row>
    <row r="35" spans="1:7">
      <c r="A35" s="157" t="s">
        <v>105</v>
      </c>
      <c r="B35" s="36">
        <f>+'Balance sheet'!G34-'Balance sheet'!F34</f>
        <v>79</v>
      </c>
      <c r="C35" s="36">
        <f>+'Balance sheet'!H34-'Balance sheet'!G34</f>
        <v>-76.762608455163672</v>
      </c>
      <c r="D35" s="36">
        <f>+'Balance sheet'!I34-'Balance sheet'!H34</f>
        <v>81.349179355026422</v>
      </c>
      <c r="E35" s="36">
        <f>+'Balance sheet'!J34-'Balance sheet'!I34</f>
        <v>25.044817546405397</v>
      </c>
      <c r="F35" s="36">
        <f>+'Balance sheet'!K34-'Balance sheet'!J34</f>
        <v>26.402418862673926</v>
      </c>
      <c r="G35" s="159">
        <f>+'Balance sheet'!L34-'Balance sheet'!K34</f>
        <v>27.843478102966515</v>
      </c>
    </row>
    <row r="36" spans="1:7">
      <c r="A36" s="455" t="s">
        <v>106</v>
      </c>
      <c r="B36" s="459">
        <f>+'Balance sheet'!G35-'Balance sheet'!F35</f>
        <v>-101</v>
      </c>
      <c r="C36" s="459">
        <f>+'Balance sheet'!H35-'Balance sheet'!G35</f>
        <v>-96</v>
      </c>
      <c r="D36" s="459">
        <f>+'Balance sheet'!I35-'Balance sheet'!H35</f>
        <v>-96</v>
      </c>
      <c r="E36" s="459">
        <f>+'Balance sheet'!J35-'Balance sheet'!I35</f>
        <v>-96</v>
      </c>
      <c r="F36" s="459">
        <f>+'Balance sheet'!K35-'Balance sheet'!J35</f>
        <v>-96</v>
      </c>
      <c r="G36" s="460">
        <f>+'Balance sheet'!L35-'Balance sheet'!K35</f>
        <v>-96</v>
      </c>
    </row>
    <row r="37" spans="1:7">
      <c r="A37" s="157" t="s">
        <v>107</v>
      </c>
      <c r="B37" s="36">
        <f>+'Balance sheet'!G36-'Balance sheet'!F36</f>
        <v>34</v>
      </c>
      <c r="C37" s="36">
        <f>+'Balance sheet'!H36-'Balance sheet'!G36</f>
        <v>70.194991486170579</v>
      </c>
      <c r="D37" s="36">
        <f>+'Balance sheet'!I36-'Balance sheet'!H36</f>
        <v>56.676283674327578</v>
      </c>
      <c r="E37" s="36">
        <f>+'Balance sheet'!J36-'Balance sheet'!I36</f>
        <v>15.903124650087534</v>
      </c>
      <c r="F37" s="36">
        <f>+'Balance sheet'!K36-'Balance sheet'!J36</f>
        <v>16.601947575411714</v>
      </c>
      <c r="G37" s="159">
        <f>+'Balance sheet'!L36-'Balance sheet'!K36</f>
        <v>12.114087552734361</v>
      </c>
    </row>
    <row r="38" spans="1:7">
      <c r="A38" s="257" t="s">
        <v>108</v>
      </c>
      <c r="B38" s="255"/>
      <c r="C38" s="255"/>
      <c r="D38" s="255"/>
      <c r="E38" s="255"/>
      <c r="F38" s="255"/>
      <c r="G38" s="256"/>
    </row>
    <row r="39" spans="1:7">
      <c r="A39" s="157"/>
      <c r="B39" s="23"/>
      <c r="C39" s="23"/>
      <c r="D39" s="23"/>
      <c r="E39" s="23"/>
      <c r="F39" s="23"/>
      <c r="G39" s="158"/>
    </row>
    <row r="40" spans="1:7">
      <c r="A40" s="234" t="s">
        <v>109</v>
      </c>
      <c r="B40" s="36">
        <f>+'Balance sheet'!G39-'Balance sheet'!F39</f>
        <v>-60</v>
      </c>
      <c r="C40" s="36">
        <f>+'Balance sheet'!H39-'Balance sheet'!G39</f>
        <v>7</v>
      </c>
      <c r="D40" s="36">
        <f>+'Balance sheet'!I39-'Balance sheet'!H39</f>
        <v>0</v>
      </c>
      <c r="E40" s="36">
        <f>+'Balance sheet'!J39-'Balance sheet'!I39</f>
        <v>0</v>
      </c>
      <c r="F40" s="36">
        <f>+'Balance sheet'!K39-'Balance sheet'!J39</f>
        <v>0</v>
      </c>
      <c r="G40" s="159">
        <f>+'Balance sheet'!L39-'Balance sheet'!K39</f>
        <v>0</v>
      </c>
    </row>
    <row r="41" spans="1:7">
      <c r="A41" s="455" t="s">
        <v>110</v>
      </c>
      <c r="B41" s="459">
        <f>+'Balance sheet'!G40-'Balance sheet'!F40</f>
        <v>-23</v>
      </c>
      <c r="C41" s="459">
        <f>+'Balance sheet'!H40-'Balance sheet'!G40</f>
        <v>-27.610771</v>
      </c>
      <c r="D41" s="459">
        <f>+'Balance sheet'!I40-'Balance sheet'!H40</f>
        <v>-63.201633146666666</v>
      </c>
      <c r="E41" s="459">
        <f>+'Balance sheet'!J40-'Balance sheet'!I40</f>
        <v>-65.440812852833346</v>
      </c>
      <c r="F41" s="459">
        <f>+'Balance sheet'!K40-'Balance sheet'!J40</f>
        <v>-67.77838769498868</v>
      </c>
      <c r="G41" s="460">
        <f>+'Balance sheet'!L40-'Balance sheet'!K40</f>
        <v>-104.22609940645441</v>
      </c>
    </row>
    <row r="42" spans="1:7">
      <c r="A42" s="254" t="s">
        <v>111</v>
      </c>
      <c r="B42" s="36">
        <f>+'Balance sheet'!G41-'Balance sheet'!F41</f>
        <v>-961</v>
      </c>
      <c r="C42" s="36">
        <f>+'Balance sheet'!H41-'Balance sheet'!G41</f>
        <v>-1242.4846949999992</v>
      </c>
      <c r="D42" s="36">
        <f>+'Balance sheet'!I41-'Balance sheet'!H41</f>
        <v>-1422.0367458000001</v>
      </c>
      <c r="E42" s="36">
        <f>+'Balance sheet'!J41-'Balance sheet'!I41</f>
        <v>-1472.4182891887504</v>
      </c>
      <c r="F42" s="36">
        <f>+'Balance sheet'!K41-'Balance sheet'!J41</f>
        <v>-1525.0137231372464</v>
      </c>
      <c r="G42" s="159">
        <f>+'Balance sheet'!L41-'Balance sheet'!K41</f>
        <v>-1563.391491096816</v>
      </c>
    </row>
    <row r="43" spans="1:7">
      <c r="A43" s="455" t="s">
        <v>112</v>
      </c>
      <c r="B43" s="459">
        <f>+'Balance sheet'!G42-'Balance sheet'!F42</f>
        <v>232</v>
      </c>
      <c r="C43" s="459">
        <f>+'Balance sheet'!H42-'Balance sheet'!G42</f>
        <v>0</v>
      </c>
      <c r="D43" s="459">
        <f>+'Balance sheet'!I42-'Balance sheet'!H42</f>
        <v>0</v>
      </c>
      <c r="E43" s="459">
        <f>+'Balance sheet'!J42-'Balance sheet'!I42</f>
        <v>0</v>
      </c>
      <c r="F43" s="459">
        <f>+'Balance sheet'!K42-'Balance sheet'!J42</f>
        <v>0</v>
      </c>
      <c r="G43" s="460">
        <f>+'Balance sheet'!L42-'Balance sheet'!K42</f>
        <v>0</v>
      </c>
    </row>
    <row r="44" spans="1:7">
      <c r="A44" s="254" t="s">
        <v>113</v>
      </c>
      <c r="B44" s="255"/>
      <c r="C44" s="255"/>
      <c r="D44" s="255"/>
      <c r="E44" s="255"/>
      <c r="F44" s="255"/>
      <c r="G44" s="256"/>
    </row>
    <row r="45" spans="1:7">
      <c r="A45" s="257" t="s">
        <v>114</v>
      </c>
      <c r="B45" s="255"/>
      <c r="C45" s="255"/>
      <c r="D45" s="255"/>
      <c r="E45" s="255"/>
      <c r="F45" s="255"/>
      <c r="G45" s="256"/>
    </row>
    <row r="46" spans="1:7">
      <c r="A46" s="157" t="s">
        <v>268</v>
      </c>
      <c r="B46" s="36">
        <f>+'Balance sheet'!G45-'Balance sheet'!F45</f>
        <v>0</v>
      </c>
      <c r="C46" s="36">
        <f>+'Balance sheet'!H45-'Balance sheet'!G45</f>
        <v>0</v>
      </c>
      <c r="D46" s="36">
        <f>+'Balance sheet'!I45-'Balance sheet'!H45</f>
        <v>0</v>
      </c>
      <c r="E46" s="36">
        <f>+'Balance sheet'!J45-'Balance sheet'!I45</f>
        <v>0</v>
      </c>
      <c r="F46" s="36">
        <f>+'Balance sheet'!K45-'Balance sheet'!J45</f>
        <v>0</v>
      </c>
      <c r="G46" s="159">
        <f>+'Balance sheet'!L45-'Balance sheet'!K45</f>
        <v>0</v>
      </c>
    </row>
    <row r="47" spans="1:7">
      <c r="A47" s="455" t="s">
        <v>115</v>
      </c>
      <c r="B47" s="459">
        <f>+'Balance sheet'!G46-'Balance sheet'!F46</f>
        <v>-6</v>
      </c>
      <c r="C47" s="459">
        <f>+'Balance sheet'!H46-'Balance sheet'!G46</f>
        <v>10</v>
      </c>
      <c r="D47" s="459">
        <f>+'Balance sheet'!I46-'Balance sheet'!H46</f>
        <v>0</v>
      </c>
      <c r="E47" s="459">
        <f>+'Balance sheet'!J46-'Balance sheet'!I46</f>
        <v>0</v>
      </c>
      <c r="F47" s="459">
        <f>+'Balance sheet'!K46-'Balance sheet'!J46</f>
        <v>0</v>
      </c>
      <c r="G47" s="460">
        <f>+'Balance sheet'!L46-'Balance sheet'!K46</f>
        <v>0</v>
      </c>
    </row>
    <row r="48" spans="1:7">
      <c r="A48" s="257" t="s">
        <v>116</v>
      </c>
      <c r="B48" s="255"/>
      <c r="C48" s="255"/>
      <c r="D48" s="255"/>
      <c r="E48" s="255"/>
      <c r="F48" s="255"/>
      <c r="G48" s="256"/>
    </row>
    <row r="49" spans="1:7" ht="15" thickBot="1">
      <c r="A49" s="258" t="s">
        <v>117</v>
      </c>
      <c r="B49" s="259"/>
      <c r="C49" s="259"/>
      <c r="D49" s="259"/>
      <c r="E49" s="259"/>
      <c r="F49" s="259"/>
      <c r="G49" s="260"/>
    </row>
    <row r="50" spans="1:7">
      <c r="A50" s="23"/>
      <c r="B50" s="23"/>
      <c r="C50" s="23"/>
      <c r="D50" s="23"/>
      <c r="E50" s="23"/>
      <c r="F50" s="23"/>
      <c r="G50" s="23"/>
    </row>
    <row r="51" spans="1:7">
      <c r="A51" s="172" t="s">
        <v>172</v>
      </c>
      <c r="B51" s="468">
        <f>+SUM(B6:B47)+B2</f>
        <v>6362</v>
      </c>
      <c r="C51" s="468">
        <f t="shared" ref="C51:E51" ca="1" si="0">+SUM(C6:C47)+C2</f>
        <v>5326.1378346143938</v>
      </c>
      <c r="D51" s="468">
        <f t="shared" ca="1" si="0"/>
        <v>9408.7529746477703</v>
      </c>
      <c r="E51" s="468">
        <f t="shared" ca="1" si="0"/>
        <v>9139.8971339335094</v>
      </c>
      <c r="F51" s="468">
        <f ca="1">+SUM(F6:F47)+F2</f>
        <v>9344.6590272460817</v>
      </c>
      <c r="G51" s="468">
        <f ca="1">+SUM(G6:G47)+G2</f>
        <v>9399.7043724129999</v>
      </c>
    </row>
    <row r="52" spans="1:7">
      <c r="A52" s="23"/>
      <c r="B52" s="23"/>
      <c r="C52" s="23"/>
      <c r="D52" s="23"/>
      <c r="E52" s="23"/>
      <c r="F52" s="23"/>
      <c r="G52" s="23"/>
    </row>
    <row r="53" spans="1:7">
      <c r="A53" s="23" t="s">
        <v>281</v>
      </c>
      <c r="B53" s="36">
        <f>+'Changes in Equity'!G12</f>
        <v>1108</v>
      </c>
      <c r="C53" s="36">
        <f>+'Changes in Equity'!H12</f>
        <v>1114.8891326174612</v>
      </c>
      <c r="D53" s="36">
        <f>+'Changes in Equity'!I12</f>
        <v>1117.0986457582019</v>
      </c>
      <c r="E53" s="36">
        <f>+'Changes in Equity'!J12</f>
        <v>1116.6669952797556</v>
      </c>
      <c r="F53" s="36">
        <f>+'Changes in Equity'!K12</f>
        <v>1113.9650662074357</v>
      </c>
      <c r="G53" s="36">
        <f>+'Changes in Equity'!L12</f>
        <v>1109.3300655416151</v>
      </c>
    </row>
    <row r="54" spans="1:7">
      <c r="A54" s="23" t="s">
        <v>287</v>
      </c>
      <c r="B54" s="23">
        <f>+'Changes in Equity'!G4</f>
        <v>1226</v>
      </c>
      <c r="C54" s="23">
        <f>+'Changes in Equity'!H4</f>
        <v>2000</v>
      </c>
      <c r="D54" s="23">
        <f>+'Changes in Equity'!I4</f>
        <v>2500</v>
      </c>
      <c r="E54" s="23">
        <f>+'Changes in Equity'!J4</f>
        <v>3000</v>
      </c>
      <c r="F54" s="23">
        <f>+'Changes in Equity'!K4</f>
        <v>3500</v>
      </c>
      <c r="G54" s="23">
        <f>+'Changes in Equity'!L4</f>
        <v>4000</v>
      </c>
    </row>
    <row r="55" spans="1:7">
      <c r="A55" s="23"/>
      <c r="B55" s="23"/>
      <c r="C55" s="23"/>
      <c r="D55" s="23"/>
      <c r="E55" s="23"/>
      <c r="F55" s="23"/>
      <c r="G55" s="23"/>
    </row>
    <row r="56" spans="1:7">
      <c r="A56" s="172" t="s">
        <v>289</v>
      </c>
      <c r="B56" s="468">
        <f>+B51-B53-B54</f>
        <v>4028</v>
      </c>
      <c r="C56" s="468">
        <f t="shared" ref="C56:G56" ca="1" si="1">+C51-C53-C54</f>
        <v>2211.2487019969321</v>
      </c>
      <c r="D56" s="468">
        <f t="shared" ca="1" si="1"/>
        <v>5791.6543288895682</v>
      </c>
      <c r="E56" s="468">
        <f t="shared" ca="1" si="1"/>
        <v>5023.2301386537538</v>
      </c>
      <c r="F56" s="468">
        <f t="shared" ca="1" si="1"/>
        <v>4730.6939610386453</v>
      </c>
      <c r="G56" s="468">
        <f t="shared" ca="1" si="1"/>
        <v>4290.3743068713848</v>
      </c>
    </row>
    <row r="57" spans="1:7">
      <c r="A57" s="23"/>
      <c r="B57" s="23"/>
      <c r="C57" s="23"/>
      <c r="D57" s="23"/>
      <c r="E57" s="23"/>
      <c r="F57" s="23"/>
      <c r="G57" s="23"/>
    </row>
    <row r="58" spans="1:7">
      <c r="A58" s="23" t="s">
        <v>291</v>
      </c>
      <c r="B58" s="164">
        <f>+'Balance sheet'!F4</f>
        <v>3619</v>
      </c>
      <c r="C58" s="164">
        <f>B59</f>
        <v>7647</v>
      </c>
      <c r="D58" s="209">
        <f t="shared" ref="D58:G58" ca="1" si="2">+C59</f>
        <v>9858.2487019969321</v>
      </c>
      <c r="E58" s="209">
        <f t="shared" ca="1" si="2"/>
        <v>15649.9030308865</v>
      </c>
      <c r="F58" s="209">
        <f t="shared" ca="1" si="2"/>
        <v>20673.133169540255</v>
      </c>
      <c r="G58" s="209">
        <f t="shared" ca="1" si="2"/>
        <v>25403.827130578902</v>
      </c>
    </row>
    <row r="59" spans="1:7">
      <c r="A59" s="172" t="s">
        <v>292</v>
      </c>
      <c r="B59" s="246">
        <f>+B58+B56</f>
        <v>7647</v>
      </c>
      <c r="C59" s="246">
        <f t="shared" ref="C59:G59" ca="1" si="3">+C58+C56</f>
        <v>9858.2487019969321</v>
      </c>
      <c r="D59" s="246">
        <f t="shared" ca="1" si="3"/>
        <v>15649.9030308865</v>
      </c>
      <c r="E59" s="246">
        <f t="shared" ca="1" si="3"/>
        <v>20673.133169540255</v>
      </c>
      <c r="F59" s="246">
        <f t="shared" ca="1" si="3"/>
        <v>25403.827130578902</v>
      </c>
      <c r="G59" s="246">
        <f t="shared" ca="1" si="3"/>
        <v>29694.201437450287</v>
      </c>
    </row>
    <row r="60" spans="1:7">
      <c r="A60" s="23"/>
      <c r="B60" s="23"/>
      <c r="C60" s="23"/>
      <c r="D60" s="23"/>
      <c r="E60" s="23"/>
      <c r="F60" s="23"/>
      <c r="G60" s="23"/>
    </row>
    <row r="61" spans="1:7">
      <c r="A61" s="172" t="s">
        <v>290</v>
      </c>
      <c r="B61" s="468">
        <f t="shared" ref="B61:G61" si="4">+B56+B53+B54</f>
        <v>6362</v>
      </c>
      <c r="C61" s="468">
        <f t="shared" ca="1" si="4"/>
        <v>5326.1378346143938</v>
      </c>
      <c r="D61" s="468">
        <f t="shared" ca="1" si="4"/>
        <v>9408.7529746477703</v>
      </c>
      <c r="E61" s="468">
        <f t="shared" ca="1" si="4"/>
        <v>9139.8971339335094</v>
      </c>
      <c r="F61" s="468">
        <f t="shared" ca="1" si="4"/>
        <v>9344.6590272460817</v>
      </c>
      <c r="G61" s="468">
        <f t="shared" ca="1" si="4"/>
        <v>9399.7043724129999</v>
      </c>
    </row>
    <row r="62" spans="1:7">
      <c r="A62" s="23"/>
      <c r="B62" s="23"/>
      <c r="C62" s="23"/>
      <c r="D62" s="23"/>
      <c r="E62" s="23"/>
      <c r="F62" s="23"/>
      <c r="G62" s="23"/>
    </row>
    <row r="63" spans="1:7">
      <c r="A63" s="23"/>
      <c r="B63" s="23"/>
      <c r="C63" s="23"/>
      <c r="D63" s="23"/>
      <c r="E63" s="23"/>
      <c r="F63" s="23"/>
      <c r="G63" s="23"/>
    </row>
    <row r="64" spans="1:7">
      <c r="A64" s="23"/>
      <c r="B64" s="23"/>
      <c r="C64" s="23"/>
      <c r="D64" s="23"/>
      <c r="E64" s="23"/>
      <c r="F64" s="23"/>
      <c r="G64" s="23"/>
    </row>
    <row r="65" spans="1:7">
      <c r="A65" s="23" t="s">
        <v>302</v>
      </c>
      <c r="B65" s="36">
        <f>+'Balance sheet'!G20-'Balance sheet'!G48</f>
        <v>0</v>
      </c>
      <c r="C65" s="36">
        <f ca="1">+'Balance sheet'!H20-'Balance sheet'!H48</f>
        <v>0</v>
      </c>
      <c r="D65" s="36">
        <f ca="1">+'Balance sheet'!I20-'Balance sheet'!I48</f>
        <v>0</v>
      </c>
      <c r="E65" s="36">
        <f ca="1">+'Balance sheet'!J20-'Balance sheet'!J48</f>
        <v>0</v>
      </c>
      <c r="F65" s="36">
        <f ca="1">+'Balance sheet'!K20-'Balance sheet'!K48</f>
        <v>0</v>
      </c>
      <c r="G65" s="36">
        <f ca="1">+'Balance sheet'!L20-'Balance sheet'!L48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FD316-D836-453E-8E4C-3E93C8C65C42}">
  <dimension ref="A1:N69"/>
  <sheetViews>
    <sheetView zoomScale="63" zoomScaleNormal="80" workbookViewId="0">
      <pane ySplit="2" topLeftCell="A3" activePane="bottomLeft" state="frozen"/>
      <selection pane="bottomLeft" activeCell="O21" sqref="O21"/>
    </sheetView>
  </sheetViews>
  <sheetFormatPr defaultColWidth="8.77734375" defaultRowHeight="14.4"/>
  <cols>
    <col min="1" max="1" width="34.6640625" bestFit="1" customWidth="1"/>
    <col min="2" max="2" width="11.6640625" bestFit="1" customWidth="1"/>
    <col min="7" max="7" width="11" bestFit="1" customWidth="1"/>
    <col min="8" max="9" width="9.6640625" bestFit="1" customWidth="1"/>
    <col min="10" max="11" width="11.109375" bestFit="1" customWidth="1"/>
    <col min="12" max="12" width="9.6640625" bestFit="1" customWidth="1"/>
  </cols>
  <sheetData>
    <row r="1" spans="1:14" ht="15" thickBot="1"/>
    <row r="2" spans="1:14" ht="15.6">
      <c r="A2" s="262" t="s">
        <v>270</v>
      </c>
      <c r="B2" s="263">
        <v>2020</v>
      </c>
      <c r="C2" s="263">
        <v>2021</v>
      </c>
      <c r="D2" s="263">
        <v>2022</v>
      </c>
      <c r="E2" s="263">
        <v>2023</v>
      </c>
      <c r="F2" s="263">
        <v>2024</v>
      </c>
      <c r="G2" s="263">
        <v>2025</v>
      </c>
      <c r="H2" s="263">
        <v>2026</v>
      </c>
      <c r="I2" s="263" t="s">
        <v>4</v>
      </c>
      <c r="J2" s="263" t="s">
        <v>5</v>
      </c>
      <c r="K2" s="263" t="s">
        <v>6</v>
      </c>
      <c r="L2" s="264" t="s">
        <v>7</v>
      </c>
      <c r="M2" s="23"/>
    </row>
    <row r="3" spans="1:14" ht="15.6">
      <c r="A3" s="265"/>
      <c r="B3" s="23"/>
      <c r="C3" s="23"/>
      <c r="D3" s="23"/>
      <c r="E3" s="23"/>
      <c r="F3" s="23"/>
      <c r="G3" s="23"/>
      <c r="H3" s="23"/>
      <c r="I3" s="23"/>
      <c r="J3" s="23"/>
      <c r="K3" s="23"/>
      <c r="L3" s="158"/>
      <c r="M3" s="23"/>
    </row>
    <row r="4" spans="1:14" ht="15.6">
      <c r="A4" s="265" t="s">
        <v>271</v>
      </c>
      <c r="B4" s="23">
        <v>274</v>
      </c>
      <c r="C4" s="23">
        <v>306</v>
      </c>
      <c r="D4" s="23">
        <v>0</v>
      </c>
      <c r="E4" s="23">
        <v>0</v>
      </c>
      <c r="F4" s="23">
        <v>524</v>
      </c>
      <c r="G4" s="23">
        <v>1226</v>
      </c>
      <c r="H4" s="23">
        <v>2000</v>
      </c>
      <c r="I4" s="23">
        <v>2500</v>
      </c>
      <c r="J4" s="23">
        <v>3000</v>
      </c>
      <c r="K4" s="23">
        <v>3500</v>
      </c>
      <c r="L4" s="158">
        <v>4000</v>
      </c>
      <c r="M4" s="23"/>
    </row>
    <row r="5" spans="1:14" ht="15.6">
      <c r="A5" s="486" t="s">
        <v>272</v>
      </c>
      <c r="B5" s="458">
        <v>60</v>
      </c>
      <c r="C5" s="458">
        <v>60</v>
      </c>
      <c r="D5" s="458"/>
      <c r="E5" s="458"/>
      <c r="F5" s="458">
        <v>40</v>
      </c>
      <c r="G5" s="458">
        <v>115.32</v>
      </c>
      <c r="H5" s="458">
        <f>+G5*(1+Ke!$D$32)</f>
        <v>126.06024039011264</v>
      </c>
      <c r="I5" s="458">
        <f>+H5*(1+Ke!$D$32)</f>
        <v>137.80076489085144</v>
      </c>
      <c r="J5" s="458">
        <f>+I5*(1+Ke!$D$32)</f>
        <v>150.63473420119777</v>
      </c>
      <c r="K5" s="458">
        <f>+J5*(1+Ke!$D$32)</f>
        <v>164.66398547089588</v>
      </c>
      <c r="L5" s="461">
        <f>+K5*(1+Ke!$D$32)</f>
        <v>179.99984037508801</v>
      </c>
      <c r="M5" s="166" t="s">
        <v>294</v>
      </c>
    </row>
    <row r="6" spans="1:14" ht="15.6">
      <c r="A6" s="265" t="s">
        <v>293</v>
      </c>
      <c r="B6" s="23"/>
      <c r="C6" s="23"/>
      <c r="D6" s="23"/>
      <c r="E6" s="23"/>
      <c r="F6" s="23"/>
      <c r="G6" s="36">
        <f>+G4/G5</f>
        <v>10.631286853971558</v>
      </c>
      <c r="H6" s="36">
        <f t="shared" ref="H6:L6" si="0">+H4/H5</f>
        <v>15.865430637056498</v>
      </c>
      <c r="I6" s="36">
        <f t="shared" si="0"/>
        <v>18.142134421243508</v>
      </c>
      <c r="J6" s="36">
        <f t="shared" si="0"/>
        <v>19.915725386370717</v>
      </c>
      <c r="K6" s="36">
        <f t="shared" si="0"/>
        <v>21.255406821296816</v>
      </c>
      <c r="L6" s="159">
        <f t="shared" si="0"/>
        <v>22.222241929018956</v>
      </c>
      <c r="M6" s="266"/>
    </row>
    <row r="7" spans="1:14" ht="15.6">
      <c r="A7" s="486" t="s">
        <v>275</v>
      </c>
      <c r="B7" s="492"/>
      <c r="C7" s="492"/>
      <c r="D7" s="492"/>
      <c r="E7" s="492"/>
      <c r="F7" s="492"/>
      <c r="G7" s="493">
        <f>+DCF!I3</f>
        <v>1087.8742119999999</v>
      </c>
      <c r="H7" s="493">
        <f>+G7-H6</f>
        <v>1072.0087813629434</v>
      </c>
      <c r="I7" s="493">
        <f t="shared" ref="I7:L7" si="1">+H7-I6</f>
        <v>1053.8666469416999</v>
      </c>
      <c r="J7" s="493">
        <f t="shared" si="1"/>
        <v>1033.9509215553292</v>
      </c>
      <c r="K7" s="493">
        <f t="shared" si="1"/>
        <v>1012.6955147340324</v>
      </c>
      <c r="L7" s="494">
        <f t="shared" si="1"/>
        <v>990.47327280501338</v>
      </c>
      <c r="M7" s="266"/>
    </row>
    <row r="8" spans="1:14" ht="15.6">
      <c r="A8" s="267" t="s">
        <v>273</v>
      </c>
      <c r="B8" s="268">
        <v>2020</v>
      </c>
      <c r="C8" s="268">
        <v>2021</v>
      </c>
      <c r="D8" s="268">
        <v>2022</v>
      </c>
      <c r="E8" s="268">
        <v>2023</v>
      </c>
      <c r="F8" s="268">
        <v>2024</v>
      </c>
      <c r="G8" s="268">
        <v>2025</v>
      </c>
      <c r="H8" s="268">
        <v>2026</v>
      </c>
      <c r="I8" s="268" t="s">
        <v>4</v>
      </c>
      <c r="J8" s="268" t="s">
        <v>5</v>
      </c>
      <c r="K8" s="268" t="s">
        <v>6</v>
      </c>
      <c r="L8" s="269" t="s">
        <v>7</v>
      </c>
      <c r="M8" s="266"/>
    </row>
    <row r="9" spans="1:14" ht="15.6">
      <c r="A9" s="265"/>
      <c r="B9" s="23"/>
      <c r="C9" s="23"/>
      <c r="D9" s="23"/>
      <c r="E9" s="23"/>
      <c r="F9" s="23"/>
      <c r="G9" s="23"/>
      <c r="H9" s="23"/>
      <c r="I9" s="23"/>
      <c r="J9" s="23"/>
      <c r="K9" s="23"/>
      <c r="L9" s="158"/>
      <c r="M9" s="266"/>
    </row>
    <row r="10" spans="1:14" ht="15.6">
      <c r="A10" s="486" t="s">
        <v>274</v>
      </c>
      <c r="B10" s="458">
        <v>1.04</v>
      </c>
      <c r="C10" s="458">
        <v>2.2000000000000002</v>
      </c>
      <c r="D10" s="458">
        <v>2.2000000000000002</v>
      </c>
      <c r="E10" s="458">
        <v>1.6</v>
      </c>
      <c r="F10" s="458">
        <v>1</v>
      </c>
      <c r="G10" s="458">
        <f>G12/G11</f>
        <v>1.0185001057824505</v>
      </c>
      <c r="H10" s="458">
        <v>1.04</v>
      </c>
      <c r="I10" s="458">
        <v>1.06</v>
      </c>
      <c r="J10" s="458">
        <v>1.08</v>
      </c>
      <c r="K10" s="458">
        <v>1.1000000000000001</v>
      </c>
      <c r="L10" s="461">
        <v>1.1200000000000001</v>
      </c>
      <c r="M10" s="266"/>
    </row>
    <row r="11" spans="1:14" ht="15.6">
      <c r="A11" s="265" t="s">
        <v>275</v>
      </c>
      <c r="B11" s="23"/>
      <c r="C11" s="23"/>
      <c r="D11" s="23"/>
      <c r="E11" s="23"/>
      <c r="F11" s="23"/>
      <c r="G11" s="36">
        <f>+G7</f>
        <v>1087.8742119999999</v>
      </c>
      <c r="H11" s="36">
        <f t="shared" ref="H11:L11" si="2">+H7</f>
        <v>1072.0087813629434</v>
      </c>
      <c r="I11" s="36">
        <f t="shared" si="2"/>
        <v>1053.8666469416999</v>
      </c>
      <c r="J11" s="36">
        <f t="shared" si="2"/>
        <v>1033.9509215553292</v>
      </c>
      <c r="K11" s="36">
        <f t="shared" si="2"/>
        <v>1012.6955147340324</v>
      </c>
      <c r="L11" s="159">
        <f t="shared" si="2"/>
        <v>990.47327280501338</v>
      </c>
      <c r="M11" s="266"/>
    </row>
    <row r="12" spans="1:14" ht="15.6">
      <c r="A12" s="486" t="s">
        <v>276</v>
      </c>
      <c r="B12" s="492"/>
      <c r="C12" s="492"/>
      <c r="D12" s="492"/>
      <c r="E12" s="492"/>
      <c r="F12" s="492"/>
      <c r="G12" s="493">
        <v>1108</v>
      </c>
      <c r="H12" s="493">
        <f>+H10*H11</f>
        <v>1114.8891326174612</v>
      </c>
      <c r="I12" s="493">
        <f t="shared" ref="I12:L12" si="3">+I10*I11</f>
        <v>1117.0986457582019</v>
      </c>
      <c r="J12" s="493">
        <f t="shared" si="3"/>
        <v>1116.6669952797556</v>
      </c>
      <c r="K12" s="493">
        <f t="shared" si="3"/>
        <v>1113.9650662074357</v>
      </c>
      <c r="L12" s="494">
        <f t="shared" si="3"/>
        <v>1109.3300655416151</v>
      </c>
      <c r="M12" s="266"/>
    </row>
    <row r="13" spans="1:14" ht="15.6">
      <c r="A13" s="265" t="s">
        <v>277</v>
      </c>
      <c r="B13" s="23"/>
      <c r="C13" s="23"/>
      <c r="D13" s="23"/>
      <c r="E13" s="23"/>
      <c r="F13" s="23"/>
      <c r="G13" s="23"/>
      <c r="H13" s="23"/>
      <c r="I13" s="224"/>
      <c r="J13" s="224"/>
      <c r="K13" s="224"/>
      <c r="L13" s="225"/>
      <c r="M13" s="266"/>
    </row>
    <row r="14" spans="1:14" ht="15.6">
      <c r="A14" s="265"/>
      <c r="B14" s="23"/>
      <c r="C14" s="23"/>
      <c r="D14" s="23"/>
      <c r="E14" s="23"/>
      <c r="F14" s="23"/>
      <c r="G14" s="23"/>
      <c r="H14" s="23"/>
      <c r="I14" s="270"/>
      <c r="J14" s="270"/>
      <c r="K14" s="270"/>
      <c r="L14" s="271"/>
      <c r="M14" s="266"/>
      <c r="N14" s="4"/>
    </row>
    <row r="15" spans="1:14">
      <c r="A15" s="157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158"/>
      <c r="M15" s="266"/>
    </row>
    <row r="16" spans="1:14" ht="15.6">
      <c r="A16" s="267" t="s">
        <v>278</v>
      </c>
      <c r="B16" s="268">
        <v>2020</v>
      </c>
      <c r="C16" s="268">
        <v>2021</v>
      </c>
      <c r="D16" s="268">
        <v>2022</v>
      </c>
      <c r="E16" s="268">
        <v>2023</v>
      </c>
      <c r="F16" s="268">
        <v>2024</v>
      </c>
      <c r="G16" s="268">
        <v>2025</v>
      </c>
      <c r="H16" s="268">
        <v>2026</v>
      </c>
      <c r="I16" s="268" t="s">
        <v>4</v>
      </c>
      <c r="J16" s="268" t="s">
        <v>5</v>
      </c>
      <c r="K16" s="268" t="s">
        <v>6</v>
      </c>
      <c r="L16" s="269" t="s">
        <v>7</v>
      </c>
      <c r="M16" s="266"/>
    </row>
    <row r="17" spans="1:14">
      <c r="A17" s="157" t="s">
        <v>279</v>
      </c>
      <c r="B17" s="23"/>
      <c r="C17" s="23"/>
      <c r="D17" s="23"/>
      <c r="E17" s="23"/>
      <c r="F17" s="23">
        <v>-2996</v>
      </c>
      <c r="G17" s="164">
        <f>+'Balance sheet'!F43</f>
        <v>-1320</v>
      </c>
      <c r="H17" s="272">
        <f>+G21</f>
        <v>3431</v>
      </c>
      <c r="I17" s="272">
        <f t="shared" ref="I17:L17" ca="1" si="4">+H21</f>
        <v>10747.255490698757</v>
      </c>
      <c r="J17" s="272">
        <f t="shared" ca="1" si="4"/>
        <v>19362.602726727138</v>
      </c>
      <c r="K17" s="272">
        <f t="shared" ca="1" si="4"/>
        <v>27801.025036776173</v>
      </c>
      <c r="L17" s="273">
        <f t="shared" ca="1" si="4"/>
        <v>36107.904386415212</v>
      </c>
      <c r="M17" s="266"/>
    </row>
    <row r="18" spans="1:14">
      <c r="A18" s="455" t="s">
        <v>280</v>
      </c>
      <c r="B18" s="456">
        <f>'Income statement'!B24</f>
        <v>2829</v>
      </c>
      <c r="C18" s="456">
        <f>'Income statement'!C24</f>
        <v>1166</v>
      </c>
      <c r="D18" s="456">
        <f>'Income statement'!D24</f>
        <v>-429</v>
      </c>
      <c r="E18" s="456">
        <f>'Income statement'!E24</f>
        <v>-2494</v>
      </c>
      <c r="F18" s="456">
        <f>'Income statement'!F24</f>
        <v>3348</v>
      </c>
      <c r="G18" s="456">
        <f>'Income statement'!G24</f>
        <v>7085</v>
      </c>
      <c r="H18" s="487">
        <f ca="1">'Income statement'!H24</f>
        <v>10431.144623316219</v>
      </c>
      <c r="I18" s="487">
        <f ca="1">'Income statement'!I24</f>
        <v>12232.445881786582</v>
      </c>
      <c r="J18" s="487">
        <f ca="1">'Income statement'!J24</f>
        <v>12555.089305328791</v>
      </c>
      <c r="K18" s="487">
        <f ca="1">'Income statement'!K24</f>
        <v>12920.844415846477</v>
      </c>
      <c r="L18" s="488">
        <f ca="1">'Income statement'!L24</f>
        <v>13043.365908576558</v>
      </c>
      <c r="M18" s="266"/>
    </row>
    <row r="19" spans="1:14">
      <c r="A19" s="157" t="s">
        <v>281</v>
      </c>
      <c r="B19" s="23"/>
      <c r="C19" s="23"/>
      <c r="D19" s="23">
        <v>1753</v>
      </c>
      <c r="E19" s="23">
        <v>1418</v>
      </c>
      <c r="F19" s="23">
        <v>1148</v>
      </c>
      <c r="G19" s="36">
        <v>1108</v>
      </c>
      <c r="H19" s="272">
        <f t="shared" ref="H19:L19" si="5">+H12</f>
        <v>1114.8891326174612</v>
      </c>
      <c r="I19" s="272">
        <f t="shared" si="5"/>
        <v>1117.0986457582019</v>
      </c>
      <c r="J19" s="272">
        <f t="shared" si="5"/>
        <v>1116.6669952797556</v>
      </c>
      <c r="K19" s="272">
        <f t="shared" si="5"/>
        <v>1113.9650662074357</v>
      </c>
      <c r="L19" s="273">
        <f t="shared" si="5"/>
        <v>1109.3300655416151</v>
      </c>
      <c r="M19" s="266"/>
    </row>
    <row r="20" spans="1:14">
      <c r="A20" s="455" t="s">
        <v>287</v>
      </c>
      <c r="B20" s="458"/>
      <c r="C20" s="458"/>
      <c r="D20" s="458"/>
      <c r="E20" s="458"/>
      <c r="F20" s="458">
        <f>F4</f>
        <v>524</v>
      </c>
      <c r="G20" s="459">
        <v>1226</v>
      </c>
      <c r="H20" s="487">
        <f t="shared" ref="H20:L20" si="6">+H4</f>
        <v>2000</v>
      </c>
      <c r="I20" s="487">
        <f t="shared" si="6"/>
        <v>2500</v>
      </c>
      <c r="J20" s="487">
        <f t="shared" si="6"/>
        <v>3000</v>
      </c>
      <c r="K20" s="487">
        <f t="shared" si="6"/>
        <v>3500</v>
      </c>
      <c r="L20" s="488">
        <f t="shared" si="6"/>
        <v>4000</v>
      </c>
      <c r="M20" s="266"/>
    </row>
    <row r="21" spans="1:14">
      <c r="A21" s="234" t="s">
        <v>282</v>
      </c>
      <c r="B21" s="172"/>
      <c r="C21" s="172"/>
      <c r="D21" s="172"/>
      <c r="E21" s="172"/>
      <c r="F21" s="246">
        <f>F17+F18-F19-F20</f>
        <v>-1320</v>
      </c>
      <c r="G21" s="468">
        <f>+G17+G18-G19-G20</f>
        <v>3431</v>
      </c>
      <c r="H21" s="557">
        <f t="shared" ref="H21:L21" ca="1" si="7">+H17+H18-H19-H20</f>
        <v>10747.255490698757</v>
      </c>
      <c r="I21" s="557">
        <f t="shared" ca="1" si="7"/>
        <v>19362.602726727138</v>
      </c>
      <c r="J21" s="557">
        <f t="shared" ca="1" si="7"/>
        <v>27801.025036776173</v>
      </c>
      <c r="K21" s="557">
        <f t="shared" ca="1" si="7"/>
        <v>36107.904386415212</v>
      </c>
      <c r="L21" s="495">
        <f t="shared" ca="1" si="7"/>
        <v>44041.940229450156</v>
      </c>
      <c r="M21" s="266"/>
    </row>
    <row r="22" spans="1:14">
      <c r="A22" s="157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158"/>
      <c r="M22" s="266"/>
    </row>
    <row r="23" spans="1:14">
      <c r="A23" s="157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158"/>
      <c r="M23" s="266"/>
    </row>
    <row r="24" spans="1:14">
      <c r="A24" s="157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158"/>
      <c r="M24" s="266"/>
    </row>
    <row r="25" spans="1:14" ht="15.6">
      <c r="A25" s="267" t="s">
        <v>285</v>
      </c>
      <c r="B25" s="268">
        <v>2020</v>
      </c>
      <c r="C25" s="268">
        <v>2021</v>
      </c>
      <c r="D25" s="268">
        <v>2022</v>
      </c>
      <c r="E25" s="268">
        <v>2023</v>
      </c>
      <c r="F25" s="268">
        <v>2024</v>
      </c>
      <c r="G25" s="268">
        <v>2025</v>
      </c>
      <c r="H25" s="268">
        <v>2026</v>
      </c>
      <c r="I25" s="268" t="s">
        <v>4</v>
      </c>
      <c r="J25" s="268" t="s">
        <v>5</v>
      </c>
      <c r="K25" s="268" t="s">
        <v>6</v>
      </c>
      <c r="L25" s="269" t="s">
        <v>7</v>
      </c>
      <c r="M25" s="266"/>
      <c r="N25" s="4"/>
    </row>
    <row r="26" spans="1:14">
      <c r="A26" s="157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158"/>
      <c r="M26" s="266"/>
    </row>
    <row r="27" spans="1:14">
      <c r="A27" s="157" t="s">
        <v>283</v>
      </c>
      <c r="B27" s="23">
        <v>48</v>
      </c>
      <c r="C27" s="23">
        <v>32</v>
      </c>
      <c r="D27" s="23">
        <v>39</v>
      </c>
      <c r="E27" s="23">
        <v>25</v>
      </c>
      <c r="F27" s="23">
        <v>14</v>
      </c>
      <c r="G27" s="209">
        <v>23</v>
      </c>
      <c r="H27" s="209">
        <f>+H29*'Income statement'!H3</f>
        <v>27.610771</v>
      </c>
      <c r="I27" s="209">
        <f>+I29*'Income statement'!I3</f>
        <v>63.201633146666659</v>
      </c>
      <c r="J27" s="209">
        <f>+J29*'Income statement'!J3</f>
        <v>65.440812852833332</v>
      </c>
      <c r="K27" s="209">
        <f>+K29*'Income statement'!K3</f>
        <v>67.778387694988666</v>
      </c>
      <c r="L27" s="210">
        <f>+L29*'Income statement'!L3</f>
        <v>104.22609940645445</v>
      </c>
      <c r="M27" s="266"/>
    </row>
    <row r="28" spans="1:14">
      <c r="A28" s="455" t="s">
        <v>285</v>
      </c>
      <c r="B28" s="558">
        <v>168</v>
      </c>
      <c r="C28" s="558">
        <f>B28+C27</f>
        <v>200</v>
      </c>
      <c r="D28" s="558">
        <f>C28+D27</f>
        <v>239</v>
      </c>
      <c r="E28" s="558">
        <f>D28+E27</f>
        <v>264</v>
      </c>
      <c r="F28" s="558">
        <f>E28+F27</f>
        <v>278</v>
      </c>
      <c r="G28" s="558">
        <f>+F28+G27</f>
        <v>301</v>
      </c>
      <c r="H28" s="558">
        <f t="shared" ref="H28:L28" si="8">+G28+H27</f>
        <v>328.610771</v>
      </c>
      <c r="I28" s="558">
        <f t="shared" si="8"/>
        <v>391.81240414666667</v>
      </c>
      <c r="J28" s="558">
        <f t="shared" si="8"/>
        <v>457.25321699950001</v>
      </c>
      <c r="K28" s="558">
        <f t="shared" si="8"/>
        <v>525.03160469448869</v>
      </c>
      <c r="L28" s="489">
        <f t="shared" si="8"/>
        <v>629.2577041009431</v>
      </c>
      <c r="M28" s="266"/>
    </row>
    <row r="29" spans="1:14">
      <c r="A29" s="157" t="s">
        <v>284</v>
      </c>
      <c r="B29" s="221">
        <f>+B27/'Income statement'!B3</f>
        <v>4.1750021744802988E-3</v>
      </c>
      <c r="C29" s="221">
        <f>+C27/'Income statement'!C3</f>
        <v>2.6182294223531335E-3</v>
      </c>
      <c r="D29" s="221">
        <f>+D27/'Income statement'!D3</f>
        <v>3.2731850608476712E-3</v>
      </c>
      <c r="E29" s="221">
        <f>+E27/'Income statement'!E3</f>
        <v>2.1164917033525228E-3</v>
      </c>
      <c r="F29" s="221">
        <f>+F27/'Income statement'!F3</f>
        <v>7.4938443421475212E-4</v>
      </c>
      <c r="G29" s="221">
        <v>5.0000000000000001E-4</v>
      </c>
      <c r="H29" s="221">
        <v>1E-3</v>
      </c>
      <c r="I29" s="221">
        <v>2E-3</v>
      </c>
      <c r="J29" s="221">
        <v>2E-3</v>
      </c>
      <c r="K29" s="221">
        <v>2E-3</v>
      </c>
      <c r="L29" s="221">
        <v>3.0000000000000001E-3</v>
      </c>
      <c r="M29" s="266"/>
    </row>
    <row r="30" spans="1:14">
      <c r="A30" s="157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158"/>
      <c r="M30" s="266"/>
    </row>
    <row r="31" spans="1:14" ht="15.6">
      <c r="A31" s="267" t="s">
        <v>295</v>
      </c>
      <c r="B31" s="268">
        <v>2020</v>
      </c>
      <c r="C31" s="268">
        <v>2021</v>
      </c>
      <c r="D31" s="268">
        <v>2022</v>
      </c>
      <c r="E31" s="268">
        <v>2023</v>
      </c>
      <c r="F31" s="268">
        <v>2024</v>
      </c>
      <c r="G31" s="268">
        <v>2025</v>
      </c>
      <c r="H31" s="268">
        <v>2026</v>
      </c>
      <c r="I31" s="268" t="s">
        <v>4</v>
      </c>
      <c r="J31" s="268" t="s">
        <v>5</v>
      </c>
      <c r="K31" s="268" t="s">
        <v>6</v>
      </c>
      <c r="L31" s="269" t="s">
        <v>7</v>
      </c>
      <c r="M31" s="266"/>
    </row>
    <row r="32" spans="1:14">
      <c r="A32" s="157" t="s">
        <v>286</v>
      </c>
      <c r="B32" s="23"/>
      <c r="C32" s="23"/>
      <c r="D32" s="23"/>
      <c r="E32" s="23"/>
      <c r="F32" s="23"/>
      <c r="G32" s="23"/>
      <c r="H32" s="23"/>
      <c r="I32" s="261"/>
      <c r="J32" s="261"/>
      <c r="K32" s="261"/>
      <c r="L32" s="274"/>
      <c r="M32" s="266"/>
    </row>
    <row r="33" spans="1:14">
      <c r="A33" s="455" t="s">
        <v>296</v>
      </c>
      <c r="B33" s="458">
        <v>500</v>
      </c>
      <c r="C33" s="458">
        <v>500</v>
      </c>
      <c r="D33" s="458">
        <v>500</v>
      </c>
      <c r="E33" s="458">
        <v>500</v>
      </c>
      <c r="F33" s="458">
        <v>500</v>
      </c>
      <c r="G33" s="458">
        <v>1037</v>
      </c>
      <c r="H33" s="458"/>
      <c r="I33" s="458"/>
      <c r="J33" s="458"/>
      <c r="K33" s="458"/>
      <c r="L33" s="461"/>
      <c r="M33" s="266"/>
    </row>
    <row r="34" spans="1:14">
      <c r="A34" s="157" t="s">
        <v>298</v>
      </c>
      <c r="B34" s="23">
        <f>49+68</f>
        <v>117</v>
      </c>
      <c r="C34" s="23">
        <f>17+68</f>
        <v>85</v>
      </c>
      <c r="D34" s="23">
        <f>14+73</f>
        <v>87</v>
      </c>
      <c r="E34" s="23">
        <v>73</v>
      </c>
      <c r="F34" s="23">
        <v>82</v>
      </c>
      <c r="G34" s="23">
        <v>76</v>
      </c>
      <c r="H34" s="23"/>
      <c r="I34" s="23"/>
      <c r="J34" s="23"/>
      <c r="K34" s="23"/>
      <c r="L34" s="158"/>
      <c r="M34" s="266"/>
    </row>
    <row r="35" spans="1:14">
      <c r="A35" s="455" t="s">
        <v>300</v>
      </c>
      <c r="B35" s="458">
        <f>+B33+B34</f>
        <v>617</v>
      </c>
      <c r="C35" s="458">
        <f t="shared" ref="C35:G35" si="9">+C33+C34</f>
        <v>585</v>
      </c>
      <c r="D35" s="458">
        <f t="shared" si="9"/>
        <v>587</v>
      </c>
      <c r="E35" s="458">
        <f t="shared" si="9"/>
        <v>573</v>
      </c>
      <c r="F35" s="458">
        <f t="shared" si="9"/>
        <v>582</v>
      </c>
      <c r="G35" s="458">
        <f t="shared" si="9"/>
        <v>1113</v>
      </c>
      <c r="H35" s="490">
        <f>+H39*'Income statement'!H3</f>
        <v>1242.4846949999999</v>
      </c>
      <c r="I35" s="490">
        <f>+I39*'Income statement'!I3</f>
        <v>1422.0367457999998</v>
      </c>
      <c r="J35" s="490">
        <f>+J39*'Income statement'!J3</f>
        <v>1472.4182891887499</v>
      </c>
      <c r="K35" s="490">
        <f>+K39*'Income statement'!K3</f>
        <v>1525.0137231372448</v>
      </c>
      <c r="L35" s="491">
        <f>+L39*'Income statement'!L3</f>
        <v>1563.3914910968167</v>
      </c>
      <c r="M35" s="266"/>
    </row>
    <row r="36" spans="1:14">
      <c r="A36" s="157" t="s">
        <v>297</v>
      </c>
      <c r="B36" s="23"/>
      <c r="C36" s="23"/>
      <c r="D36" s="23"/>
      <c r="E36" s="23">
        <v>12977</v>
      </c>
      <c r="F36" s="23"/>
      <c r="G36" s="261"/>
      <c r="H36" s="23"/>
      <c r="I36" s="261"/>
      <c r="J36" s="261"/>
      <c r="K36" s="261"/>
      <c r="L36" s="274"/>
      <c r="M36" s="266"/>
      <c r="N36" s="4"/>
    </row>
    <row r="37" spans="1:14">
      <c r="A37" s="465" t="s">
        <v>282</v>
      </c>
      <c r="B37" s="559">
        <f>+'Balance sheet'!B41</f>
        <v>18103</v>
      </c>
      <c r="C37" s="559">
        <f>+'Balance sheet'!C41</f>
        <v>17981</v>
      </c>
      <c r="D37" s="559">
        <f>+'Balance sheet'!D41</f>
        <v>17369</v>
      </c>
      <c r="E37" s="559">
        <f>+'Balance sheet'!E41</f>
        <v>30419</v>
      </c>
      <c r="F37" s="559">
        <f>+'Balance sheet'!F41</f>
        <v>29808</v>
      </c>
      <c r="G37" s="559">
        <f>+'Balance sheet'!G41</f>
        <v>28847</v>
      </c>
      <c r="H37" s="560">
        <f>+G37-H35</f>
        <v>27604.515305000001</v>
      </c>
      <c r="I37" s="560">
        <f t="shared" ref="I37:L37" si="10">+H37-I35</f>
        <v>26182.478559200001</v>
      </c>
      <c r="J37" s="560">
        <f t="shared" si="10"/>
        <v>24710.06027001125</v>
      </c>
      <c r="K37" s="560">
        <f t="shared" si="10"/>
        <v>23185.046546874004</v>
      </c>
      <c r="L37" s="496">
        <f t="shared" si="10"/>
        <v>21621.655055777188</v>
      </c>
      <c r="M37" s="266"/>
      <c r="N37" s="4"/>
    </row>
    <row r="38" spans="1:14">
      <c r="A38" s="157"/>
      <c r="B38" s="164"/>
      <c r="C38" s="164"/>
      <c r="D38" s="164"/>
      <c r="E38" s="164"/>
      <c r="F38" s="164"/>
      <c r="G38" s="261"/>
      <c r="H38" s="23"/>
      <c r="I38" s="261"/>
      <c r="J38" s="261"/>
      <c r="K38" s="261"/>
      <c r="L38" s="274"/>
      <c r="M38" s="266"/>
      <c r="N38" s="4"/>
    </row>
    <row r="39" spans="1:14" ht="15" thickBot="1">
      <c r="A39" s="275" t="s">
        <v>299</v>
      </c>
      <c r="B39" s="276">
        <f>+(B33+B34)/'Income statement'!B3</f>
        <v>5.3666173784465511E-2</v>
      </c>
      <c r="C39" s="276">
        <f>+(C33+C34)/'Income statement'!C3</f>
        <v>4.7864506627393229E-2</v>
      </c>
      <c r="D39" s="276">
        <f>+(D33+D34)/'Income statement'!D3</f>
        <v>4.9265631556861096E-2</v>
      </c>
      <c r="E39" s="276">
        <f>+(E33+E34)/'Income statement'!E3</f>
        <v>4.8509989840839825E-2</v>
      </c>
      <c r="F39" s="276">
        <f>+(F33+F34)/'Income statement'!F3</f>
        <v>3.1152981479498982E-2</v>
      </c>
      <c r="G39" s="277">
        <v>4.4999999999999998E-2</v>
      </c>
      <c r="H39" s="277">
        <v>4.4999999999999998E-2</v>
      </c>
      <c r="I39" s="277">
        <v>4.4999999999999998E-2</v>
      </c>
      <c r="J39" s="277">
        <v>4.4999999999999998E-2</v>
      </c>
      <c r="K39" s="277">
        <v>4.4999999999999998E-2</v>
      </c>
      <c r="L39" s="278">
        <v>4.4999999999999998E-2</v>
      </c>
      <c r="M39" s="266"/>
    </row>
    <row r="40" spans="1:14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3"/>
    </row>
    <row r="41" spans="1:14">
      <c r="A41" s="6"/>
      <c r="B41" s="2"/>
      <c r="C41" s="7"/>
      <c r="D41" s="2"/>
      <c r="E41" s="2"/>
      <c r="F41" s="7"/>
      <c r="G41" s="2"/>
      <c r="H41" s="2"/>
      <c r="I41" s="2"/>
      <c r="J41" s="7"/>
      <c r="K41" s="2"/>
      <c r="L41" s="3"/>
    </row>
    <row r="42" spans="1:14">
      <c r="A42" s="3"/>
      <c r="B42" s="1"/>
      <c r="C42" s="1"/>
      <c r="D42" s="1"/>
      <c r="E42" s="1"/>
      <c r="F42" s="1"/>
      <c r="G42" s="1"/>
      <c r="H42" s="5"/>
      <c r="I42" s="1"/>
      <c r="J42" s="5"/>
      <c r="K42" s="1"/>
      <c r="L42" s="3"/>
    </row>
    <row r="43" spans="1:14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3"/>
    </row>
    <row r="44" spans="1:14">
      <c r="A44" s="3"/>
      <c r="B44" s="1"/>
      <c r="C44" s="1"/>
      <c r="D44" s="1"/>
      <c r="E44" s="1"/>
      <c r="F44" s="5"/>
      <c r="G44" s="1"/>
      <c r="H44" s="1"/>
      <c r="I44" s="1"/>
      <c r="J44" s="5"/>
      <c r="K44" s="1"/>
      <c r="L44" s="3"/>
    </row>
    <row r="45" spans="1:14">
      <c r="A45" s="3"/>
      <c r="B45" s="1"/>
      <c r="C45" s="1"/>
      <c r="D45" s="1"/>
      <c r="E45" s="1"/>
      <c r="F45" s="1"/>
      <c r="G45" s="1"/>
      <c r="H45" s="5"/>
      <c r="I45" s="1"/>
      <c r="J45" s="5"/>
      <c r="K45" s="1"/>
      <c r="L45" s="3"/>
    </row>
    <row r="46" spans="1:14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3"/>
    </row>
    <row r="47" spans="1:14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3"/>
    </row>
    <row r="48" spans="1:14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3"/>
    </row>
    <row r="49" spans="1:14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3"/>
    </row>
    <row r="50" spans="1:14">
      <c r="A50" s="6"/>
      <c r="B50" s="7"/>
      <c r="C50" s="7"/>
      <c r="D50" s="2"/>
      <c r="E50" s="2"/>
      <c r="F50" s="7"/>
      <c r="G50" s="2"/>
      <c r="H50" s="7"/>
      <c r="I50" s="2"/>
      <c r="J50" s="7"/>
      <c r="K50" s="2"/>
      <c r="L50" s="6"/>
      <c r="M50" s="4"/>
      <c r="N50" s="4"/>
    </row>
    <row r="51" spans="1:14">
      <c r="A51" s="3"/>
      <c r="B51" s="1"/>
      <c r="C51" s="1"/>
      <c r="D51" s="1"/>
      <c r="E51" s="1"/>
      <c r="F51" s="1"/>
      <c r="G51" s="1"/>
      <c r="H51" s="5"/>
      <c r="I51" s="1"/>
      <c r="J51" s="5"/>
      <c r="K51" s="1"/>
      <c r="L51" s="3"/>
    </row>
    <row r="52" spans="1:14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3"/>
    </row>
    <row r="53" spans="1:14">
      <c r="A53" s="3"/>
      <c r="B53" s="1"/>
      <c r="C53" s="1"/>
      <c r="D53" s="1"/>
      <c r="E53" s="1"/>
      <c r="F53" s="1"/>
      <c r="G53" s="1"/>
      <c r="H53" s="5"/>
      <c r="I53" s="1"/>
      <c r="J53" s="5"/>
      <c r="K53" s="1"/>
      <c r="L53" s="3"/>
    </row>
    <row r="54" spans="1:14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3"/>
    </row>
    <row r="55" spans="1:14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3"/>
    </row>
    <row r="56" spans="1:14">
      <c r="A56" s="3"/>
      <c r="B56" s="1"/>
      <c r="C56" s="1"/>
      <c r="D56" s="1"/>
      <c r="E56" s="1"/>
      <c r="F56" s="1"/>
      <c r="G56" s="1"/>
      <c r="H56" s="1"/>
      <c r="I56" s="1"/>
      <c r="J56" s="5"/>
      <c r="K56" s="1"/>
      <c r="L56" s="3"/>
    </row>
    <row r="57" spans="1:14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3"/>
    </row>
    <row r="58" spans="1:14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3"/>
    </row>
    <row r="59" spans="1:14">
      <c r="A59" s="6"/>
      <c r="B59" s="7"/>
      <c r="C59" s="7"/>
      <c r="D59" s="2"/>
      <c r="E59" s="2"/>
      <c r="F59" s="7"/>
      <c r="G59" s="2"/>
      <c r="H59" s="7"/>
      <c r="I59" s="2"/>
      <c r="J59" s="7"/>
      <c r="K59" s="1"/>
      <c r="L59" s="3"/>
    </row>
    <row r="60" spans="1:14">
      <c r="L60" s="6"/>
      <c r="M60" s="4"/>
      <c r="N60" s="4"/>
    </row>
    <row r="61" spans="1:14">
      <c r="L61" s="3"/>
    </row>
    <row r="62" spans="1:14">
      <c r="L62" s="3"/>
    </row>
    <row r="63" spans="1:14">
      <c r="L63" s="3"/>
    </row>
    <row r="64" spans="1:14">
      <c r="L64" s="3"/>
    </row>
    <row r="65" spans="12:14">
      <c r="L65" s="3"/>
    </row>
    <row r="66" spans="12:14">
      <c r="L66" s="3"/>
    </row>
    <row r="67" spans="12:14">
      <c r="L67" s="3"/>
    </row>
    <row r="68" spans="12:14">
      <c r="L68" s="3"/>
    </row>
    <row r="69" spans="12:14">
      <c r="L69" s="6"/>
      <c r="M69" s="4"/>
      <c r="N69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AFE5-E75E-494E-8F5B-DC1304227ED6}">
  <dimension ref="A1:M49"/>
  <sheetViews>
    <sheetView zoomScale="60" zoomScaleNormal="70" workbookViewId="0">
      <pane ySplit="2" topLeftCell="A3" activePane="bottomLeft" state="frozen"/>
      <selection pane="bottomLeft" activeCell="O25" sqref="O25"/>
    </sheetView>
  </sheetViews>
  <sheetFormatPr defaultColWidth="11.5546875" defaultRowHeight="14.4"/>
  <cols>
    <col min="1" max="1" width="37.5546875" bestFit="1" customWidth="1"/>
    <col min="2" max="2" width="10.33203125" customWidth="1"/>
    <col min="3" max="6" width="10.109375" bestFit="1" customWidth="1"/>
    <col min="7" max="7" width="8.77734375" bestFit="1" customWidth="1"/>
    <col min="8" max="13" width="11" bestFit="1" customWidth="1"/>
  </cols>
  <sheetData>
    <row r="1" spans="1:13">
      <c r="A1" s="279" t="s">
        <v>79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1"/>
      <c r="M1" s="23"/>
    </row>
    <row r="2" spans="1:13">
      <c r="A2" s="282"/>
      <c r="B2" s="283">
        <v>2020</v>
      </c>
      <c r="C2" s="283">
        <v>2021</v>
      </c>
      <c r="D2" s="283">
        <v>2022</v>
      </c>
      <c r="E2" s="283">
        <v>2023</v>
      </c>
      <c r="F2" s="284">
        <v>2024</v>
      </c>
      <c r="G2" s="283">
        <v>2025</v>
      </c>
      <c r="H2" s="283">
        <v>2026</v>
      </c>
      <c r="I2" s="283">
        <v>2027</v>
      </c>
      <c r="J2" s="283">
        <v>2028</v>
      </c>
      <c r="K2" s="283">
        <v>2029</v>
      </c>
      <c r="L2" s="285">
        <v>2030</v>
      </c>
      <c r="M2" s="23"/>
    </row>
    <row r="3" spans="1:13">
      <c r="A3" s="286" t="s">
        <v>247</v>
      </c>
      <c r="B3" s="287">
        <v>673</v>
      </c>
      <c r="C3" s="287">
        <v>669</v>
      </c>
      <c r="D3" s="287">
        <v>750</v>
      </c>
      <c r="E3" s="288">
        <v>1247</v>
      </c>
      <c r="F3" s="289">
        <v>1081</v>
      </c>
      <c r="G3" s="36">
        <v>1060</v>
      </c>
      <c r="H3" s="36">
        <f>H4*'Income statement'!H4</f>
        <v>1026.0839737205506</v>
      </c>
      <c r="I3" s="36">
        <f>I4*'Income statement'!I4</f>
        <v>1175.8784607346097</v>
      </c>
      <c r="J3" s="36">
        <f>J4*'Income statement'!J4</f>
        <v>1221.9954053242013</v>
      </c>
      <c r="K3" s="36">
        <f>K4*'Income statement'!K4</f>
        <v>1270.6122054052976</v>
      </c>
      <c r="L3" s="159">
        <f>L4*'Income statement'!L4</f>
        <v>1321.8825384583054</v>
      </c>
      <c r="M3" s="23"/>
    </row>
    <row r="4" spans="1:13">
      <c r="A4" s="469"/>
      <c r="B4" s="470">
        <f>B3/'Income statement'!B4</f>
        <v>0.13422417231751096</v>
      </c>
      <c r="C4" s="470">
        <f>C3/'Income statement'!C4</f>
        <v>0.12309107635694572</v>
      </c>
      <c r="D4" s="470">
        <f>D3/'Income statement'!D4</f>
        <v>0.11595547309833024</v>
      </c>
      <c r="E4" s="470">
        <f>E3/'Income statement'!E4</f>
        <v>0.18614718614718614</v>
      </c>
      <c r="F4" s="470">
        <f>F3/'Income statement'!F4</f>
        <v>0.12060693964074529</v>
      </c>
      <c r="G4" s="470">
        <f>G3/'Income statement'!G4</f>
        <v>0.1311069882498454</v>
      </c>
      <c r="H4" s="471">
        <f>G4</f>
        <v>0.1311069882498454</v>
      </c>
      <c r="I4" s="471">
        <f>H4</f>
        <v>0.1311069882498454</v>
      </c>
      <c r="J4" s="471">
        <f>I4</f>
        <v>0.1311069882498454</v>
      </c>
      <c r="K4" s="471">
        <f>J4</f>
        <v>0.1311069882498454</v>
      </c>
      <c r="L4" s="472">
        <f>K4</f>
        <v>0.1311069882498454</v>
      </c>
      <c r="M4" s="23"/>
    </row>
    <row r="5" spans="1:13">
      <c r="A5" s="286" t="s">
        <v>248</v>
      </c>
      <c r="B5" s="287">
        <v>148</v>
      </c>
      <c r="C5" s="287">
        <v>132</v>
      </c>
      <c r="D5" s="287">
        <v>123</v>
      </c>
      <c r="E5" s="287">
        <v>160</v>
      </c>
      <c r="F5" s="291">
        <v>118</v>
      </c>
      <c r="G5" s="36">
        <v>199</v>
      </c>
      <c r="H5" s="36">
        <f>H6*'Cost of sales'!H66</f>
        <v>178.43152454780363</v>
      </c>
      <c r="I5" s="36">
        <f>I6*'Cost of sales'!I66</f>
        <v>194.84748695343771</v>
      </c>
      <c r="J5" s="36">
        <f>J6*'Cost of sales'!J66</f>
        <v>194.32802708111669</v>
      </c>
      <c r="K5" s="36">
        <f>K6*'Cost of sales'!K66</f>
        <v>193.86234303414906</v>
      </c>
      <c r="L5" s="159">
        <f>L6*'Cost of sales'!L66</f>
        <v>193.45058036020927</v>
      </c>
      <c r="M5" s="23"/>
    </row>
    <row r="6" spans="1:13">
      <c r="A6" s="469"/>
      <c r="B6" s="470">
        <f>B5/'Cost of sales'!B66</f>
        <v>2.2880111308649611E-2</v>
      </c>
      <c r="C6" s="470">
        <f>C5/'Cost of sales'!C66</f>
        <v>2.0005152842398798E-2</v>
      </c>
      <c r="D6" s="470">
        <f>D5/'Cost of sales'!D66</f>
        <v>1.9138011513925628E-2</v>
      </c>
      <c r="E6" s="470">
        <f>E5/'Cost of sales'!E66</f>
        <v>2.7086507533434907E-2</v>
      </c>
      <c r="F6" s="470">
        <f>F5/'Cost of sales'!F66</f>
        <v>1.5330648304534233E-2</v>
      </c>
      <c r="G6" s="470">
        <f>G5/'Cost of sales'!G66</f>
        <v>3.0247758017935857E-2</v>
      </c>
      <c r="H6" s="471">
        <f>G6</f>
        <v>3.0247758017935857E-2</v>
      </c>
      <c r="I6" s="471">
        <f>H6</f>
        <v>3.0247758017935857E-2</v>
      </c>
      <c r="J6" s="471">
        <f>I6</f>
        <v>3.0247758017935857E-2</v>
      </c>
      <c r="K6" s="471">
        <f>J6</f>
        <v>3.0247758017935857E-2</v>
      </c>
      <c r="L6" s="472">
        <f>K6</f>
        <v>3.0247758017935857E-2</v>
      </c>
      <c r="M6" s="23"/>
    </row>
    <row r="7" spans="1:13">
      <c r="A7" s="286" t="s">
        <v>249</v>
      </c>
      <c r="B7" s="287">
        <v>39</v>
      </c>
      <c r="C7" s="287">
        <v>58</v>
      </c>
      <c r="D7" s="287">
        <v>47</v>
      </c>
      <c r="E7" s="287">
        <v>134</v>
      </c>
      <c r="F7" s="291">
        <v>148</v>
      </c>
      <c r="G7" s="36">
        <v>162</v>
      </c>
      <c r="H7" s="36">
        <f>H8*'Cost of sales'!H66</f>
        <v>145.25581395348837</v>
      </c>
      <c r="I7" s="36">
        <f>I8*'Cost of sales'!I66</f>
        <v>158.61956224350203</v>
      </c>
      <c r="J7" s="36">
        <f>J8*'Cost of sales'!J66</f>
        <v>158.19668536251709</v>
      </c>
      <c r="K7" s="36">
        <f>K8*'Cost of sales'!K66</f>
        <v>157.81758578659372</v>
      </c>
      <c r="L7" s="159">
        <f>L8*'Cost of sales'!L66</f>
        <v>157.4823820017784</v>
      </c>
      <c r="M7" s="23"/>
    </row>
    <row r="8" spans="1:13">
      <c r="A8" s="469"/>
      <c r="B8" s="470">
        <f>B7/'Cost of sales'!B66</f>
        <v>6.0292185205225324E-3</v>
      </c>
      <c r="C8" s="470">
        <f>C7/'Cost of sales'!C66</f>
        <v>8.790142915599472E-3</v>
      </c>
      <c r="D8" s="470">
        <f>D7/'Cost of sales'!D66</f>
        <v>7.312898708573207E-3</v>
      </c>
      <c r="E8" s="470">
        <f>E7/'Cost of sales'!E66</f>
        <v>2.2684950059251734E-2</v>
      </c>
      <c r="F8" s="470">
        <f>F7/'Cost of sales'!F66</f>
        <v>1.9228270754839547E-2</v>
      </c>
      <c r="G8" s="470">
        <f>G7/'Cost of sales'!G66</f>
        <v>2.4623803009575923E-2</v>
      </c>
      <c r="H8" s="471">
        <f t="shared" ref="H8:L9" si="0">G8</f>
        <v>2.4623803009575923E-2</v>
      </c>
      <c r="I8" s="471">
        <f t="shared" si="0"/>
        <v>2.4623803009575923E-2</v>
      </c>
      <c r="J8" s="471">
        <f t="shared" si="0"/>
        <v>2.4623803009575923E-2</v>
      </c>
      <c r="K8" s="471">
        <f t="shared" si="0"/>
        <v>2.4623803009575923E-2</v>
      </c>
      <c r="L8" s="472">
        <f t="shared" si="0"/>
        <v>2.4623803009575923E-2</v>
      </c>
      <c r="M8" s="23"/>
    </row>
    <row r="9" spans="1:13">
      <c r="A9" s="286" t="s">
        <v>250</v>
      </c>
      <c r="B9" s="287">
        <v>103</v>
      </c>
      <c r="C9" s="287">
        <v>71</v>
      </c>
      <c r="D9" s="287">
        <v>59</v>
      </c>
      <c r="E9" s="287">
        <v>122</v>
      </c>
      <c r="F9" s="291">
        <v>76</v>
      </c>
      <c r="G9" s="23">
        <v>91</v>
      </c>
      <c r="H9" s="23">
        <f>G9</f>
        <v>91</v>
      </c>
      <c r="I9" s="23">
        <f t="shared" si="0"/>
        <v>91</v>
      </c>
      <c r="J9" s="23">
        <f t="shared" si="0"/>
        <v>91</v>
      </c>
      <c r="K9" s="23">
        <f t="shared" si="0"/>
        <v>91</v>
      </c>
      <c r="L9" s="158">
        <f t="shared" si="0"/>
        <v>91</v>
      </c>
      <c r="M9" s="23"/>
    </row>
    <row r="10" spans="1:13" ht="15" thickBot="1">
      <c r="A10" s="571" t="s">
        <v>251</v>
      </c>
      <c r="B10" s="572">
        <v>963</v>
      </c>
      <c r="C10" s="572">
        <v>930</v>
      </c>
      <c r="D10" s="572">
        <v>979</v>
      </c>
      <c r="E10" s="573">
        <v>1663</v>
      </c>
      <c r="F10" s="574">
        <v>1423</v>
      </c>
      <c r="G10" s="575">
        <f t="shared" ref="G10:L10" si="1">G3+G5+G7+G9</f>
        <v>1512</v>
      </c>
      <c r="H10" s="575">
        <f t="shared" si="1"/>
        <v>1440.7713122218427</v>
      </c>
      <c r="I10" s="575">
        <f t="shared" si="1"/>
        <v>1620.3455099315495</v>
      </c>
      <c r="J10" s="575">
        <f t="shared" si="1"/>
        <v>1665.520117767835</v>
      </c>
      <c r="K10" s="575">
        <f t="shared" si="1"/>
        <v>1713.2921342260404</v>
      </c>
      <c r="L10" s="576">
        <f t="shared" si="1"/>
        <v>1763.815500820293</v>
      </c>
      <c r="M10" s="23"/>
    </row>
    <row r="11" spans="1:13">
      <c r="A11" s="157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158"/>
      <c r="M11" s="23"/>
    </row>
    <row r="12" spans="1:13">
      <c r="A12" s="157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158"/>
      <c r="M12" s="23"/>
    </row>
    <row r="13" spans="1:13">
      <c r="A13" s="234" t="s">
        <v>80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158"/>
      <c r="M13" s="23"/>
    </row>
    <row r="14" spans="1:13">
      <c r="A14" s="282" t="s">
        <v>252</v>
      </c>
      <c r="B14" s="283">
        <v>2020</v>
      </c>
      <c r="C14" s="283">
        <v>2021</v>
      </c>
      <c r="D14" s="283">
        <v>2022</v>
      </c>
      <c r="E14" s="283">
        <v>2023</v>
      </c>
      <c r="F14" s="283">
        <v>2024</v>
      </c>
      <c r="G14" s="283">
        <v>2025</v>
      </c>
      <c r="H14" s="283">
        <v>2026</v>
      </c>
      <c r="I14" s="283">
        <v>2027</v>
      </c>
      <c r="J14" s="283">
        <v>2028</v>
      </c>
      <c r="K14" s="283">
        <v>2029</v>
      </c>
      <c r="L14" s="285">
        <v>2030</v>
      </c>
      <c r="M14" s="23"/>
    </row>
    <row r="15" spans="1:13">
      <c r="A15" s="292" t="s">
        <v>253</v>
      </c>
      <c r="B15" s="287"/>
      <c r="C15" s="287"/>
      <c r="D15" s="287"/>
      <c r="E15" s="287"/>
      <c r="F15" s="287"/>
      <c r="G15" s="293"/>
      <c r="H15" s="293"/>
      <c r="I15" s="293"/>
      <c r="J15" s="293"/>
      <c r="K15" s="293"/>
      <c r="L15" s="294"/>
      <c r="M15" s="23"/>
    </row>
    <row r="16" spans="1:13">
      <c r="A16" s="469" t="s">
        <v>254</v>
      </c>
      <c r="B16" s="473">
        <v>514</v>
      </c>
      <c r="C16" s="473">
        <v>491</v>
      </c>
      <c r="D16" s="473">
        <v>480</v>
      </c>
      <c r="E16" s="473">
        <v>746</v>
      </c>
      <c r="F16" s="473">
        <v>624</v>
      </c>
      <c r="G16" s="474"/>
      <c r="H16" s="474"/>
      <c r="I16" s="474"/>
      <c r="J16" s="474"/>
      <c r="K16" s="474"/>
      <c r="L16" s="475"/>
      <c r="M16" s="23"/>
    </row>
    <row r="17" spans="1:13">
      <c r="A17" s="286" t="s">
        <v>255</v>
      </c>
      <c r="B17" s="287">
        <v>313</v>
      </c>
      <c r="C17" s="287">
        <v>366</v>
      </c>
      <c r="D17" s="287">
        <v>294</v>
      </c>
      <c r="E17" s="287">
        <v>233</v>
      </c>
      <c r="F17" s="287">
        <v>137</v>
      </c>
      <c r="G17" s="293"/>
      <c r="H17" s="293"/>
      <c r="I17" s="293"/>
      <c r="J17" s="293"/>
      <c r="K17" s="293"/>
      <c r="L17" s="294"/>
      <c r="M17" s="23"/>
    </row>
    <row r="18" spans="1:13">
      <c r="A18" s="482" t="s">
        <v>256</v>
      </c>
      <c r="B18" s="483">
        <v>827</v>
      </c>
      <c r="C18" s="483">
        <v>857</v>
      </c>
      <c r="D18" s="483">
        <v>774</v>
      </c>
      <c r="E18" s="483">
        <v>979</v>
      </c>
      <c r="F18" s="483">
        <v>761</v>
      </c>
      <c r="G18" s="298">
        <v>1177</v>
      </c>
      <c r="H18" s="298">
        <f>H19*'Income statement'!H4</f>
        <v>971.03008630070963</v>
      </c>
      <c r="I18" s="298">
        <f>I19*'Income statement'!I4</f>
        <v>1112.7874447410884</v>
      </c>
      <c r="J18" s="298">
        <f>J19*'Income statement'!J4</f>
        <v>1156.4300138013787</v>
      </c>
      <c r="K18" s="298">
        <f>K19*'Income statement'!K4</f>
        <v>1202.4383101859671</v>
      </c>
      <c r="L18" s="299">
        <f>L19*'Income statement'!L4</f>
        <v>1250.9577659071292</v>
      </c>
      <c r="M18" s="23"/>
    </row>
    <row r="19" spans="1:13">
      <c r="A19" s="286"/>
      <c r="B19" s="290">
        <f>B18/'Income statement'!B4</f>
        <v>0.16493817311527723</v>
      </c>
      <c r="C19" s="290">
        <f>C18/'Income statement'!C4</f>
        <v>0.15768169273229071</v>
      </c>
      <c r="D19" s="290">
        <f>D18/'Income statement'!D4</f>
        <v>0.11966604823747681</v>
      </c>
      <c r="E19" s="290">
        <f>E18/'Income statement'!E4</f>
        <v>0.14614121510673234</v>
      </c>
      <c r="F19" s="290">
        <f>F18/'Income statement'!F4</f>
        <v>8.4904607832199039E-2</v>
      </c>
      <c r="G19" s="290">
        <f>G18/'Income statement'!G4</f>
        <v>0.14557823129251701</v>
      </c>
      <c r="H19" s="295">
        <f>AVERAGE(D19:G19)</f>
        <v>0.1240725256172313</v>
      </c>
      <c r="I19" s="295">
        <f>H19</f>
        <v>0.1240725256172313</v>
      </c>
      <c r="J19" s="295">
        <f>I19</f>
        <v>0.1240725256172313</v>
      </c>
      <c r="K19" s="295">
        <f>J19</f>
        <v>0.1240725256172313</v>
      </c>
      <c r="L19" s="296">
        <f>K19</f>
        <v>0.1240725256172313</v>
      </c>
      <c r="M19" s="23"/>
    </row>
    <row r="20" spans="1:13">
      <c r="A20" s="292" t="s">
        <v>257</v>
      </c>
      <c r="B20" s="287"/>
      <c r="C20" s="287"/>
      <c r="D20" s="287"/>
      <c r="E20" s="287"/>
      <c r="F20" s="287"/>
      <c r="G20" s="293"/>
      <c r="H20" s="293"/>
      <c r="I20" s="293"/>
      <c r="J20" s="293"/>
      <c r="K20" s="293"/>
      <c r="L20" s="294"/>
      <c r="M20" s="23"/>
    </row>
    <row r="21" spans="1:13">
      <c r="A21" s="469" t="s">
        <v>254</v>
      </c>
      <c r="B21" s="476">
        <v>1446</v>
      </c>
      <c r="C21" s="476">
        <v>1442</v>
      </c>
      <c r="D21" s="476">
        <v>1391</v>
      </c>
      <c r="E21" s="476">
        <v>1532</v>
      </c>
      <c r="F21" s="476">
        <v>2072</v>
      </c>
      <c r="G21" s="474"/>
      <c r="H21" s="474"/>
      <c r="I21" s="474"/>
      <c r="J21" s="474"/>
      <c r="K21" s="474"/>
      <c r="L21" s="475"/>
      <c r="M21" s="23"/>
    </row>
    <row r="22" spans="1:13">
      <c r="A22" s="286" t="s">
        <v>255</v>
      </c>
      <c r="B22" s="287">
        <v>259</v>
      </c>
      <c r="C22" s="287">
        <v>333</v>
      </c>
      <c r="D22" s="287">
        <v>325</v>
      </c>
      <c r="E22" s="287">
        <v>403</v>
      </c>
      <c r="F22" s="287">
        <v>194</v>
      </c>
      <c r="G22" s="293"/>
      <c r="H22" s="293"/>
      <c r="I22" s="293"/>
      <c r="J22" s="293"/>
      <c r="K22" s="293"/>
      <c r="L22" s="294"/>
      <c r="M22" s="23"/>
    </row>
    <row r="23" spans="1:13">
      <c r="A23" s="482" t="s">
        <v>258</v>
      </c>
      <c r="B23" s="561">
        <v>1705</v>
      </c>
      <c r="C23" s="561">
        <v>1775</v>
      </c>
      <c r="D23" s="561">
        <v>1716</v>
      </c>
      <c r="E23" s="561">
        <v>1935</v>
      </c>
      <c r="F23" s="561">
        <v>2266</v>
      </c>
      <c r="G23" s="298">
        <v>2410</v>
      </c>
      <c r="H23" s="298">
        <f>H24*'Cost of sales'!H66</f>
        <v>1851.2441412574296</v>
      </c>
      <c r="I23" s="298">
        <f>I24*'Cost of sales'!I66</f>
        <v>2021.561322055773</v>
      </c>
      <c r="J23" s="298">
        <f>J24*'Cost of sales'!J66</f>
        <v>2016.1718761734396</v>
      </c>
      <c r="K23" s="298">
        <f>K24*'Cost of sales'!K66</f>
        <v>2011.3403596249452</v>
      </c>
      <c r="L23" s="299">
        <f>L24*'Cost of sales'!L66</f>
        <v>2007.0682824813384</v>
      </c>
      <c r="M23" s="23"/>
    </row>
    <row r="24" spans="1:13">
      <c r="A24" s="286"/>
      <c r="B24" s="297">
        <f>B23/'Cost of sales'!B66</f>
        <v>0.26358506608951071</v>
      </c>
      <c r="C24" s="297">
        <f>C23/'Cost of sales'!C66</f>
        <v>0.26900868405498385</v>
      </c>
      <c r="D24" s="297">
        <f>D23/'Cost of sales'!D66</f>
        <v>0.26699859965769412</v>
      </c>
      <c r="E24" s="297">
        <f>E23/'Cost of sales'!E66</f>
        <v>0.32757745048247844</v>
      </c>
      <c r="F24" s="297">
        <f>F23/'Cost of sales'!F66</f>
        <v>0.29440041574639469</v>
      </c>
      <c r="G24" s="297">
        <f>G23/'Cost of sales'!G66</f>
        <v>0.36631706946344428</v>
      </c>
      <c r="H24" s="295">
        <f>AVERAGE(D24:G24)</f>
        <v>0.31382338383750291</v>
      </c>
      <c r="I24" s="295">
        <f>H24</f>
        <v>0.31382338383750291</v>
      </c>
      <c r="J24" s="295">
        <f>I24</f>
        <v>0.31382338383750291</v>
      </c>
      <c r="K24" s="295">
        <f>J24</f>
        <v>0.31382338383750291</v>
      </c>
      <c r="L24" s="296">
        <f>K24</f>
        <v>0.31382338383750291</v>
      </c>
      <c r="M24" s="23"/>
    </row>
    <row r="25" spans="1:13">
      <c r="A25" s="292" t="s">
        <v>259</v>
      </c>
      <c r="B25" s="287"/>
      <c r="C25" s="287"/>
      <c r="D25" s="287"/>
      <c r="E25" s="287"/>
      <c r="F25" s="287"/>
      <c r="G25" s="293"/>
      <c r="H25" s="293"/>
      <c r="I25" s="293"/>
      <c r="J25" s="293"/>
      <c r="K25" s="293"/>
      <c r="L25" s="294"/>
      <c r="M25" s="23"/>
    </row>
    <row r="26" spans="1:13">
      <c r="A26" s="469" t="s">
        <v>260</v>
      </c>
      <c r="B26" s="476">
        <v>1960</v>
      </c>
      <c r="C26" s="476">
        <v>1933</v>
      </c>
      <c r="D26" s="476">
        <v>1871</v>
      </c>
      <c r="E26" s="476">
        <v>2278</v>
      </c>
      <c r="F26" s="476">
        <v>2696</v>
      </c>
      <c r="G26" s="474"/>
      <c r="H26" s="474"/>
      <c r="I26" s="474"/>
      <c r="J26" s="474"/>
      <c r="K26" s="474"/>
      <c r="L26" s="475"/>
      <c r="M26" s="23"/>
    </row>
    <row r="27" spans="1:13">
      <c r="A27" s="286" t="s">
        <v>261</v>
      </c>
      <c r="B27" s="287">
        <v>572</v>
      </c>
      <c r="C27" s="287">
        <v>699</v>
      </c>
      <c r="D27" s="287">
        <v>619</v>
      </c>
      <c r="E27" s="287">
        <v>636</v>
      </c>
      <c r="F27" s="287">
        <v>331</v>
      </c>
      <c r="G27" s="293"/>
      <c r="H27" s="293"/>
      <c r="I27" s="293"/>
      <c r="J27" s="293"/>
      <c r="K27" s="293"/>
      <c r="L27" s="294"/>
      <c r="M27" s="23"/>
    </row>
    <row r="28" spans="1:13" ht="15" thickBot="1">
      <c r="A28" s="571" t="s">
        <v>262</v>
      </c>
      <c r="B28" s="573">
        <v>2532</v>
      </c>
      <c r="C28" s="573">
        <v>2632</v>
      </c>
      <c r="D28" s="573">
        <v>2490</v>
      </c>
      <c r="E28" s="573">
        <v>2914</v>
      </c>
      <c r="F28" s="573">
        <v>3027</v>
      </c>
      <c r="G28" s="577">
        <f t="shared" ref="G28:L28" si="2">G18+G23</f>
        <v>3587</v>
      </c>
      <c r="H28" s="577">
        <f t="shared" si="2"/>
        <v>2822.2742275581395</v>
      </c>
      <c r="I28" s="577">
        <f t="shared" si="2"/>
        <v>3134.3487667968611</v>
      </c>
      <c r="J28" s="577">
        <f t="shared" si="2"/>
        <v>3172.6018899748183</v>
      </c>
      <c r="K28" s="577">
        <f t="shared" si="2"/>
        <v>3213.7786698109121</v>
      </c>
      <c r="L28" s="578">
        <f t="shared" si="2"/>
        <v>3258.0260483884676</v>
      </c>
      <c r="M28" s="23"/>
    </row>
    <row r="29" spans="1:13">
      <c r="A29" s="157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158"/>
      <c r="M29" s="23"/>
    </row>
    <row r="30" spans="1:13">
      <c r="A30" s="157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158"/>
      <c r="M30" s="23"/>
    </row>
    <row r="31" spans="1:13">
      <c r="A31" s="234" t="s">
        <v>57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158"/>
      <c r="M31" s="23"/>
    </row>
    <row r="32" spans="1:13">
      <c r="A32" s="282" t="s">
        <v>252</v>
      </c>
      <c r="B32" s="283">
        <v>2020</v>
      </c>
      <c r="C32" s="283">
        <v>2021</v>
      </c>
      <c r="D32" s="283">
        <v>2022</v>
      </c>
      <c r="E32" s="283">
        <v>2023</v>
      </c>
      <c r="F32" s="283">
        <v>2024</v>
      </c>
      <c r="G32" s="283">
        <v>2025</v>
      </c>
      <c r="H32" s="283">
        <v>2026</v>
      </c>
      <c r="I32" s="283">
        <v>2027</v>
      </c>
      <c r="J32" s="283">
        <v>2028</v>
      </c>
      <c r="K32" s="283">
        <v>2029</v>
      </c>
      <c r="L32" s="285">
        <v>2030</v>
      </c>
      <c r="M32" s="23"/>
    </row>
    <row r="33" spans="1:13">
      <c r="A33" s="157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158"/>
      <c r="M33" s="23"/>
    </row>
    <row r="34" spans="1:13">
      <c r="A34" s="455"/>
      <c r="B34" s="458"/>
      <c r="C34" s="456"/>
      <c r="D34" s="456"/>
      <c r="E34" s="456"/>
      <c r="F34" s="456"/>
      <c r="G34" s="458"/>
      <c r="H34" s="456"/>
      <c r="I34" s="456"/>
      <c r="J34" s="456"/>
      <c r="K34" s="456"/>
      <c r="L34" s="457"/>
      <c r="M34" s="164"/>
    </row>
    <row r="35" spans="1:13">
      <c r="A35" s="157" t="s">
        <v>265</v>
      </c>
      <c r="B35" s="164">
        <f>'Balance sheet'!B32</f>
        <v>3818</v>
      </c>
      <c r="C35" s="164">
        <f>'Balance sheet'!C32</f>
        <v>5839</v>
      </c>
      <c r="D35" s="164">
        <f>'Balance sheet'!D32</f>
        <v>6578</v>
      </c>
      <c r="E35" s="164">
        <f>'Balance sheet'!E32</f>
        <v>8167</v>
      </c>
      <c r="F35" s="164">
        <f>'Balance sheet'!F32</f>
        <v>6394</v>
      </c>
      <c r="G35" s="164">
        <v>6297</v>
      </c>
      <c r="H35" s="164">
        <f>H36*'Income statement'!H4</f>
        <v>6261.0482471929445</v>
      </c>
      <c r="I35" s="164">
        <f>I36*'Income statement'!I4</f>
        <v>7175.0772490862792</v>
      </c>
      <c r="J35" s="164">
        <f>J36*'Income statement'!J4</f>
        <v>7456.4776241857871</v>
      </c>
      <c r="K35" s="164">
        <f>K36*'Income statement'!K4</f>
        <v>7753.1318344919482</v>
      </c>
      <c r="L35" s="217">
        <f>L36*'Income statement'!L4</f>
        <v>8065.977602592754</v>
      </c>
      <c r="M35" s="23"/>
    </row>
    <row r="36" spans="1:13">
      <c r="A36" s="157"/>
      <c r="B36" s="221">
        <f>B35/'Income statement'!B4</f>
        <v>0.76146788990825687</v>
      </c>
      <c r="C36" s="221">
        <f>C35/'Income statement'!C4</f>
        <v>1.0743330266789328</v>
      </c>
      <c r="D36" s="221">
        <f>D35/'Income statement'!D4</f>
        <v>1.0170068027210883</v>
      </c>
      <c r="E36" s="221">
        <f>E35/'Income statement'!E4</f>
        <v>1.2191371846544261</v>
      </c>
      <c r="F36" s="221">
        <f>F35/'Income statement'!F4</f>
        <v>0.71337721744951466</v>
      </c>
      <c r="G36" s="224">
        <v>0.8</v>
      </c>
      <c r="H36" s="224">
        <v>0.8</v>
      </c>
      <c r="I36" s="224">
        <v>0.8</v>
      </c>
      <c r="J36" s="224">
        <v>0.8</v>
      </c>
      <c r="K36" s="224">
        <v>0.8</v>
      </c>
      <c r="L36" s="225">
        <v>0.8</v>
      </c>
      <c r="M36" s="23"/>
    </row>
    <row r="37" spans="1:13">
      <c r="A37" s="157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158"/>
      <c r="M37" s="23"/>
    </row>
    <row r="38" spans="1:13">
      <c r="A38" s="234" t="s">
        <v>316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158"/>
      <c r="M38" s="23"/>
    </row>
    <row r="39" spans="1:13">
      <c r="A39" s="300"/>
      <c r="B39" s="283">
        <v>2020</v>
      </c>
      <c r="C39" s="283">
        <v>2021</v>
      </c>
      <c r="D39" s="283">
        <v>2022</v>
      </c>
      <c r="E39" s="283">
        <v>2023</v>
      </c>
      <c r="F39" s="283">
        <v>2024</v>
      </c>
      <c r="G39" s="283">
        <v>2025</v>
      </c>
      <c r="H39" s="283">
        <v>2026</v>
      </c>
      <c r="I39" s="283">
        <v>2027</v>
      </c>
      <c r="J39" s="283">
        <v>2028</v>
      </c>
      <c r="K39" s="283">
        <v>2029</v>
      </c>
      <c r="L39" s="285">
        <v>2030</v>
      </c>
      <c r="M39" s="23"/>
    </row>
    <row r="40" spans="1:13">
      <c r="A40" s="157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158"/>
      <c r="M40" s="23"/>
    </row>
    <row r="41" spans="1:13">
      <c r="A41" s="157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158"/>
      <c r="M41" s="23"/>
    </row>
    <row r="42" spans="1:13">
      <c r="A42" s="157" t="s">
        <v>170</v>
      </c>
      <c r="B42" s="270">
        <v>38181</v>
      </c>
      <c r="C42" s="270">
        <v>40113</v>
      </c>
      <c r="D42" s="270">
        <v>42225</v>
      </c>
      <c r="E42" s="270">
        <v>57623</v>
      </c>
      <c r="F42" s="270">
        <v>52410</v>
      </c>
      <c r="G42" s="270">
        <v>53537</v>
      </c>
      <c r="H42" s="270">
        <f>+G42+H46</f>
        <v>56745.787226686385</v>
      </c>
      <c r="I42" s="270">
        <f>+H42+I46</f>
        <v>60423.014316843102</v>
      </c>
      <c r="J42" s="270">
        <f>+I42+J46</f>
        <v>64244.459099238316</v>
      </c>
      <c r="K42" s="270">
        <f>+J42+K46</f>
        <v>68217.939164415438</v>
      </c>
      <c r="L42" s="271">
        <f>+K42+L46</f>
        <v>72351.752685744228</v>
      </c>
      <c r="M42" s="23"/>
    </row>
    <row r="43" spans="1:13">
      <c r="A43" s="455" t="s">
        <v>317</v>
      </c>
      <c r="B43" s="477">
        <v>13900</v>
      </c>
      <c r="C43" s="477">
        <v>15989</v>
      </c>
      <c r="D43" s="477">
        <v>18152</v>
      </c>
      <c r="E43" s="477">
        <v>20060</v>
      </c>
      <c r="F43" s="477">
        <v>18863</v>
      </c>
      <c r="G43" s="477">
        <v>20227</v>
      </c>
      <c r="H43" s="477">
        <f t="shared" ref="H43:L43" si="3">+H42*H45</f>
        <v>19861.025529340233</v>
      </c>
      <c r="I43" s="477">
        <f t="shared" si="3"/>
        <v>21148.055010895085</v>
      </c>
      <c r="J43" s="477">
        <f t="shared" si="3"/>
        <v>22485.560684733409</v>
      </c>
      <c r="K43" s="477">
        <f t="shared" si="3"/>
        <v>23876.278707545403</v>
      </c>
      <c r="L43" s="478">
        <f t="shared" si="3"/>
        <v>25323.113440010478</v>
      </c>
      <c r="M43" s="23"/>
    </row>
    <row r="44" spans="1:13">
      <c r="A44" s="234" t="s">
        <v>172</v>
      </c>
      <c r="B44" s="484">
        <f>+B42-B43</f>
        <v>24281</v>
      </c>
      <c r="C44" s="484">
        <f t="shared" ref="C44:F44" si="4">+C42-C43</f>
        <v>24124</v>
      </c>
      <c r="D44" s="484">
        <f t="shared" si="4"/>
        <v>24073</v>
      </c>
      <c r="E44" s="484">
        <f t="shared" si="4"/>
        <v>37563</v>
      </c>
      <c r="F44" s="484">
        <f t="shared" si="4"/>
        <v>33547</v>
      </c>
      <c r="G44" s="484">
        <f>+G42-G43</f>
        <v>33310</v>
      </c>
      <c r="H44" s="484">
        <f t="shared" ref="H44:L44" si="5">+H42-H43</f>
        <v>36884.761697346155</v>
      </c>
      <c r="I44" s="484">
        <f t="shared" si="5"/>
        <v>39274.959305948018</v>
      </c>
      <c r="J44" s="484">
        <f t="shared" si="5"/>
        <v>41758.898414504903</v>
      </c>
      <c r="K44" s="484">
        <f t="shared" si="5"/>
        <v>44341.660456870035</v>
      </c>
      <c r="L44" s="485">
        <f t="shared" si="5"/>
        <v>47028.63924573375</v>
      </c>
      <c r="M44" s="23"/>
    </row>
    <row r="45" spans="1:13">
      <c r="A45" s="455" t="s">
        <v>318</v>
      </c>
      <c r="B45" s="479">
        <f>+B43/B42</f>
        <v>0.36405542023519549</v>
      </c>
      <c r="C45" s="479">
        <f t="shared" ref="C45:F45" si="6">+C43/C42</f>
        <v>0.39859895794380873</v>
      </c>
      <c r="D45" s="479">
        <f t="shared" si="6"/>
        <v>0.42988750740082887</v>
      </c>
      <c r="E45" s="479">
        <f t="shared" si="6"/>
        <v>0.34812488069000225</v>
      </c>
      <c r="F45" s="479">
        <f t="shared" si="6"/>
        <v>0.35991223049036442</v>
      </c>
      <c r="G45" s="480">
        <v>0.35</v>
      </c>
      <c r="H45" s="480">
        <v>0.35</v>
      </c>
      <c r="I45" s="480">
        <v>0.35</v>
      </c>
      <c r="J45" s="480">
        <v>0.35</v>
      </c>
      <c r="K45" s="480">
        <v>0.35</v>
      </c>
      <c r="L45" s="481">
        <v>0.35</v>
      </c>
      <c r="M45" s="23"/>
    </row>
    <row r="46" spans="1:13">
      <c r="A46" s="234" t="s">
        <v>326</v>
      </c>
      <c r="B46" s="23">
        <f>'Balance sheet'!B14</f>
        <v>3197</v>
      </c>
      <c r="C46" s="23">
        <f>'Balance sheet'!C14</f>
        <v>3243</v>
      </c>
      <c r="D46" s="23">
        <f>'Balance sheet'!D14</f>
        <v>3278</v>
      </c>
      <c r="E46" s="23">
        <f>'Balance sheet'!E14</f>
        <v>4143</v>
      </c>
      <c r="F46" s="23">
        <f>'Balance sheet'!F14</f>
        <v>4471</v>
      </c>
      <c r="G46" s="23">
        <f>'Balance sheet'!G14</f>
        <v>4186</v>
      </c>
      <c r="H46" s="36">
        <f>H48*'Income statement'!H4</f>
        <v>3208.7872266863837</v>
      </c>
      <c r="I46" s="36">
        <f>I48*'Income statement'!I4</f>
        <v>3677.2270901567176</v>
      </c>
      <c r="J46" s="36">
        <f>J48*'Income statement'!J4</f>
        <v>3821.4447823952155</v>
      </c>
      <c r="K46" s="36">
        <f>K48*'Income statement'!K4</f>
        <v>3973.4800651771229</v>
      </c>
      <c r="L46" s="159">
        <f>L48*'Income statement'!L4</f>
        <v>4133.813521328786</v>
      </c>
      <c r="M46" s="23" t="s">
        <v>410</v>
      </c>
    </row>
    <row r="47" spans="1:13">
      <c r="A47" s="157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158"/>
      <c r="M47" s="23"/>
    </row>
    <row r="48" spans="1:13">
      <c r="A48" s="157" t="s">
        <v>319</v>
      </c>
      <c r="B48" s="224">
        <f>B46/'Income statement'!B4</f>
        <v>0.63761467889908252</v>
      </c>
      <c r="C48" s="224">
        <f>C46/'Income statement'!C4</f>
        <v>0.59668813247470098</v>
      </c>
      <c r="D48" s="224">
        <f>D46/'Income statement'!D4</f>
        <v>0.50680272108843538</v>
      </c>
      <c r="E48" s="224">
        <f>E46/'Income statement'!E4</f>
        <v>0.61845051500223913</v>
      </c>
      <c r="F48" s="224">
        <f>F46/'Income statement'!F4</f>
        <v>0.49882851723753208</v>
      </c>
      <c r="G48" s="224">
        <f>G46/'Income statement'!G4</f>
        <v>0.51774891774891774</v>
      </c>
      <c r="H48" s="248">
        <v>0.41</v>
      </c>
      <c r="I48" s="248">
        <v>0.41</v>
      </c>
      <c r="J48" s="248">
        <v>0.41</v>
      </c>
      <c r="K48" s="248">
        <v>0.41</v>
      </c>
      <c r="L48" s="249">
        <v>0.41</v>
      </c>
      <c r="M48" s="23"/>
    </row>
    <row r="49" spans="1:13" ht="15" thickBot="1">
      <c r="A49" s="160"/>
      <c r="B49" s="161"/>
      <c r="C49" s="161"/>
      <c r="D49" s="161"/>
      <c r="E49" s="161"/>
      <c r="F49" s="161"/>
      <c r="G49" s="161"/>
      <c r="H49" s="301"/>
      <c r="I49" s="161"/>
      <c r="J49" s="161"/>
      <c r="K49" s="161"/>
      <c r="L49" s="170"/>
      <c r="M49" s="2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305A-AB6E-4298-976E-B5D626222745}">
  <dimension ref="A1:R44"/>
  <sheetViews>
    <sheetView topLeftCell="A6" zoomScale="76" workbookViewId="0">
      <selection activeCell="T22" sqref="T22"/>
    </sheetView>
  </sheetViews>
  <sheetFormatPr defaultColWidth="8.77734375" defaultRowHeight="14.4"/>
  <cols>
    <col min="1" max="1" width="29.109375" bestFit="1" customWidth="1"/>
  </cols>
  <sheetData>
    <row r="1" spans="1:18">
      <c r="A1" s="55"/>
      <c r="B1" s="302"/>
      <c r="C1" s="55" t="s">
        <v>118</v>
      </c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>
      <c r="A2" s="303" t="s">
        <v>119</v>
      </c>
      <c r="B2" s="304"/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55"/>
    </row>
    <row r="3" spans="1:18">
      <c r="A3" s="305" t="s">
        <v>120</v>
      </c>
      <c r="B3" s="306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55"/>
    </row>
    <row r="4" spans="1:18">
      <c r="A4" s="308" t="s">
        <v>121</v>
      </c>
      <c r="B4" s="309"/>
      <c r="C4" s="310" t="s">
        <v>122</v>
      </c>
      <c r="D4" s="311" t="s">
        <v>123</v>
      </c>
      <c r="E4" s="311" t="s">
        <v>124</v>
      </c>
      <c r="F4" s="311" t="s">
        <v>125</v>
      </c>
      <c r="G4" s="311" t="s">
        <v>34</v>
      </c>
      <c r="H4" s="311"/>
      <c r="I4" s="311" t="s">
        <v>126</v>
      </c>
      <c r="J4" s="312" t="s">
        <v>127</v>
      </c>
      <c r="K4" s="312"/>
      <c r="L4" s="313" t="s">
        <v>128</v>
      </c>
      <c r="M4" s="55"/>
      <c r="N4" s="55"/>
      <c r="O4" s="55"/>
      <c r="P4" s="55"/>
      <c r="Q4" s="55"/>
      <c r="R4" s="55"/>
    </row>
    <row r="5" spans="1:18">
      <c r="A5" s="314" t="s">
        <v>129</v>
      </c>
      <c r="B5" s="314" t="s">
        <v>130</v>
      </c>
      <c r="C5" s="315" t="s">
        <v>36</v>
      </c>
      <c r="D5" s="316" t="s">
        <v>131</v>
      </c>
      <c r="E5" s="316" t="s">
        <v>132</v>
      </c>
      <c r="F5" s="316" t="s">
        <v>133</v>
      </c>
      <c r="G5" s="316" t="s">
        <v>134</v>
      </c>
      <c r="H5" s="316" t="s">
        <v>135</v>
      </c>
      <c r="I5" s="316" t="s">
        <v>136</v>
      </c>
      <c r="J5" s="317" t="s">
        <v>136</v>
      </c>
      <c r="K5" s="317" t="s">
        <v>137</v>
      </c>
      <c r="L5" s="314" t="s">
        <v>138</v>
      </c>
      <c r="M5" s="55"/>
      <c r="N5" s="55"/>
      <c r="O5" s="55"/>
      <c r="P5" s="55"/>
      <c r="Q5" s="55"/>
      <c r="R5" s="55"/>
    </row>
    <row r="6" spans="1:18">
      <c r="A6" s="318" t="str" cm="1">
        <f t="array" ref="A6">IF($B6="","",_xll.RDP.Data($B6,"TR.CompanyName"))</f>
        <v>Please sign in</v>
      </c>
      <c r="B6" s="319" t="s">
        <v>320</v>
      </c>
      <c r="C6" s="320" t="str">
        <f>IF(B6="","",_xll.RDP.Data($B6,"TR.PriceClose","Curn=#1",,$C$1))</f>
        <v>Please sign in</v>
      </c>
      <c r="D6" s="321" t="str">
        <f>IF($B6="","",_xll.RDP.Data($B6,"MAX(TR.PriceHigh(SDate=0D,EDate=0D-364C))/*52 Week High*/","Curn=#1",,$C$1))</f>
        <v>Please sign in</v>
      </c>
      <c r="E6" s="322" t="e">
        <f>IF(B6="","",_xll.RDP.Data($B6,"TR.CompanySharesOutstanding(SDate=0)/*# Shares Outstanding*/")/1000000)</f>
        <v>#VALUE!</v>
      </c>
      <c r="F6" s="323" t="e">
        <f>IF(B6="","",C6*E6)</f>
        <v>#VALUE!</v>
      </c>
      <c r="G6" s="323" t="e" cm="1">
        <f t="array" ref="G6">IF($B6="","",_xll.RDP.Data($B6,"TR.TotalDebtOutstanding","Curn=#1",,$C$1)/1000000)</f>
        <v>#VALUE!</v>
      </c>
      <c r="H6" s="323" t="e">
        <f>IF($B6="","",_xll.RDP.Data($B6,"TR.CashandEquivalents","Curn=#1",,$C$1)/1000000)</f>
        <v>#VALUE!</v>
      </c>
      <c r="I6" s="324" t="e">
        <f>IF(B6="","",F6+G6-H6)</f>
        <v>#VALUE!</v>
      </c>
      <c r="J6" s="323" t="e" cm="1">
        <f t="array" ref="J6">IF($B6="","",_xll.RDP.Data($B6,"TR.TotalEquity","Curn=#1",,$C$1)/1000000)</f>
        <v>#VALUE!</v>
      </c>
      <c r="K6" s="325" t="str">
        <f>IF($B6="","",_xll.RDP.Data($B6,"TR.BetaFiveYear/*Beta 5 Year Monthly*//*Beta 5 Year Monthly*/"))</f>
        <v>Please sign in</v>
      </c>
      <c r="L6" s="326" t="str">
        <f>IF(B6="","",_xll.RDP.Data($B6,"TR.PriceTargetMean","Curn=#1",,$C$1))</f>
        <v>Please sign in</v>
      </c>
      <c r="M6" s="327"/>
      <c r="N6" s="328"/>
      <c r="O6" s="328"/>
      <c r="P6" s="328"/>
      <c r="Q6" s="328"/>
      <c r="R6" s="328"/>
    </row>
    <row r="7" spans="1:18">
      <c r="A7" s="318" t="str" cm="1">
        <f t="array" ref="A7">IF($B7="","",_xll.RDP.Data($B7,"TR.CompanyName"))</f>
        <v>Please sign in</v>
      </c>
      <c r="B7" s="319" t="s">
        <v>321</v>
      </c>
      <c r="C7" s="329" t="str">
        <f>IF(B7="","",_xll.RDP.Data($B7,"TR.PriceClose","Curn=#1",,$C$1))</f>
        <v>Please sign in</v>
      </c>
      <c r="D7" s="330" t="str">
        <f>IF($B7="","",_xll.RDP.Data($B7,"MAX(TR.PriceHigh(SDate=0D,EDate=0D-364C))/*52 Week High*/","Curn=#1",,$C$1))</f>
        <v>Please sign in</v>
      </c>
      <c r="E7" s="322" t="e">
        <f>IF(B7="","",_xll.RDP.Data($B7,"TR.CompanySharesOutstanding(SDate=0)/*# Shares Outstanding*/")/1000000)</f>
        <v>#VALUE!</v>
      </c>
      <c r="F7" s="324" t="e">
        <f>IF(B7="","",C7*E7)</f>
        <v>#VALUE!</v>
      </c>
      <c r="G7" s="324" t="e" cm="1">
        <f t="array" ref="G7">IF($B7="","",_xll.RDP.Data($B7,"TR.TotalDebtOutstanding","Curn=#1",,$C$1)/1000000)</f>
        <v>#VALUE!</v>
      </c>
      <c r="H7" s="324" t="e">
        <f>IF($B7="","",_xll.RDP.Data($B7,"TR.CashandEquivalents","Curn=#1",,$C$1)/1000000)</f>
        <v>#VALUE!</v>
      </c>
      <c r="I7" s="324" t="e">
        <f>IF(B7="","",F7+G7-H7)</f>
        <v>#VALUE!</v>
      </c>
      <c r="J7" s="324" t="e" cm="1">
        <f t="array" ref="J7">IF($B7="","",_xll.RDP.Data($B7,"TR.TotalEquity","Curn=#1",,$C$1)/1000000)</f>
        <v>#VALUE!</v>
      </c>
      <c r="K7" s="331" t="str">
        <f>IF($B7="","",_xll.RDP.Data($B7,"TR.BetaFiveYear/*Beta 5 Year Monthly*//*Beta 5 Year Monthly*/"))</f>
        <v>Please sign in</v>
      </c>
      <c r="L7" s="332" t="str">
        <f>IF(B7="","",_xll.RDP.Data($B7,"TR.PriceTargetMean","Curn=#1",,$C$1))</f>
        <v>Please sign in</v>
      </c>
      <c r="M7" s="327"/>
      <c r="N7" s="328"/>
      <c r="O7" s="328"/>
      <c r="P7" s="328"/>
      <c r="Q7" s="328"/>
      <c r="R7" s="328"/>
    </row>
    <row r="8" spans="1:18">
      <c r="A8" s="318" t="str" cm="1">
        <f t="array" ref="A8">IF($B8="","",_xll.RDP.Data($B8,"TR.CompanyName"))</f>
        <v>Please sign in</v>
      </c>
      <c r="B8" s="319" t="s">
        <v>322</v>
      </c>
      <c r="C8" s="329" t="str">
        <f>IF(B8="","",_xll.RDP.Data($B8,"TR.PriceClose","Curn=#1",,$C$1))</f>
        <v>Please sign in</v>
      </c>
      <c r="D8" s="330" t="str">
        <f>IF($B8="","",_xll.RDP.Data($B8,"MAX(TR.PriceHigh(SDate=0D,EDate=0D-364C))/*52 Week High*/","Curn=#1",,$C$1))</f>
        <v>Please sign in</v>
      </c>
      <c r="E8" s="322" t="e">
        <f>IF(B8="","",_xll.RDP.Data($B8,"TR.CompanySharesOutstanding(SDate=0)/*# Shares Outstanding*/")/1000000)</f>
        <v>#VALUE!</v>
      </c>
      <c r="F8" s="324" t="e">
        <f>IF(B8="","",C8*E8)</f>
        <v>#VALUE!</v>
      </c>
      <c r="G8" s="324" t="e" cm="1">
        <f t="array" ref="G8">IF($B8="","",_xll.RDP.Data($B8,"TR.TotalDebtOutstanding","Curn=#1",,$C$1)/1000000)</f>
        <v>#VALUE!</v>
      </c>
      <c r="H8" s="324" t="e">
        <f>IF($B8="","",_xll.RDP.Data($B8,"TR.CashandEquivalents","Curn=#1",,$C$1)/1000000)</f>
        <v>#VALUE!</v>
      </c>
      <c r="I8" s="324" t="e">
        <f>IF(B8="","",F8+G8-H8)</f>
        <v>#VALUE!</v>
      </c>
      <c r="J8" s="324" t="e" cm="1">
        <f t="array" ref="J8">IF($B8="","",_xll.RDP.Data($B8,"TR.TotalEquity","Curn=#1",,$C$1)/1000000)</f>
        <v>#VALUE!</v>
      </c>
      <c r="K8" s="331" t="str">
        <f>IF($B8="","",_xll.RDP.Data($B8,"TR.BetaFiveYear/*Beta 5 Year Monthly*//*Beta 5 Year Monthly*/"))</f>
        <v>Please sign in</v>
      </c>
      <c r="L8" s="332" t="str">
        <f>IF(B8="","",_xll.RDP.Data($B8,"TR.PriceTargetMean","Curn=#1",,$C$1))</f>
        <v>Please sign in</v>
      </c>
      <c r="M8" s="327"/>
      <c r="N8" s="328"/>
      <c r="O8" s="328"/>
      <c r="P8" s="328"/>
      <c r="Q8" s="328"/>
      <c r="R8" s="328"/>
    </row>
    <row r="9" spans="1:18">
      <c r="A9" s="318" t="str" cm="1">
        <f t="array" ref="A9">IF($B9="","",_xll.RDP.Data($B9,"TR.CompanyName"))</f>
        <v>Please sign in</v>
      </c>
      <c r="B9" s="333" t="s">
        <v>323</v>
      </c>
      <c r="C9" s="329" t="str">
        <f>IF(B9="","",_xll.RDP.Data($B9,"TR.PriceClose","Curn=#1",,$C$1))</f>
        <v>Please sign in</v>
      </c>
      <c r="D9" s="330" t="str">
        <f>IF($B9="","",_xll.RDP.Data($B9,"MAX(TR.PriceHigh(SDate=0D,EDate=0D-364C))/*52 Week High*/","Curn=#1",,$C$1))</f>
        <v>Please sign in</v>
      </c>
      <c r="E9" s="322" t="e">
        <f>IF(B9="","",_xll.RDP.Data($B9,"TR.CompanySharesOutstanding(SDate=0)/*# Shares Outstanding*/")/1000000)</f>
        <v>#VALUE!</v>
      </c>
      <c r="F9" s="324" t="e">
        <f>IF(B9="","",C9*E9)</f>
        <v>#VALUE!</v>
      </c>
      <c r="G9" s="324" t="e" cm="1">
        <f t="array" ref="G9">IF($B9="","",_xll.RDP.Data($B9,"TR.TotalDebtOutstanding","Curn=#1",,$C$1)/1000000)</f>
        <v>#VALUE!</v>
      </c>
      <c r="H9" s="324">
        <v>0</v>
      </c>
      <c r="I9" s="324" t="e">
        <f>IF(B9="","",F9+G9-H9)</f>
        <v>#VALUE!</v>
      </c>
      <c r="J9" s="324" t="e" cm="1">
        <f t="array" ref="J9">IF($B9="","",_xll.RDP.Data($B9,"TR.TotalEquity","Curn=#1",,$C$1)/1000000)</f>
        <v>#VALUE!</v>
      </c>
      <c r="K9" s="331" t="str">
        <f>IF($B9="","",_xll.RDP.Data($B9,"TR.BetaFiveYear/*Beta 5 Year Monthly*//*Beta 5 Year Monthly*/"))</f>
        <v>Please sign in</v>
      </c>
      <c r="L9" s="332" t="str">
        <f>IF(B9="","",_xll.RDP.Data($B9,"TR.PriceTargetMean","Curn=#1",,$C$1))</f>
        <v>Please sign in</v>
      </c>
      <c r="M9" s="327"/>
      <c r="N9" s="328"/>
      <c r="O9" s="328"/>
      <c r="P9" s="328"/>
      <c r="Q9" s="328"/>
      <c r="R9" s="328"/>
    </row>
    <row r="10" spans="1:18">
      <c r="A10" s="318" t="str" cm="1">
        <f t="array" ref="A10">IF($B10="","",_xll.RDP.Data($B10,"TR.CompanyName"))</f>
        <v>Please sign in</v>
      </c>
      <c r="B10" s="334" t="s">
        <v>324</v>
      </c>
      <c r="C10" s="335" t="str">
        <f>IF(B10="","",_xll.RDP.Data($B10,"TR.PriceClose","Curn=#1",,$C$1))</f>
        <v>Please sign in</v>
      </c>
      <c r="D10" s="336" t="str">
        <f>IF($B10="","",_xll.RDP.Data($B10,"MAX(TR.PriceHigh(SDate=0D,EDate=0D-364C))/*52 Week High*/","Curn=#1",,$C$1))</f>
        <v>Please sign in</v>
      </c>
      <c r="E10" s="337" t="e">
        <f>IF(B10="","",_xll.RDP.Data($B10,"TR.CompanySharesOutstanding(SDate=0)/*# Shares Outstanding*/")/1000000)</f>
        <v>#VALUE!</v>
      </c>
      <c r="F10" s="338" t="e">
        <f>IF(B10="","",C10*E10)</f>
        <v>#VALUE!</v>
      </c>
      <c r="G10" s="338" t="e" cm="1">
        <f t="array" ref="G10">IF($B10="","",_xll.RDP.Data($B10,"TR.TotalDebtOutstanding","Curn=#1",,$C$1)/1000000)</f>
        <v>#VALUE!</v>
      </c>
      <c r="H10" s="338" t="e">
        <f>IF($B10="","",_xll.RDP.Data($B10,"TR.CashandEquivalents","Curn=#1",,$C$1)/1000000)</f>
        <v>#VALUE!</v>
      </c>
      <c r="I10" s="338" t="e">
        <f>IF(B10="","",F10+G10-H10)</f>
        <v>#VALUE!</v>
      </c>
      <c r="J10" s="338" t="e" cm="1">
        <f t="array" ref="J10">IF($B10="","",_xll.RDP.Data($B10,"TR.TotalEquity","Curn=#1",,$C$1)/1000000)</f>
        <v>#VALUE!</v>
      </c>
      <c r="K10" s="339" t="str">
        <f>IF($B10="","",_xll.RDP.Data($B10,"TR.BetaFiveYear/*Beta 5 Year Monthly*//*Beta 5 Year Monthly*/"))</f>
        <v>Please sign in</v>
      </c>
      <c r="L10" s="340" t="str">
        <f>IF(B10="","",_xll.RDP.Data($B10,"TR.PriceTargetMean","Curn=#1",,$C$1))</f>
        <v>Please sign in</v>
      </c>
      <c r="M10" s="327"/>
      <c r="N10" s="328"/>
      <c r="O10" s="328"/>
      <c r="P10" s="328"/>
      <c r="Q10" s="328"/>
      <c r="R10" s="328"/>
    </row>
    <row r="11" spans="1:18">
      <c r="A11" s="55"/>
      <c r="B11" s="302"/>
      <c r="C11" s="55" t="s">
        <v>139</v>
      </c>
      <c r="D11" s="55" t="s">
        <v>139</v>
      </c>
      <c r="E11" s="55" t="s">
        <v>139</v>
      </c>
      <c r="F11" s="55" t="s">
        <v>139</v>
      </c>
      <c r="G11" s="55" t="s">
        <v>139</v>
      </c>
      <c r="H11" s="55" t="s">
        <v>139</v>
      </c>
      <c r="I11" s="55" t="s">
        <v>139</v>
      </c>
      <c r="J11" s="55" t="s">
        <v>139</v>
      </c>
      <c r="K11" s="55" t="s">
        <v>139</v>
      </c>
      <c r="L11" s="55" t="s">
        <v>139</v>
      </c>
      <c r="M11" s="55"/>
      <c r="N11" s="55"/>
      <c r="O11" s="55"/>
      <c r="P11" s="55"/>
      <c r="Q11" s="55"/>
      <c r="R11" s="55"/>
    </row>
    <row r="12" spans="1:18" ht="15.6">
      <c r="A12" s="305" t="s">
        <v>140</v>
      </c>
      <c r="B12" s="341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42"/>
      <c r="Q12" s="307"/>
      <c r="R12" s="55"/>
    </row>
    <row r="13" spans="1:18">
      <c r="A13" s="308"/>
      <c r="B13" s="309"/>
      <c r="C13" s="343" t="s">
        <v>141</v>
      </c>
      <c r="D13" s="344"/>
      <c r="E13" s="344"/>
      <c r="F13" s="345"/>
      <c r="G13" s="343" t="s">
        <v>142</v>
      </c>
      <c r="H13" s="344"/>
      <c r="I13" s="344"/>
      <c r="J13" s="345"/>
      <c r="K13" s="344" t="s">
        <v>143</v>
      </c>
      <c r="L13" s="344"/>
      <c r="M13" s="345"/>
      <c r="N13" s="343" t="s">
        <v>144</v>
      </c>
      <c r="O13" s="344"/>
      <c r="P13" s="345"/>
      <c r="Q13" s="313" t="s">
        <v>145</v>
      </c>
      <c r="R13" s="55"/>
    </row>
    <row r="14" spans="1:18">
      <c r="A14" s="314" t="s">
        <v>129</v>
      </c>
      <c r="B14" s="314" t="s">
        <v>130</v>
      </c>
      <c r="C14" s="346" t="s">
        <v>146</v>
      </c>
      <c r="D14" s="347" t="s">
        <v>147</v>
      </c>
      <c r="E14" s="347" t="s">
        <v>148</v>
      </c>
      <c r="F14" s="348" t="s">
        <v>149</v>
      </c>
      <c r="G14" s="346" t="s">
        <v>146</v>
      </c>
      <c r="H14" s="347" t="s">
        <v>147</v>
      </c>
      <c r="I14" s="347" t="s">
        <v>148</v>
      </c>
      <c r="J14" s="348" t="s">
        <v>149</v>
      </c>
      <c r="K14" s="346" t="s">
        <v>146</v>
      </c>
      <c r="L14" s="347" t="s">
        <v>147</v>
      </c>
      <c r="M14" s="348" t="s">
        <v>148</v>
      </c>
      <c r="N14" s="346" t="s">
        <v>146</v>
      </c>
      <c r="O14" s="347" t="s">
        <v>147</v>
      </c>
      <c r="P14" s="348" t="s">
        <v>148</v>
      </c>
      <c r="Q14" s="349" t="s">
        <v>150</v>
      </c>
      <c r="R14" s="55"/>
    </row>
    <row r="15" spans="1:18">
      <c r="A15" s="350" t="str">
        <f>A6</f>
        <v>Please sign in</v>
      </c>
      <c r="B15" s="351" t="str">
        <f>IF(B6="","",B6)</f>
        <v>RGLD.OQ</v>
      </c>
      <c r="C15" s="352" t="e" cm="1">
        <f t="array" ref="C15">IF($B15="","",_xll.RDP.Data($B15,"TR.Revenue","Curn=#1",,$C$1)/1000000)</f>
        <v>#VALUE!</v>
      </c>
      <c r="D15" s="352" t="e" cm="1">
        <f t="array" ref="D15">IF($B15="","",_xll.RDP.Data($B15,"TR.RevenueMean","Period=FY1 Frq=D SDate=1D Curn=#1",,$C$1)/1000000)</f>
        <v>#VALUE!</v>
      </c>
      <c r="E15" s="352" t="e" cm="1">
        <f t="array" ref="E15">IF($B15="","",_xll.RDP.Data($B15,"TR.RevenueMean","Period=FY2 Frq=D SDate=1D Curn=#1",,$C$1)/1000000)</f>
        <v>#VALUE!</v>
      </c>
      <c r="F15" s="353" t="e" cm="1">
        <f t="array" ref="F15">IF($B15="","",_xll.RDP.Data($B15,"TR.RevenueMean","Period=FY3 Frq=D SDate=1D Curn=#1",,$C$1)/1000000)</f>
        <v>#VALUE!</v>
      </c>
      <c r="G15" s="354" t="str">
        <f>IF($B15="","",_xll.RDP.Data($B15,"TR.EPSMean","Period=FY0 Frq=D SDate=1D Curn=#1",,$C$1))</f>
        <v>Please sign in</v>
      </c>
      <c r="H15" s="354" t="str">
        <f>IF($B15="","",_xll.RDP.Data($B15,"TR.EPSMean","Period=FY1 Frq=D SDate=1D Curn=#1",,$C$1))</f>
        <v>Please sign in</v>
      </c>
      <c r="I15" s="354" t="str">
        <f>IF($B15="","",_xll.RDP.Data($B15,"TR.EPSMean","Period=FY2 Frq=D SDate=1D Curn=#1",,$C$1))</f>
        <v>Please sign in</v>
      </c>
      <c r="J15" s="355" t="str">
        <f>IF($B15="","",_xll.RDP.Data($B15,"TR.EPSMean","Period=FY3 Frq=D SDate=1D Curn=#1",,$C$1))</f>
        <v>Please sign in</v>
      </c>
      <c r="K15" s="354" t="e" cm="1">
        <f t="array" ref="K15">IF($B15="","",_xll.RDP.Data($B15,"TR.EBITMean","Period=FY0 Frq=D SDate=1D Curn=#1",,$C$1)/1000000)</f>
        <v>#VALUE!</v>
      </c>
      <c r="L15" s="354" t="e" cm="1">
        <f t="array" ref="L15">IF($B15="","",_xll.RDP.Data($B15,"TR.EBITMean","Period=FY1 Frq=D SDate=1D Curn=#1",,$C$1)/1000000)</f>
        <v>#VALUE!</v>
      </c>
      <c r="M15" s="355" t="e" cm="1">
        <f t="array" ref="M15">IF($B15="","",_xll.RDP.Data($B15,"TR.EBITMean","Period=FY2 Frq=D SDate=1D Curn=#1",,$C$1)/1000000)</f>
        <v>#VALUE!</v>
      </c>
      <c r="N15" s="356" t="e" cm="1">
        <f t="array" ref="N15">IF($B15="","",_xll.RDP.Data($B15,"TR.EBITDAMean","Period=FY0 Frq=D SDate=1D Curn=#1",,$C$1)/1000000)</f>
        <v>#VALUE!</v>
      </c>
      <c r="O15" s="354" t="e" cm="1">
        <f t="array" ref="O15">IF($B15="","",_xll.RDP.Data($B15,"TR.EBITDAMean","Period=FY1 Frq=D SDate=1D Curn=#1",,$C$1)/1000000)</f>
        <v>#VALUE!</v>
      </c>
      <c r="P15" s="354" t="e" cm="1">
        <f t="array" ref="P15">IF($B15="","",_xll.RDP.Data($B15,"TR.EBITDAMean","Period=FY2 Frq=D SDate=1D Curn=#1",,$C$1)/1000000)</f>
        <v>#VALUE!</v>
      </c>
      <c r="Q15" s="357" t="e" cm="1">
        <f t="array" ref="Q15">IF($B15="","",_xll.RDP.Data($B15,"TR.LTGMean",,)/100)</f>
        <v>#VALUE!</v>
      </c>
      <c r="R15" s="55"/>
    </row>
    <row r="16" spans="1:18">
      <c r="A16" s="350" t="str">
        <f>A7</f>
        <v>Please sign in</v>
      </c>
      <c r="B16" s="351" t="str">
        <f>IF(B7="","",B7)</f>
        <v>GFIJ.J</v>
      </c>
      <c r="C16" s="352" t="e" cm="1">
        <f t="array" ref="C16">IF($B16="","",_xll.RDP.Data($B16,"TR.Revenue","Curn=#1",,$C$1)/1000000)</f>
        <v>#VALUE!</v>
      </c>
      <c r="D16" s="352" t="e" cm="1">
        <f t="array" ref="D16">IF($B16="","",_xll.RDP.Data($B16,"TR.RevenueMean","Period=FY1 Frq=D SDate=1D Curn=#1",,$C$1)/1000000)</f>
        <v>#VALUE!</v>
      </c>
      <c r="E16" s="352" t="e" cm="1">
        <f t="array" ref="E16">IF($B16="","",_xll.RDP.Data($B16,"TR.RevenueMean","Period=FY2 Frq=D SDate=1D Curn=#1",,$C$1)/1000000)</f>
        <v>#VALUE!</v>
      </c>
      <c r="F16" s="358" t="e" cm="1">
        <f t="array" ref="F16">IF($B16="","",_xll.RDP.Data($B16,"TR.RevenueMean","Period=FY3 Frq=D SDate=1D Curn=#1",,$C$1)/1000000)</f>
        <v>#VALUE!</v>
      </c>
      <c r="G16" s="354" t="str">
        <f>IF($B16="","",_xll.RDP.Data($B16,"TR.EPSMean","Period=FY0 Frq=D SDate=1D Curn=#1",,$C$1))</f>
        <v>Please sign in</v>
      </c>
      <c r="H16" s="354" t="str">
        <f>IF($B16="","",_xll.RDP.Data($B16,"TR.EPSMean","Period=FY1 Frq=D SDate=1D Curn=#1",,$C$1))</f>
        <v>Please sign in</v>
      </c>
      <c r="I16" s="354" t="str">
        <f>IF($B16="","",_xll.RDP.Data($B16,"TR.EPSMean","Period=FY2 Frq=D SDate=1D Curn=#1",,$C$1))</f>
        <v>Please sign in</v>
      </c>
      <c r="J16" s="355" t="str">
        <f>IF($B16="","",_xll.RDP.Data($B16,"TR.EPSMean","Period=FY3 Frq=D SDate=1D Curn=#1",,$C$1))</f>
        <v>Please sign in</v>
      </c>
      <c r="K16" s="354" t="e" cm="1">
        <f t="array" ref="K16">IF($B16="","",_xll.RDP.Data($B16,"TR.EBITMean","Period=FY0 Frq=D SDate=1D Curn=#1",,$C$1)/1000000)</f>
        <v>#VALUE!</v>
      </c>
      <c r="L16" s="354" t="e" cm="1">
        <f t="array" ref="L16">IF($B16="","",_xll.RDP.Data($B16,"TR.EBITMean","Period=FY1 Frq=D SDate=1D Curn=#1",,$C$1)/1000000)</f>
        <v>#VALUE!</v>
      </c>
      <c r="M16" s="355" t="e" cm="1">
        <f t="array" ref="M16">IF($B16="","",_xll.RDP.Data($B16,"TR.EBITMean","Period=FY2 Frq=D SDate=1D Curn=#1",,$C$1)/1000000)</f>
        <v>#VALUE!</v>
      </c>
      <c r="N16" s="356" t="e" cm="1">
        <f t="array" ref="N16">IF($B16="","",_xll.RDP.Data($B16,"TR.EBITDAMean","Period=FY0 Frq=D SDate=1D Curn=#1",,$C$1)/1000000)</f>
        <v>#VALUE!</v>
      </c>
      <c r="O16" s="354" t="e" cm="1">
        <f t="array" ref="O16">IF($B16="","",_xll.RDP.Data($B16,"TR.EBITDAMean","Period=FY1 Frq=D SDate=1D Curn=#1",,$C$1)/1000000)</f>
        <v>#VALUE!</v>
      </c>
      <c r="P16" s="354" t="e" cm="1">
        <f t="array" ref="P16">IF($B16="","",_xll.RDP.Data($B16,"TR.EBITDAMean","Period=FY2 Frq=D SDate=1D Curn=#1",,$C$1)/1000000)</f>
        <v>#VALUE!</v>
      </c>
      <c r="Q16" s="357" t="e" cm="1">
        <f t="array" ref="Q16">IF($B16="","",_xll.RDP.Data($B16,"TR.LTGMean",,)/100)</f>
        <v>#VALUE!</v>
      </c>
      <c r="R16" s="55"/>
    </row>
    <row r="17" spans="1:18">
      <c r="A17" s="350" t="str">
        <f>A8</f>
        <v>Please sign in</v>
      </c>
      <c r="B17" s="351" t="str">
        <f>IF(B8="","",B8)</f>
        <v>AEM.N</v>
      </c>
      <c r="C17" s="352" t="e" cm="1">
        <f t="array" ref="C17">IF($B17="","",_xll.RDP.Data($B17,"TR.Revenue","Curn=#1",,$C$1)/1000000)</f>
        <v>#VALUE!</v>
      </c>
      <c r="D17" s="352" t="e" cm="1">
        <f t="array" ref="D17">IF($B17="","",_xll.RDP.Data($B17,"TR.RevenueMean","Period=FY1 Frq=D SDate=1D Curn=#1",,$C$1)/1000000)</f>
        <v>#VALUE!</v>
      </c>
      <c r="E17" s="352" t="e" cm="1">
        <f t="array" ref="E17">IF($B17="","",_xll.RDP.Data($B17,"TR.RevenueMean","Period=FY2 Frq=D SDate=1D Curn=#1",,$C$1)/1000000)</f>
        <v>#VALUE!</v>
      </c>
      <c r="F17" s="358" t="e" cm="1">
        <f t="array" ref="F17">IF($B17="","",_xll.RDP.Data($B17,"TR.RevenueMean","Period=FY3 Frq=D SDate=1D Curn=#1",,$C$1)/1000000)</f>
        <v>#VALUE!</v>
      </c>
      <c r="G17" s="354" t="str">
        <f>IF($B17="","",_xll.RDP.Data($B17,"TR.EPSMean","Period=FY0 Frq=D SDate=1D Curn=#1",,$C$1))</f>
        <v>Please sign in</v>
      </c>
      <c r="H17" s="354" t="str">
        <f>IF($B17="","",_xll.RDP.Data($B17,"TR.EPSMean","Period=FY1 Frq=D SDate=1D Curn=#1",,$C$1))</f>
        <v>Please sign in</v>
      </c>
      <c r="I17" s="354" t="str">
        <f>IF($B17="","",_xll.RDP.Data($B17,"TR.EPSMean","Period=FY2 Frq=D SDate=1D Curn=#1",,$C$1))</f>
        <v>Please sign in</v>
      </c>
      <c r="J17" s="355" t="str">
        <f>IF($B17="","",_xll.RDP.Data($B17,"TR.EPSMean","Period=FY3 Frq=D SDate=1D Curn=#1",,$C$1))</f>
        <v>Please sign in</v>
      </c>
      <c r="K17" s="354" t="e" cm="1">
        <f t="array" ref="K17">IF($B17="","",_xll.RDP.Data($B17,"TR.EBITMean","Period=FY0 Frq=D SDate=1D Curn=#1",,$C$1)/1000000)</f>
        <v>#VALUE!</v>
      </c>
      <c r="L17" s="354" t="e" cm="1">
        <f t="array" ref="L17">IF($B17="","",_xll.RDP.Data($B17,"TR.EBITMean","Period=FY1 Frq=D SDate=1D Curn=#1",,$C$1)/1000000)</f>
        <v>#VALUE!</v>
      </c>
      <c r="M17" s="355" t="e" cm="1">
        <f t="array" ref="M17">IF($B17="","",_xll.RDP.Data($B17,"TR.EBITMean","Period=FY2 Frq=D SDate=1D Curn=#1",,$C$1)/1000000)</f>
        <v>#VALUE!</v>
      </c>
      <c r="N17" s="356" t="e" cm="1">
        <f t="array" ref="N17">IF($B17="","",_xll.RDP.Data($B17,"TR.EBITDAMean","Period=FY0 Frq=D SDate=1D Curn=#1",,$C$1)/1000000)</f>
        <v>#VALUE!</v>
      </c>
      <c r="O17" s="354" t="e" cm="1">
        <f t="array" ref="O17">IF($B17="","",_xll.RDP.Data($B17,"TR.EBITDAMean","Period=FY1 Frq=D SDate=1D Curn=#1",,$C$1)/1000000)</f>
        <v>#VALUE!</v>
      </c>
      <c r="P17" s="354" t="e" cm="1">
        <f t="array" ref="P17">IF($B17="","",_xll.RDP.Data($B17,"TR.EBITDAMean","Period=FY2 Frq=D SDate=1D Curn=#1",,$C$1)/1000000)</f>
        <v>#VALUE!</v>
      </c>
      <c r="Q17" s="357" t="e" cm="1">
        <f t="array" ref="Q17">IF($B17="","",_xll.RDP.Data($B17,"TR.LTGMean",,)/100)</f>
        <v>#VALUE!</v>
      </c>
      <c r="R17" s="359" t="s">
        <v>151</v>
      </c>
    </row>
    <row r="18" spans="1:18">
      <c r="A18" s="350" t="str">
        <f>A9</f>
        <v>Please sign in</v>
      </c>
      <c r="B18" s="351" t="str">
        <f>IF(B9="","",B9)</f>
        <v>ABX.TO</v>
      </c>
      <c r="C18" s="360" t="e" cm="1">
        <f t="array" ref="C18">IF($B18="","",_xll.RDP.Data($B18,"TR.Revenue","Curn=#1",,$C$1)/1000000)</f>
        <v>#VALUE!</v>
      </c>
      <c r="D18" s="352" t="e" cm="1">
        <f t="array" ref="D18">IF($B18="","",_xll.RDP.Data($B18,"TR.RevenueMean","Period=FY1 Frq=D SDate=1D Curn=#1",,$C$1)/1000000)</f>
        <v>#VALUE!</v>
      </c>
      <c r="E18" s="352" t="e" cm="1">
        <f t="array" ref="E18">IF($B18="","",_xll.RDP.Data($B18,"TR.RevenueMean","Period=FY2 Frq=D SDate=1D Curn=#1",,$C$1)/1000000)</f>
        <v>#VALUE!</v>
      </c>
      <c r="F18" s="358" t="e" cm="1">
        <f t="array" ref="F18">IF($B18="","",_xll.RDP.Data($B18,"TR.RevenueMean","Period=FY3 Frq=D SDate=1D Curn=#1",,$C$1)/1000000)</f>
        <v>#VALUE!</v>
      </c>
      <c r="G18" s="356" t="str">
        <f>IF($B18="","",_xll.RDP.Data($B18,"TR.EPSMean","Period=FY0 Frq=D SDate=1D Curn=#1",,$C$1))</f>
        <v>Please sign in</v>
      </c>
      <c r="H18" s="354" t="str">
        <f>IF($B18="","",_xll.RDP.Data($B18,"TR.EPSMean","Period=FY1 Frq=D SDate=1D Curn=#1",,$C$1))</f>
        <v>Please sign in</v>
      </c>
      <c r="I18" s="354" t="str">
        <f>IF($B18="","",_xll.RDP.Data($B18,"TR.EPSMean","Period=FY2 Frq=D SDate=1D Curn=#1",,$C$1))</f>
        <v>Please sign in</v>
      </c>
      <c r="J18" s="355" t="str">
        <f>IF($B18="","",_xll.RDP.Data($B18,"TR.EPSMean","Period=FY3 Frq=D SDate=1D Curn=#1",,$C$1))</f>
        <v>Please sign in</v>
      </c>
      <c r="K18" s="354" t="e" cm="1">
        <f t="array" ref="K18">IF($B18="","",_xll.RDP.Data($B18,"TR.EBITMean","Period=FY0 Frq=D SDate=1D Curn=#1",,$C$1)/1000000)</f>
        <v>#VALUE!</v>
      </c>
      <c r="L18" s="354" t="e" cm="1">
        <f t="array" ref="L18">IF($B18="","",_xll.RDP.Data($B18,"TR.EBITMean","Period=FY1 Frq=D SDate=1D Curn=#1",,$C$1)/1000000)</f>
        <v>#VALUE!</v>
      </c>
      <c r="M18" s="355" t="e" cm="1">
        <f t="array" ref="M18">IF($B18="","",_xll.RDP.Data($B18,"TR.EBITMean","Period=FY2 Frq=D SDate=1D Curn=#1",,$C$1)/1000000)</f>
        <v>#VALUE!</v>
      </c>
      <c r="N18" s="356" t="e" cm="1">
        <f t="array" ref="N18">IF($B18="","",_xll.RDP.Data($B18,"TR.EBITDAMean","Period=FY0 Frq=D SDate=1D Curn=#1",,$C$1)/1000000)</f>
        <v>#VALUE!</v>
      </c>
      <c r="O18" s="354" t="e" cm="1">
        <f t="array" ref="O18">IF($B18="","",_xll.RDP.Data($B18,"TR.EBITDAMean","Period=FY1 Frq=D SDate=1D Curn=#1",,$C$1)/1000000)</f>
        <v>#VALUE!</v>
      </c>
      <c r="P18" s="354" t="e" cm="1">
        <f t="array" ref="P18">IF($B18="","",_xll.RDP.Data($B18,"TR.EBITDAMean","Period=FY2 Frq=D SDate=1D Curn=#1",,$C$1)/1000000)</f>
        <v>#VALUE!</v>
      </c>
      <c r="Q18" s="357" t="e" cm="1">
        <f t="array" ref="Q18">IF($B18="","",_xll.RDP.Data($B18,"TR.LTGMean",,)/100)</f>
        <v>#VALUE!</v>
      </c>
      <c r="R18" s="359" t="s">
        <v>151</v>
      </c>
    </row>
    <row r="19" spans="1:18">
      <c r="A19" s="361" t="str">
        <f>A10</f>
        <v>Please sign in</v>
      </c>
      <c r="B19" s="362" t="str">
        <f>IF(B10="","",B10)</f>
        <v>NEM</v>
      </c>
      <c r="C19" s="362" t="e" cm="1">
        <f t="array" ref="C19">IF($B19="","",_xll.RDP.Data($B19,"TR.Revenue","Curn=#1",,$C$1)/1000000)</f>
        <v>#VALUE!</v>
      </c>
      <c r="D19" s="363" t="e" cm="1">
        <f t="array" ref="D19">IF($B19="","",_xll.RDP.Data($B19,"TR.RevenueMean","Period=FY1 Frq=D SDate=1D Curn=#1",,$C$1)/1000000)</f>
        <v>#VALUE!</v>
      </c>
      <c r="E19" s="363" t="e" cm="1">
        <f t="array" ref="E19">IF($B19="","",_xll.RDP.Data($B19,"TR.RevenueMean","Period=FY2 Frq=D SDate=1D Curn=#1",,$C$1)/1000000)</f>
        <v>#VALUE!</v>
      </c>
      <c r="F19" s="364" t="e" cm="1">
        <f t="array" ref="F19">IF($B19="","",_xll.RDP.Data($B19,"TR.RevenueMean","Period=FY3 Frq=D SDate=1D Curn=#1",,$C$1)/1000000)</f>
        <v>#VALUE!</v>
      </c>
      <c r="G19" s="365" t="str">
        <f>IF($B19="","",_xll.RDP.Data($B19,"TR.EPSMean","Period=FY0 Frq=D SDate=1D Curn=#1",,$C$1))</f>
        <v>Please sign in</v>
      </c>
      <c r="H19" s="366" t="str">
        <f>IF($B19="","",_xll.RDP.Data($B19,"TR.EPSMean","Period=FY1 Frq=D SDate=1D Curn=#1",,$C$1))</f>
        <v>Please sign in</v>
      </c>
      <c r="I19" s="366" t="str">
        <f>IF($B19="","",_xll.RDP.Data($B19,"TR.EPSMean","Period=FY2 Frq=D SDate=1D Curn=#1",,$C$1))</f>
        <v>Please sign in</v>
      </c>
      <c r="J19" s="367" t="str">
        <f>IF($B19="","",_xll.RDP.Data($B19,"TR.EPSMean","Period=FY3 Frq=D SDate=1D Curn=#1",,$C$1))</f>
        <v>Please sign in</v>
      </c>
      <c r="K19" s="366" t="e" cm="1">
        <f t="array" ref="K19">IF($B19="","",_xll.RDP.Data($B19,"TR.EBITMean","Period=FY0 Frq=D SDate=1D Curn=#1",,$C$1)/1000000)</f>
        <v>#VALUE!</v>
      </c>
      <c r="L19" s="366" t="e" cm="1">
        <f t="array" ref="L19">IF($B19="","",_xll.RDP.Data($B19,"TR.EBITMean","Period=FY1 Frq=D SDate=1D Curn=#1",,$C$1)/1000000)</f>
        <v>#VALUE!</v>
      </c>
      <c r="M19" s="367" t="e" cm="1">
        <f t="array" ref="M19">IF($B19="","",_xll.RDP.Data($B19,"TR.EBITMean","Period=FY2 Frq=D SDate=1D Curn=#1",,$C$1)/1000000)</f>
        <v>#VALUE!</v>
      </c>
      <c r="N19" s="365" t="e" cm="1">
        <f t="array" ref="N19">IF($B19="","",_xll.RDP.Data($B19,"TR.EBITDAMean","Period=FY0 Frq=D SDate=1D Curn=#1",,$C$1)/1000000)</f>
        <v>#VALUE!</v>
      </c>
      <c r="O19" s="366" t="e" cm="1">
        <f t="array" ref="O19">IF($B19="","",_xll.RDP.Data($B19,"TR.EBITDAMean","Period=FY1 Frq=D SDate=1D Curn=#1",,$C$1)/1000000)</f>
        <v>#VALUE!</v>
      </c>
      <c r="P19" s="367" t="e" cm="1">
        <f t="array" ref="P19">IF($B19="","",_xll.RDP.Data($B19,"TR.EBITDAMean","Period=FY2 Frq=D SDate=1D Curn=#1",,$C$1)/1000000)</f>
        <v>#VALUE!</v>
      </c>
      <c r="Q19" s="368" t="e" cm="1">
        <f t="array" ref="Q19">IF($B19="","",_xll.RDP.Data($B19,"TR.LTGMean",,)/100)</f>
        <v>#VALUE!</v>
      </c>
      <c r="R19" s="55"/>
    </row>
    <row r="20" spans="1:18">
      <c r="A20" s="55"/>
      <c r="B20" s="302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</row>
    <row r="21" spans="1:18" ht="15.6">
      <c r="A21" s="305" t="s">
        <v>152</v>
      </c>
      <c r="B21" s="341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  <c r="O21" s="305"/>
      <c r="P21" s="342"/>
      <c r="Q21" s="307"/>
      <c r="R21" s="55"/>
    </row>
    <row r="22" spans="1:18">
      <c r="A22" s="308"/>
      <c r="B22" s="313"/>
      <c r="C22" s="313" t="s">
        <v>122</v>
      </c>
      <c r="D22" s="313" t="s">
        <v>153</v>
      </c>
      <c r="E22" s="343" t="s">
        <v>154</v>
      </c>
      <c r="F22" s="369"/>
      <c r="G22" s="370"/>
      <c r="H22" s="343" t="s">
        <v>155</v>
      </c>
      <c r="I22" s="369"/>
      <c r="J22" s="370"/>
      <c r="K22" s="343" t="s">
        <v>156</v>
      </c>
      <c r="L22" s="369"/>
      <c r="M22" s="370"/>
      <c r="N22" s="343" t="s">
        <v>157</v>
      </c>
      <c r="O22" s="369"/>
      <c r="P22" s="370"/>
      <c r="Q22" s="55"/>
      <c r="R22" s="55"/>
    </row>
    <row r="23" spans="1:18">
      <c r="A23" s="314" t="s">
        <v>129</v>
      </c>
      <c r="B23" s="314" t="s">
        <v>130</v>
      </c>
      <c r="C23" s="314" t="s">
        <v>36</v>
      </c>
      <c r="D23" s="314" t="s">
        <v>127</v>
      </c>
      <c r="E23" s="346" t="s">
        <v>147</v>
      </c>
      <c r="F23" s="347" t="s">
        <v>148</v>
      </c>
      <c r="G23" s="348" t="s">
        <v>149</v>
      </c>
      <c r="H23" s="346" t="s">
        <v>147</v>
      </c>
      <c r="I23" s="347" t="s">
        <v>148</v>
      </c>
      <c r="J23" s="348" t="s">
        <v>149</v>
      </c>
      <c r="K23" s="346" t="s">
        <v>147</v>
      </c>
      <c r="L23" s="347" t="s">
        <v>148</v>
      </c>
      <c r="M23" s="348" t="s">
        <v>149</v>
      </c>
      <c r="N23" s="346" t="s">
        <v>146</v>
      </c>
      <c r="O23" s="347" t="s">
        <v>147</v>
      </c>
      <c r="P23" s="348" t="s">
        <v>148</v>
      </c>
      <c r="Q23" s="55"/>
      <c r="R23" s="55"/>
    </row>
    <row r="24" spans="1:18">
      <c r="A24" s="350" t="str">
        <f>A6</f>
        <v>Please sign in</v>
      </c>
      <c r="B24" s="371" t="str">
        <f t="shared" ref="B24:C28" si="0">IF(B6="","",B6)</f>
        <v>RGLD.OQ</v>
      </c>
      <c r="C24" s="372" t="str">
        <f t="shared" si="0"/>
        <v>Please sign in</v>
      </c>
      <c r="D24" s="373" t="str">
        <f>IF(OR(B24="",ISNUMBER(F6)=FALSE,ISNUMBER(J6)=FALSE),"",F6/J6)</f>
        <v/>
      </c>
      <c r="E24" s="373" t="str">
        <f t="shared" ref="E24:G28" si="1">IF(OR($B24="",ISNUMBER($F6)=FALSE,ISNUMBER(D15)=FALSE),"",$F6/D15)</f>
        <v/>
      </c>
      <c r="F24" s="374" t="str">
        <f t="shared" si="1"/>
        <v/>
      </c>
      <c r="G24" s="375" t="str">
        <f t="shared" si="1"/>
        <v/>
      </c>
      <c r="H24" s="376" t="e">
        <f t="shared" ref="H24:J28" si="2">IF(OR($B24="",ISNA(H15)=TRUE),"",$C6/H15)</f>
        <v>#VALUE!</v>
      </c>
      <c r="I24" s="377" t="e">
        <f t="shared" si="2"/>
        <v>#VALUE!</v>
      </c>
      <c r="J24" s="378" t="e">
        <f t="shared" si="2"/>
        <v>#VALUE!</v>
      </c>
      <c r="K24" s="376" t="e">
        <f t="shared" ref="K24:M28" si="3">IF(OR($B24="",H24="",ISNA($Q15)=TRUE),"",H24/$Q15/100)</f>
        <v>#VALUE!</v>
      </c>
      <c r="L24" s="377" t="e">
        <f t="shared" si="3"/>
        <v>#VALUE!</v>
      </c>
      <c r="M24" s="378" t="e">
        <f t="shared" si="3"/>
        <v>#VALUE!</v>
      </c>
      <c r="N24" s="377" t="e">
        <f t="shared" ref="N24:P28" si="4">IF(OR($B24="",ISNA($I6)=TRUE,ISNA(N15)=TRUE),"",$I6/N15)</f>
        <v>#VALUE!</v>
      </c>
      <c r="O24" s="377" t="e">
        <f t="shared" si="4"/>
        <v>#VALUE!</v>
      </c>
      <c r="P24" s="378" t="e">
        <f t="shared" si="4"/>
        <v>#VALUE!</v>
      </c>
      <c r="Q24" s="55"/>
      <c r="R24" s="55"/>
    </row>
    <row r="25" spans="1:18">
      <c r="A25" s="350" t="str">
        <f>A7</f>
        <v>Please sign in</v>
      </c>
      <c r="B25" s="371" t="str">
        <f t="shared" si="0"/>
        <v>GFIJ.J</v>
      </c>
      <c r="C25" s="372" t="str">
        <f t="shared" si="0"/>
        <v>Please sign in</v>
      </c>
      <c r="D25" s="373" t="str">
        <f>IF(OR(B25="",ISNUMBER(F7)=FALSE,ISNUMBER(J7)=FALSE),"",F7/J7)</f>
        <v/>
      </c>
      <c r="E25" s="373" t="str">
        <f t="shared" si="1"/>
        <v/>
      </c>
      <c r="F25" s="374" t="str">
        <f t="shared" si="1"/>
        <v/>
      </c>
      <c r="G25" s="375" t="str">
        <f t="shared" si="1"/>
        <v/>
      </c>
      <c r="H25" s="376" t="e">
        <f t="shared" si="2"/>
        <v>#VALUE!</v>
      </c>
      <c r="I25" s="377" t="e">
        <f t="shared" si="2"/>
        <v>#VALUE!</v>
      </c>
      <c r="J25" s="378" t="e">
        <f t="shared" si="2"/>
        <v>#VALUE!</v>
      </c>
      <c r="K25" s="376" t="e">
        <f t="shared" si="3"/>
        <v>#VALUE!</v>
      </c>
      <c r="L25" s="376" t="e">
        <f t="shared" si="3"/>
        <v>#VALUE!</v>
      </c>
      <c r="M25" s="376" t="e">
        <f t="shared" si="3"/>
        <v>#VALUE!</v>
      </c>
      <c r="N25" s="377" t="e">
        <f t="shared" si="4"/>
        <v>#VALUE!</v>
      </c>
      <c r="O25" s="377" t="e">
        <f t="shared" si="4"/>
        <v>#VALUE!</v>
      </c>
      <c r="P25" s="378" t="e">
        <f t="shared" si="4"/>
        <v>#VALUE!</v>
      </c>
      <c r="Q25" s="55"/>
      <c r="R25" s="55"/>
    </row>
    <row r="26" spans="1:18">
      <c r="A26" s="350" t="str">
        <f>A8</f>
        <v>Please sign in</v>
      </c>
      <c r="B26" s="371" t="str">
        <f t="shared" si="0"/>
        <v>AEM.N</v>
      </c>
      <c r="C26" s="372" t="str">
        <f t="shared" si="0"/>
        <v>Please sign in</v>
      </c>
      <c r="D26" s="373" t="str">
        <f>IF(OR(B26="",ISNUMBER(F8)=FALSE,ISNUMBER(J8)=FALSE),"",F8/J8)</f>
        <v/>
      </c>
      <c r="E26" s="373" t="str">
        <f t="shared" si="1"/>
        <v/>
      </c>
      <c r="F26" s="374" t="str">
        <f t="shared" si="1"/>
        <v/>
      </c>
      <c r="G26" s="375" t="str">
        <f t="shared" si="1"/>
        <v/>
      </c>
      <c r="H26" s="376" t="e">
        <f t="shared" si="2"/>
        <v>#VALUE!</v>
      </c>
      <c r="I26" s="377" t="e">
        <f t="shared" si="2"/>
        <v>#VALUE!</v>
      </c>
      <c r="J26" s="378" t="e">
        <f t="shared" si="2"/>
        <v>#VALUE!</v>
      </c>
      <c r="K26" s="376" t="e">
        <f t="shared" si="3"/>
        <v>#VALUE!</v>
      </c>
      <c r="L26" s="376" t="e">
        <f t="shared" si="3"/>
        <v>#VALUE!</v>
      </c>
      <c r="M26" s="376" t="e">
        <f t="shared" si="3"/>
        <v>#VALUE!</v>
      </c>
      <c r="N26" s="377" t="e">
        <f t="shared" si="4"/>
        <v>#VALUE!</v>
      </c>
      <c r="O26" s="377" t="e">
        <f t="shared" si="4"/>
        <v>#VALUE!</v>
      </c>
      <c r="P26" s="378" t="e">
        <f t="shared" si="4"/>
        <v>#VALUE!</v>
      </c>
      <c r="Q26" s="55"/>
      <c r="R26" s="55"/>
    </row>
    <row r="27" spans="1:18">
      <c r="A27" s="350" t="str">
        <f>A9</f>
        <v>Please sign in</v>
      </c>
      <c r="B27" s="371" t="str">
        <f t="shared" si="0"/>
        <v>ABX.TO</v>
      </c>
      <c r="C27" s="372" t="str">
        <f t="shared" si="0"/>
        <v>Please sign in</v>
      </c>
      <c r="D27" s="373" t="str">
        <f>IF(OR(B27="",ISNUMBER(F9)=FALSE,ISNUMBER(J9)=FALSE),"",F9/J9)</f>
        <v/>
      </c>
      <c r="E27" s="373" t="str">
        <f t="shared" si="1"/>
        <v/>
      </c>
      <c r="F27" s="374" t="str">
        <f t="shared" si="1"/>
        <v/>
      </c>
      <c r="G27" s="375" t="str">
        <f t="shared" si="1"/>
        <v/>
      </c>
      <c r="H27" s="376" t="e">
        <f t="shared" si="2"/>
        <v>#VALUE!</v>
      </c>
      <c r="I27" s="377" t="e">
        <f t="shared" si="2"/>
        <v>#VALUE!</v>
      </c>
      <c r="J27" s="378" t="e">
        <f t="shared" si="2"/>
        <v>#VALUE!</v>
      </c>
      <c r="K27" s="376" t="e">
        <f t="shared" si="3"/>
        <v>#VALUE!</v>
      </c>
      <c r="L27" s="376" t="e">
        <f t="shared" si="3"/>
        <v>#VALUE!</v>
      </c>
      <c r="M27" s="376" t="e">
        <f t="shared" si="3"/>
        <v>#VALUE!</v>
      </c>
      <c r="N27" s="377" t="e">
        <f t="shared" si="4"/>
        <v>#VALUE!</v>
      </c>
      <c r="O27" s="377" t="e">
        <f t="shared" si="4"/>
        <v>#VALUE!</v>
      </c>
      <c r="P27" s="378" t="e">
        <f t="shared" si="4"/>
        <v>#VALUE!</v>
      </c>
      <c r="Q27" s="55"/>
      <c r="R27" s="55"/>
    </row>
    <row r="28" spans="1:18">
      <c r="A28" s="361" t="str">
        <f>A10</f>
        <v>Please sign in</v>
      </c>
      <c r="B28" s="379" t="str">
        <f t="shared" si="0"/>
        <v>NEM</v>
      </c>
      <c r="C28" s="379" t="str">
        <f t="shared" si="0"/>
        <v>Please sign in</v>
      </c>
      <c r="D28" s="380" t="str">
        <f>IF(OR(B28="",ISNUMBER(F10)=FALSE,ISNUMBER(J10)=FALSE),"",F10/J10)</f>
        <v/>
      </c>
      <c r="E28" s="380" t="str">
        <f t="shared" si="1"/>
        <v/>
      </c>
      <c r="F28" s="381" t="str">
        <f t="shared" si="1"/>
        <v/>
      </c>
      <c r="G28" s="382" t="str">
        <f t="shared" si="1"/>
        <v/>
      </c>
      <c r="H28" s="383" t="e">
        <f t="shared" si="2"/>
        <v>#VALUE!</v>
      </c>
      <c r="I28" s="384" t="e">
        <f t="shared" si="2"/>
        <v>#VALUE!</v>
      </c>
      <c r="J28" s="385" t="e">
        <f t="shared" si="2"/>
        <v>#VALUE!</v>
      </c>
      <c r="K28" s="383" t="e">
        <f t="shared" si="3"/>
        <v>#VALUE!</v>
      </c>
      <c r="L28" s="384" t="e">
        <f t="shared" si="3"/>
        <v>#VALUE!</v>
      </c>
      <c r="M28" s="385" t="e">
        <f t="shared" si="3"/>
        <v>#VALUE!</v>
      </c>
      <c r="N28" s="383" t="e">
        <f t="shared" si="4"/>
        <v>#VALUE!</v>
      </c>
      <c r="O28" s="384" t="e">
        <f t="shared" si="4"/>
        <v>#VALUE!</v>
      </c>
      <c r="P28" s="385" t="e">
        <f t="shared" si="4"/>
        <v>#VALUE!</v>
      </c>
      <c r="Q28" s="55"/>
      <c r="R28" s="55"/>
    </row>
    <row r="29" spans="1:18">
      <c r="A29" s="55"/>
      <c r="B29" s="302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spans="1:18">
      <c r="A30" s="55"/>
      <c r="B30" s="302"/>
      <c r="C30" s="303" t="s">
        <v>158</v>
      </c>
      <c r="D30" s="386" t="e">
        <f t="shared" ref="D30:J30" si="5">AVERAGE(D24:D27)</f>
        <v>#DIV/0!</v>
      </c>
      <c r="E30" s="386" t="e">
        <f t="shared" si="5"/>
        <v>#DIV/0!</v>
      </c>
      <c r="F30" s="387" t="e">
        <f t="shared" si="5"/>
        <v>#DIV/0!</v>
      </c>
      <c r="G30" s="388" t="e">
        <f t="shared" si="5"/>
        <v>#DIV/0!</v>
      </c>
      <c r="H30" s="389" t="e">
        <f t="shared" si="5"/>
        <v>#VALUE!</v>
      </c>
      <c r="I30" s="390" t="e">
        <f t="shared" si="5"/>
        <v>#VALUE!</v>
      </c>
      <c r="J30" s="391" t="e">
        <f t="shared" si="5"/>
        <v>#VALUE!</v>
      </c>
      <c r="K30" s="389" t="e">
        <f>AVERAGE(K24,K26:K26)</f>
        <v>#VALUE!</v>
      </c>
      <c r="L30" s="389" t="e">
        <f>AVERAGE(L24,L26:L26)</f>
        <v>#VALUE!</v>
      </c>
      <c r="M30" s="389" t="e">
        <f>AVERAGE(M24,M26:M26)</f>
        <v>#VALUE!</v>
      </c>
      <c r="N30" s="389" t="e">
        <f>AVERAGE(N24:N27)</f>
        <v>#VALUE!</v>
      </c>
      <c r="O30" s="390" t="e">
        <f>AVERAGE(O24:O27)</f>
        <v>#VALUE!</v>
      </c>
      <c r="P30" s="391" t="e">
        <f>AVERAGE(P24:P27)</f>
        <v>#VALUE!</v>
      </c>
      <c r="Q30" s="55"/>
      <c r="R30" s="55"/>
    </row>
    <row r="31" spans="1:18">
      <c r="A31" s="55"/>
      <c r="B31" s="302"/>
      <c r="C31" s="303" t="s">
        <v>159</v>
      </c>
      <c r="D31" s="392" t="e">
        <f t="shared" ref="D31:J31" si="6">MEDIAN(D24:D27)</f>
        <v>#NUM!</v>
      </c>
      <c r="E31" s="392" t="e">
        <f t="shared" si="6"/>
        <v>#NUM!</v>
      </c>
      <c r="F31" s="393" t="e">
        <f t="shared" si="6"/>
        <v>#NUM!</v>
      </c>
      <c r="G31" s="394" t="e">
        <f t="shared" si="6"/>
        <v>#NUM!</v>
      </c>
      <c r="H31" s="395" t="e">
        <f t="shared" si="6"/>
        <v>#VALUE!</v>
      </c>
      <c r="I31" s="396" t="e">
        <f t="shared" si="6"/>
        <v>#VALUE!</v>
      </c>
      <c r="J31" s="397" t="e">
        <f t="shared" si="6"/>
        <v>#VALUE!</v>
      </c>
      <c r="K31" s="395" t="e">
        <f>MEDIAN(K24,K26:K26)</f>
        <v>#VALUE!</v>
      </c>
      <c r="L31" s="395" t="e">
        <f>MEDIAN(L24,L26:L26)</f>
        <v>#VALUE!</v>
      </c>
      <c r="M31" s="395" t="e">
        <f>MEDIAN(M24,M26:M26)</f>
        <v>#VALUE!</v>
      </c>
      <c r="N31" s="395" t="e">
        <f>MEDIAN(N24:N27)</f>
        <v>#VALUE!</v>
      </c>
      <c r="O31" s="396" t="e">
        <f>MEDIAN(O24:O27)</f>
        <v>#VALUE!</v>
      </c>
      <c r="P31" s="397" t="e">
        <f>MEDIAN(P24:P27)</f>
        <v>#VALUE!</v>
      </c>
      <c r="Q31" s="55"/>
      <c r="R31" s="55"/>
    </row>
    <row r="32" spans="1:18">
      <c r="A32" s="55"/>
      <c r="B32" s="302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</row>
    <row r="33" spans="1:18">
      <c r="A33" s="55"/>
      <c r="B33" s="302"/>
      <c r="C33" s="303" t="s">
        <v>158</v>
      </c>
      <c r="D33" s="398" t="e">
        <f>D30*$J$10/$E$10</f>
        <v>#DIV/0!</v>
      </c>
      <c r="E33" s="398" t="e">
        <f t="shared" ref="E33:G34" si="7">(E30*D$19)/$E$10</f>
        <v>#DIV/0!</v>
      </c>
      <c r="F33" s="399" t="e">
        <f t="shared" si="7"/>
        <v>#DIV/0!</v>
      </c>
      <c r="G33" s="400" t="e">
        <f t="shared" si="7"/>
        <v>#DIV/0!</v>
      </c>
      <c r="H33" s="398" t="e">
        <f t="shared" ref="H33:J34" si="8">H30*H$19</f>
        <v>#VALUE!</v>
      </c>
      <c r="I33" s="399" t="e">
        <f t="shared" si="8"/>
        <v>#VALUE!</v>
      </c>
      <c r="J33" s="400" t="e">
        <f t="shared" si="8"/>
        <v>#VALUE!</v>
      </c>
      <c r="K33" s="398" t="e">
        <f t="shared" ref="K33:M34" si="9">K30*H$19*$Q$19*100</f>
        <v>#VALUE!</v>
      </c>
      <c r="L33" s="399" t="e">
        <f t="shared" si="9"/>
        <v>#VALUE!</v>
      </c>
      <c r="M33" s="400" t="e">
        <f t="shared" si="9"/>
        <v>#VALUE!</v>
      </c>
      <c r="N33" s="398" t="e">
        <f t="shared" ref="N33:P34" si="10">(N30*N$19-($G$10-$H$10))/$E$10</f>
        <v>#VALUE!</v>
      </c>
      <c r="O33" s="399" t="e">
        <f t="shared" si="10"/>
        <v>#VALUE!</v>
      </c>
      <c r="P33" s="400" t="e">
        <f t="shared" si="10"/>
        <v>#VALUE!</v>
      </c>
      <c r="Q33" s="55"/>
      <c r="R33" s="55"/>
    </row>
    <row r="34" spans="1:18">
      <c r="A34" s="55"/>
      <c r="B34" s="302"/>
      <c r="C34" s="303" t="s">
        <v>159</v>
      </c>
      <c r="D34" s="401" t="e">
        <f>D31*$J$10/$E$10</f>
        <v>#NUM!</v>
      </c>
      <c r="E34" s="401" t="e">
        <f t="shared" si="7"/>
        <v>#NUM!</v>
      </c>
      <c r="F34" s="402" t="e">
        <f t="shared" si="7"/>
        <v>#NUM!</v>
      </c>
      <c r="G34" s="403" t="e">
        <f t="shared" si="7"/>
        <v>#NUM!</v>
      </c>
      <c r="H34" s="401" t="e">
        <f t="shared" si="8"/>
        <v>#VALUE!</v>
      </c>
      <c r="I34" s="402" t="e">
        <f t="shared" si="8"/>
        <v>#VALUE!</v>
      </c>
      <c r="J34" s="403" t="e">
        <f t="shared" si="8"/>
        <v>#VALUE!</v>
      </c>
      <c r="K34" s="401" t="e">
        <f t="shared" si="9"/>
        <v>#VALUE!</v>
      </c>
      <c r="L34" s="402" t="e">
        <f t="shared" si="9"/>
        <v>#VALUE!</v>
      </c>
      <c r="M34" s="403" t="e">
        <f t="shared" si="9"/>
        <v>#VALUE!</v>
      </c>
      <c r="N34" s="401" t="e">
        <f t="shared" si="10"/>
        <v>#VALUE!</v>
      </c>
      <c r="O34" s="402" t="e">
        <f t="shared" si="10"/>
        <v>#VALUE!</v>
      </c>
      <c r="P34" s="403" t="e">
        <f t="shared" si="10"/>
        <v>#VALUE!</v>
      </c>
      <c r="Q34" s="55"/>
      <c r="R34" s="55"/>
    </row>
    <row r="35" spans="1:18">
      <c r="A35" s="404"/>
      <c r="B35" s="405"/>
      <c r="C35" s="55"/>
      <c r="D35" s="406" t="s">
        <v>160</v>
      </c>
      <c r="E35" s="407"/>
      <c r="F35" s="407"/>
      <c r="G35" s="407"/>
      <c r="H35" s="406" t="s">
        <v>161</v>
      </c>
      <c r="I35" s="406" t="s">
        <v>162</v>
      </c>
      <c r="J35" s="406" t="s">
        <v>163</v>
      </c>
      <c r="K35" s="406" t="s">
        <v>164</v>
      </c>
      <c r="L35" s="406" t="s">
        <v>165</v>
      </c>
      <c r="M35" s="406" t="s">
        <v>166</v>
      </c>
      <c r="N35" s="406" t="s">
        <v>167</v>
      </c>
      <c r="O35" s="406" t="s">
        <v>168</v>
      </c>
      <c r="P35" s="404"/>
      <c r="Q35" s="404"/>
      <c r="R35" s="404"/>
    </row>
    <row r="36" spans="1:18" ht="15.6">
      <c r="A36" s="305" t="s">
        <v>169</v>
      </c>
      <c r="B36" s="341"/>
      <c r="C36" s="305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  <c r="O36" s="305"/>
      <c r="P36" s="342"/>
      <c r="Q36" s="307"/>
      <c r="R36" s="55"/>
    </row>
    <row r="37" spans="1:18">
      <c r="A37" s="408"/>
      <c r="B37" s="409"/>
      <c r="C37" s="410" t="s">
        <v>170</v>
      </c>
      <c r="D37" s="411" t="s">
        <v>171</v>
      </c>
      <c r="E37" s="411" t="s">
        <v>172</v>
      </c>
      <c r="F37" s="411"/>
      <c r="G37" s="412"/>
      <c r="H37" s="410" t="s">
        <v>173</v>
      </c>
      <c r="I37" s="411" t="s">
        <v>174</v>
      </c>
      <c r="J37" s="411" t="s">
        <v>175</v>
      </c>
      <c r="K37" s="410"/>
      <c r="L37" s="412"/>
      <c r="M37" s="410" t="s">
        <v>176</v>
      </c>
      <c r="N37" s="412" t="s">
        <v>177</v>
      </c>
      <c r="O37" s="412" t="s">
        <v>178</v>
      </c>
      <c r="P37" s="328"/>
      <c r="Q37" s="328"/>
      <c r="R37" s="328"/>
    </row>
    <row r="38" spans="1:18">
      <c r="A38" s="413" t="s">
        <v>129</v>
      </c>
      <c r="B38" s="413" t="s">
        <v>130</v>
      </c>
      <c r="C38" s="414" t="s">
        <v>179</v>
      </c>
      <c r="D38" s="415" t="s">
        <v>179</v>
      </c>
      <c r="E38" s="415" t="s">
        <v>179</v>
      </c>
      <c r="F38" s="415" t="s">
        <v>180</v>
      </c>
      <c r="G38" s="416" t="s">
        <v>181</v>
      </c>
      <c r="H38" s="414" t="s">
        <v>182</v>
      </c>
      <c r="I38" s="415" t="s">
        <v>182</v>
      </c>
      <c r="J38" s="415" t="s">
        <v>182</v>
      </c>
      <c r="K38" s="414" t="s">
        <v>183</v>
      </c>
      <c r="L38" s="416" t="s">
        <v>184</v>
      </c>
      <c r="M38" s="414" t="s">
        <v>51</v>
      </c>
      <c r="N38" s="416" t="s">
        <v>51</v>
      </c>
      <c r="O38" s="416" t="s">
        <v>185</v>
      </c>
      <c r="P38" s="330"/>
      <c r="Q38" s="328"/>
      <c r="R38" s="328"/>
    </row>
    <row r="39" spans="1:18">
      <c r="A39" s="318" t="str">
        <f>A6</f>
        <v>Please sign in</v>
      </c>
      <c r="B39" s="417" t="str">
        <f>IF(B15="","",B24)</f>
        <v>RGLD.OQ</v>
      </c>
      <c r="C39" s="418" t="e" cm="1">
        <f t="array" ref="C39">IF($B39="","",_xll.RDP.Data($B39,"TR.GrossMargin")/100)</f>
        <v>#VALUE!</v>
      </c>
      <c r="D39" s="419" t="e" cm="1">
        <f t="array" ref="D39">IF($B39="","",_xll.RDP.Data($B39,"TR.OperatingMarginPercent")/100)</f>
        <v>#VALUE!</v>
      </c>
      <c r="E39" s="419" t="e" cm="1">
        <f t="array" ref="E39">IF($B39="","",_xll.RDP.Data($B39,"TR.NetProfitMargin")/100)</f>
        <v>#VALUE!</v>
      </c>
      <c r="F39" s="419" t="e" cm="1">
        <f t="array" ref="F39">IF($B39="","",_xll.RDP.Data($B39,"TR.ROAActValue")/100)</f>
        <v>#VALUE!</v>
      </c>
      <c r="G39" s="419" t="e" cm="1">
        <f t="array" ref="G39">IF($B39="","",_xll.RDP.Data($B39,"TR.ROEActValue")/100)</f>
        <v>#VALUE!</v>
      </c>
      <c r="H39" s="420" t="str">
        <f>IF($B39="","",_xll.RDP.Data($B39,"TR.AssetTurnover"))</f>
        <v>Please sign in</v>
      </c>
      <c r="I39" s="421" t="str">
        <f>IF($B39="","",_xll.RDP.Data($B39,"TR.InventoryTurnover"))</f>
        <v>Please sign in</v>
      </c>
      <c r="J39" s="422" t="e" cm="1">
        <f t="array" ref="J39">IF($B39="","",_xll.RDP.Data($B39,"TR.Revenue")/_xll.RDP.Data($B39,"TR.TotalReceivablesNet"))</f>
        <v>#VALUE!</v>
      </c>
      <c r="K39" s="423" t="str">
        <f>IF($B39="","",_xll.RDP.Data($B39,"TR.TtlDebtToTtlEquityPct"))</f>
        <v>Please sign in</v>
      </c>
      <c r="L39" s="424" t="str">
        <f>IF($B39="","",_xll.RDP.Data($B39,"TR.LTDebtToTtlCapitalPct"))</f>
        <v>Please sign in</v>
      </c>
      <c r="M39" s="425" t="str">
        <f>IF($B39="","",_xll.RDP.Data($B39,"TR.QuickRatio"))</f>
        <v>Please sign in</v>
      </c>
      <c r="N39" s="426" t="str">
        <f>IF($B39="","",_xll.RDP.Data($B39,"TR.CurrentRatio"))</f>
        <v>Please sign in</v>
      </c>
      <c r="O39" s="427" t="e" cm="1">
        <f t="array" ref="O39">IF($B39="","",_xll.RDP.Data($B39,"TR.EBITDA")/_xll.RDP.Data($B39,"TR.InterestExpense"))</f>
        <v>#VALUE!</v>
      </c>
      <c r="P39" s="330"/>
      <c r="Q39" s="328"/>
      <c r="R39" s="328"/>
    </row>
    <row r="40" spans="1:18">
      <c r="A40" s="318" t="str">
        <f>A7</f>
        <v>Please sign in</v>
      </c>
      <c r="B40" s="417" t="str">
        <f>IF(B16="","",B25)</f>
        <v>GFIJ.J</v>
      </c>
      <c r="C40" s="428" t="e" cm="1">
        <f t="array" ref="C40">IF($B40="","",_xll.RDP.Data($B40,"TR.GrossMargin")/100)</f>
        <v>#VALUE!</v>
      </c>
      <c r="D40" s="429" t="e" cm="1">
        <f t="array" ref="D40">IF($B40="","",_xll.RDP.Data($B40,"TR.OperatingMarginPercent")/100)</f>
        <v>#VALUE!</v>
      </c>
      <c r="E40" s="429" t="e" cm="1">
        <f t="array" ref="E40">IF($B40="","",_xll.RDP.Data($B40,"TR.NetProfitMargin")/100)</f>
        <v>#VALUE!</v>
      </c>
      <c r="F40" s="429" t="e" cm="1">
        <f t="array" ref="F40">IF($B40="","",_xll.RDP.Data($B40,"TR.ROAActValue")/100)</f>
        <v>#VALUE!</v>
      </c>
      <c r="G40" s="430" t="e" cm="1">
        <f t="array" ref="G40">IF($B40="","",_xll.RDP.Data($B40,"TR.ROEActValue")/100)</f>
        <v>#VALUE!</v>
      </c>
      <c r="H40" s="423" t="str">
        <f>IF($B40="","",_xll.RDP.Data($B40,"TR.AssetTurnover"))</f>
        <v>Please sign in</v>
      </c>
      <c r="I40" s="431" t="str">
        <f>IF($B40="","",_xll.RDP.Data($B40,"TR.InventoryTurnover"))</f>
        <v>Please sign in</v>
      </c>
      <c r="J40" s="432" t="e" cm="1">
        <f t="array" ref="J40">IF($B40="","",_xll.RDP.Data($B40,"TR.Revenue")/_xll.RDP.Data($B40,"TR.TotalReceivablesNet"))</f>
        <v>#VALUE!</v>
      </c>
      <c r="K40" s="423" t="str">
        <f>IF($B40="","",_xll.RDP.Data($B40,"TR.TtlDebtToTtlEquityPct"))</f>
        <v>Please sign in</v>
      </c>
      <c r="L40" s="424" t="str">
        <f>IF($B40="","",_xll.RDP.Data($B40,"TR.LTDebtToTtlCapitalPct"))</f>
        <v>Please sign in</v>
      </c>
      <c r="M40" s="425" t="str">
        <f>IF($B40="","",_xll.RDP.Data($B40,"TR.QuickRatio"))</f>
        <v>Please sign in</v>
      </c>
      <c r="N40" s="426" t="str">
        <f>IF($B40="","",_xll.RDP.Data($B40,"TR.CurrentRatio"))</f>
        <v>Please sign in</v>
      </c>
      <c r="O40" s="427" t="e" cm="1">
        <f t="array" ref="O40">IF($B40="","",_xll.RDP.Data($B40,"TR.EBITDA")/_xll.RDP.Data($B40,"TR.InterestExpense"))</f>
        <v>#VALUE!</v>
      </c>
      <c r="P40" s="328"/>
      <c r="Q40" s="328"/>
      <c r="R40" s="328"/>
    </row>
    <row r="41" spans="1:18">
      <c r="A41" s="318" t="str">
        <f>A8</f>
        <v>Please sign in</v>
      </c>
      <c r="B41" s="417" t="str">
        <f>IF(B17="","",B26)</f>
        <v>AEM.N</v>
      </c>
      <c r="C41" s="428" t="e" cm="1">
        <f t="array" ref="C41">IF($B41="","",_xll.RDP.Data($B41,"TR.GrossMargin")/100)</f>
        <v>#VALUE!</v>
      </c>
      <c r="D41" s="429" t="e" cm="1">
        <f t="array" ref="D41">IF($B41="","",_xll.RDP.Data($B41,"TR.OperatingMarginPercent")/100)</f>
        <v>#VALUE!</v>
      </c>
      <c r="E41" s="429" t="e" cm="1">
        <f t="array" ref="E41">IF($B41="","",_xll.RDP.Data($B41,"TR.NetProfitMargin")/100)</f>
        <v>#VALUE!</v>
      </c>
      <c r="F41" s="429" t="e" cm="1">
        <f t="array" ref="F41">IF($B41="","",_xll.RDP.Data($B41,"TR.ROAActValue")/100)</f>
        <v>#VALUE!</v>
      </c>
      <c r="G41" s="430" t="e" cm="1">
        <f t="array" ref="G41">IF($B41="","",_xll.RDP.Data($B41,"TR.ROEActValue")/100)</f>
        <v>#VALUE!</v>
      </c>
      <c r="H41" s="423" t="str">
        <f>IF($B41="","",_xll.RDP.Data($B41,"TR.AssetTurnover"))</f>
        <v>Please sign in</v>
      </c>
      <c r="I41" s="431" t="str">
        <f>IF($B41="","",_xll.RDP.Data($B41,"TR.InventoryTurnover"))</f>
        <v>Please sign in</v>
      </c>
      <c r="J41" s="432" t="e" cm="1">
        <f t="array" ref="J41">IF($B41="","",_xll.RDP.Data($B41,"TR.Revenue")/_xll.RDP.Data($B41,"TR.TotalReceivablesNet"))</f>
        <v>#VALUE!</v>
      </c>
      <c r="K41" s="423" t="str">
        <f>IF($B41="","",_xll.RDP.Data($B41,"TR.TtlDebtToTtlEquityPct"))</f>
        <v>Please sign in</v>
      </c>
      <c r="L41" s="424" t="str">
        <f>IF($B41="","",_xll.RDP.Data($B41,"TR.LTDebtToTtlCapitalPct"))</f>
        <v>Please sign in</v>
      </c>
      <c r="M41" s="425" t="str">
        <f>IF($B41="","",_xll.RDP.Data($B41,"TR.QuickRatio"))</f>
        <v>Please sign in</v>
      </c>
      <c r="N41" s="426" t="str">
        <f>IF($B41="","",_xll.RDP.Data($B41,"TR.CurrentRatio"))</f>
        <v>Please sign in</v>
      </c>
      <c r="O41" s="427" t="e" cm="1">
        <f t="array" ref="O41">IF($B41="","",_xll.RDP.Data($B41,"TR.EBITDA")/_xll.RDP.Data($B41,"TR.InterestExpense"))</f>
        <v>#VALUE!</v>
      </c>
      <c r="P41" s="328"/>
      <c r="Q41" s="328"/>
      <c r="R41" s="328"/>
    </row>
    <row r="42" spans="1:18">
      <c r="A42" s="318" t="str">
        <f>A9</f>
        <v>Please sign in</v>
      </c>
      <c r="B42" s="417" t="str">
        <f>IF(B18="","",B27)</f>
        <v>ABX.TO</v>
      </c>
      <c r="C42" s="428" t="e" cm="1">
        <f t="array" ref="C42">IF($B42="","",_xll.RDP.Data($B42,"TR.GrossMargin")/100)</f>
        <v>#VALUE!</v>
      </c>
      <c r="D42" s="429" t="e" cm="1">
        <f t="array" ref="D42">IF($B42="","",_xll.RDP.Data($B42,"TR.OperatingMarginPercent")/100)</f>
        <v>#VALUE!</v>
      </c>
      <c r="E42" s="429" t="e" cm="1">
        <f t="array" ref="E42">IF($B42="","",_xll.RDP.Data($B42,"TR.NetProfitMargin")/100)</f>
        <v>#VALUE!</v>
      </c>
      <c r="F42" s="429" t="e" cm="1">
        <f t="array" ref="F42">IF($B42="","",_xll.RDP.Data($B42,"TR.ROAActValue")/100)</f>
        <v>#VALUE!</v>
      </c>
      <c r="G42" s="430" t="e" cm="1">
        <f t="array" ref="G42">IF($B42="","",_xll.RDP.Data($B42,"TR.ROEActValue")/100)</f>
        <v>#VALUE!</v>
      </c>
      <c r="H42" s="423" t="str">
        <f>IF($B42="","",_xll.RDP.Data($B42,"TR.AssetTurnover"))</f>
        <v>Please sign in</v>
      </c>
      <c r="I42" s="431" t="str">
        <f>IF($B42="","",_xll.RDP.Data($B42,"TR.InventoryTurnover"))</f>
        <v>Please sign in</v>
      </c>
      <c r="J42" s="432" t="e" cm="1">
        <f t="array" ref="J42">IF($B42="","",_xll.RDP.Data($B42,"TR.Revenue")/_xll.RDP.Data($B42,"TR.TotalReceivablesNet"))</f>
        <v>#VALUE!</v>
      </c>
      <c r="K42" s="423" t="str">
        <f>IF($B42="","",_xll.RDP.Data($B42,"TR.TtlDebtToTtlEquityPct"))</f>
        <v>Please sign in</v>
      </c>
      <c r="L42" s="424" t="str">
        <f>IF($B42="","",_xll.RDP.Data($B42,"TR.LTDebtToTtlCapitalPct"))</f>
        <v>Please sign in</v>
      </c>
      <c r="M42" s="425" t="str">
        <f>IF($B42="","",_xll.RDP.Data($B42,"TR.QuickRatio"))</f>
        <v>Please sign in</v>
      </c>
      <c r="N42" s="426" t="str">
        <f>IF($B42="","",_xll.RDP.Data($B42,"TR.CurrentRatio"))</f>
        <v>Please sign in</v>
      </c>
      <c r="O42" s="427" t="e" cm="1">
        <f t="array" ref="O42">IF($B42="","",_xll.RDP.Data($B42,"TR.EBITDA")/_xll.RDP.Data($B42,"TR.InterestExpense"))</f>
        <v>#VALUE!</v>
      </c>
      <c r="P42" s="328"/>
      <c r="Q42" s="328"/>
      <c r="R42" s="328"/>
    </row>
    <row r="43" spans="1:18">
      <c r="A43" s="433" t="str">
        <f>A10</f>
        <v>Please sign in</v>
      </c>
      <c r="B43" s="434" t="str">
        <f>IF(B19="","",B28)</f>
        <v>NEM</v>
      </c>
      <c r="C43" s="435" t="e" cm="1">
        <f t="array" ref="C43">IF($B43="","",_xll.RDP.Data($B43,"TR.GrossMargin")/100)</f>
        <v>#VALUE!</v>
      </c>
      <c r="D43" s="436" t="e" cm="1">
        <f t="array" ref="D43">IF($B43="","",_xll.RDP.Data($B43,"TR.OperatingMarginPercent")/100)</f>
        <v>#VALUE!</v>
      </c>
      <c r="E43" s="436" t="e" cm="1">
        <f t="array" ref="E43">IF($B43="","",_xll.RDP.Data($B43,"TR.NetProfitMargin")/100)</f>
        <v>#VALUE!</v>
      </c>
      <c r="F43" s="436" t="e" cm="1">
        <f t="array" ref="F43">IF($B43="","",_xll.RDP.Data($B43,"TR.ROAActValue")/100)</f>
        <v>#VALUE!</v>
      </c>
      <c r="G43" s="437" t="e" cm="1">
        <f t="array" ref="G43">IF($B43="","",_xll.RDP.Data($B43,"TR.ROEActValue")/100)</f>
        <v>#VALUE!</v>
      </c>
      <c r="H43" s="438" t="str">
        <f>IF($B43="","",_xll.RDP.Data($B43,"TR.AssetTurnover"))</f>
        <v>Please sign in</v>
      </c>
      <c r="I43" s="439" t="str">
        <f>IF($B43="","",_xll.RDP.Data($B43,"TR.InventoryTurnover"))</f>
        <v>Please sign in</v>
      </c>
      <c r="J43" s="440" t="e" cm="1">
        <f t="array" ref="J43">IF($B43="","",_xll.RDP.Data($B43,"TR.Revenue")/_xll.RDP.Data($B43,"TR.TotalReceivablesNet"))</f>
        <v>#VALUE!</v>
      </c>
      <c r="K43" s="438" t="str">
        <f>IF($B43="","",_xll.RDP.Data($B43,"TR.TtlDebtToTtlEquityPct"))</f>
        <v>Please sign in</v>
      </c>
      <c r="L43" s="441" t="str">
        <f>IF($B43="","",_xll.RDP.Data($B43,"TR.LTDebtToTtlCapitalPct"))</f>
        <v>Please sign in</v>
      </c>
      <c r="M43" s="442" t="str">
        <f>IF($B43="","",_xll.RDP.Data($B43,"TR.QuickRatio"))</f>
        <v>Please sign in</v>
      </c>
      <c r="N43" s="443" t="str">
        <f>IF($B43="","",_xll.RDP.Data($B43,"TR.CurrentRatio"))</f>
        <v>Please sign in</v>
      </c>
      <c r="O43" s="444" t="e" cm="1">
        <f t="array" ref="O43">IF($B43="","",_xll.RDP.Data($B43,"TR.EBITDA")/_xll.RDP.Data($B43,"TR.InterestExpense"))</f>
        <v>#VALUE!</v>
      </c>
      <c r="P43" s="328"/>
      <c r="Q43" s="328"/>
      <c r="R43" s="328"/>
    </row>
    <row r="44" spans="1:18" ht="15.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</sheetData>
  <conditionalFormatting sqref="D33:P34">
    <cfRule type="cellIs" dxfId="3" priority="1" operator="lessThan">
      <formula>$C$28</formula>
    </cfRule>
    <cfRule type="cellIs" dxfId="2" priority="2" operator="greaterThan">
      <formula>$C$28</formula>
    </cfRule>
  </conditionalFormatting>
  <hyperlinks>
    <hyperlink ref="G10" tooltip="Thomson Reuters Click-Thru" xr:uid="{63EA2826-8DB2-4912-83CA-DE6F73F82754}"/>
    <hyperlink ref="H10" tooltip="Thomson Reuters Click-Thru" xr:uid="{0B3E8F2C-424C-44D0-852E-B30475558497}"/>
    <hyperlink ref="J40" tooltip="Thomson Reuters Click-Thru" xr:uid="{B38D9F9D-068F-408F-8AE5-D81B25EA640C}"/>
    <hyperlink ref="G7" tooltip="Thomson Reuters Click-Thru" xr:uid="{CF5F49D5-77C7-44C7-9C02-39D744A85A85}"/>
    <hyperlink ref="G8" tooltip="Thomson Reuters Click-Thru" xr:uid="{08B68D71-E8BB-4EF5-8FFF-146352695C35}"/>
    <hyperlink ref="G9" tooltip="Thomson Reuters Click-Thru" xr:uid="{5C35D783-7CA8-400D-8E06-F193369F7E81}"/>
    <hyperlink ref="H7:H8" tooltip="Thomson Reuters Click-Thru" xr:uid="{0DA5B9C4-32A7-4593-BBE5-C3D814EE5305}"/>
    <hyperlink ref="H6" tooltip="Thomson Reuters Click-Thru" xr:uid="{7BEE7B4C-8BD5-4DAD-820D-E16C1954A396}"/>
    <hyperlink ref="G6" tooltip="Thomson Reuters Click-Thru" xr:uid="{BA756560-67D2-4335-AC1C-2B10F6EABD98}"/>
    <hyperlink ref="J39" tooltip="Thomson Reuters Click-Thru" xr:uid="{AF897C05-860A-4A7E-8254-DC007009B93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3D0F-266E-4F74-81AD-374E9A23D88B}">
  <dimension ref="A1:R43"/>
  <sheetViews>
    <sheetView zoomScale="71" workbookViewId="0">
      <selection activeCell="R22" sqref="R22"/>
    </sheetView>
  </sheetViews>
  <sheetFormatPr defaultColWidth="8.77734375" defaultRowHeight="14.4"/>
  <cols>
    <col min="1" max="1" width="29.5546875" bestFit="1" customWidth="1"/>
    <col min="3" max="5" width="8.88671875" bestFit="1" customWidth="1"/>
    <col min="6" max="6" width="9.21875" bestFit="1" customWidth="1"/>
    <col min="7" max="8" width="8.88671875" bestFit="1" customWidth="1"/>
    <col min="9" max="9" width="9.21875" bestFit="1" customWidth="1"/>
    <col min="10" max="10" width="8.88671875" bestFit="1" customWidth="1"/>
    <col min="11" max="11" width="9.6640625" bestFit="1" customWidth="1"/>
    <col min="12" max="13" width="10.77734375" bestFit="1" customWidth="1"/>
    <col min="14" max="14" width="9.6640625" bestFit="1" customWidth="1"/>
    <col min="15" max="16" width="10.77734375" bestFit="1" customWidth="1"/>
    <col min="17" max="17" width="8.88671875" bestFit="1" customWidth="1"/>
  </cols>
  <sheetData>
    <row r="1" spans="1:18">
      <c r="A1" s="55"/>
      <c r="B1" s="302"/>
      <c r="C1" s="55" t="s">
        <v>118</v>
      </c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>
      <c r="A2" s="303" t="s">
        <v>119</v>
      </c>
      <c r="B2" s="304"/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55"/>
    </row>
    <row r="3" spans="1:18">
      <c r="A3" s="305" t="s">
        <v>120</v>
      </c>
      <c r="B3" s="306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55"/>
    </row>
    <row r="4" spans="1:18">
      <c r="A4" s="308" t="s">
        <v>121</v>
      </c>
      <c r="B4" s="309"/>
      <c r="C4" s="310" t="s">
        <v>122</v>
      </c>
      <c r="D4" s="311" t="s">
        <v>123</v>
      </c>
      <c r="E4" s="311" t="s">
        <v>124</v>
      </c>
      <c r="F4" s="311" t="s">
        <v>125</v>
      </c>
      <c r="G4" s="311" t="s">
        <v>34</v>
      </c>
      <c r="H4" s="311"/>
      <c r="I4" s="311" t="s">
        <v>126</v>
      </c>
      <c r="J4" s="312" t="s">
        <v>127</v>
      </c>
      <c r="K4" s="312"/>
      <c r="L4" s="313" t="s">
        <v>128</v>
      </c>
      <c r="M4" s="55"/>
      <c r="N4" s="55"/>
      <c r="O4" s="55"/>
      <c r="P4" s="55"/>
      <c r="Q4" s="55"/>
      <c r="R4" s="55"/>
    </row>
    <row r="5" spans="1:18">
      <c r="A5" s="314" t="s">
        <v>129</v>
      </c>
      <c r="B5" s="314" t="s">
        <v>130</v>
      </c>
      <c r="C5" s="315" t="s">
        <v>36</v>
      </c>
      <c r="D5" s="316" t="s">
        <v>131</v>
      </c>
      <c r="E5" s="316" t="s">
        <v>132</v>
      </c>
      <c r="F5" s="316" t="s">
        <v>133</v>
      </c>
      <c r="G5" s="316" t="s">
        <v>134</v>
      </c>
      <c r="H5" s="316" t="s">
        <v>135</v>
      </c>
      <c r="I5" s="316" t="s">
        <v>136</v>
      </c>
      <c r="J5" s="317" t="s">
        <v>136</v>
      </c>
      <c r="K5" s="317" t="s">
        <v>137</v>
      </c>
      <c r="L5" s="314" t="s">
        <v>138</v>
      </c>
      <c r="M5" s="55"/>
      <c r="N5" s="55"/>
      <c r="O5" s="55"/>
      <c r="P5" s="55"/>
      <c r="Q5" s="55"/>
      <c r="R5" s="55"/>
    </row>
    <row r="6" spans="1:18">
      <c r="A6" s="318" t="s">
        <v>354</v>
      </c>
      <c r="B6" s="319" t="s">
        <v>320</v>
      </c>
      <c r="C6" s="320">
        <v>265.77</v>
      </c>
      <c r="D6" s="321">
        <v>305.27999999999997</v>
      </c>
      <c r="E6" s="322">
        <v>84.398062999999993</v>
      </c>
      <c r="F6" s="323">
        <v>22430.473203509995</v>
      </c>
      <c r="G6" s="323">
        <v>0</v>
      </c>
      <c r="H6" s="323">
        <v>195.49799999999999</v>
      </c>
      <c r="I6" s="324">
        <v>22234.975203509995</v>
      </c>
      <c r="J6" s="323">
        <v>3118.9569999999999</v>
      </c>
      <c r="K6" s="325">
        <v>0.501586457688455</v>
      </c>
      <c r="L6" s="326">
        <v>293.18182000000002</v>
      </c>
      <c r="M6" s="327"/>
      <c r="N6" s="328"/>
      <c r="O6" s="328"/>
      <c r="P6" s="328"/>
      <c r="Q6" s="328"/>
      <c r="R6" s="328"/>
    </row>
    <row r="7" spans="1:18">
      <c r="A7" s="318" t="s">
        <v>355</v>
      </c>
      <c r="B7" s="319" t="s">
        <v>321</v>
      </c>
      <c r="C7" s="329">
        <v>53.995720764273997</v>
      </c>
      <c r="D7" s="330">
        <v>63.020118012106401</v>
      </c>
      <c r="E7" s="322">
        <v>895.02424699999995</v>
      </c>
      <c r="F7" s="324">
        <v>48327.479318266596</v>
      </c>
      <c r="G7" s="324">
        <v>2945.8</v>
      </c>
      <c r="H7" s="324">
        <v>860.2</v>
      </c>
      <c r="I7" s="324">
        <v>50413.079318266602</v>
      </c>
      <c r="J7" s="324">
        <v>5201.3999999999996</v>
      </c>
      <c r="K7" s="331">
        <v>1.7169620108946799</v>
      </c>
      <c r="L7" s="332">
        <v>54.548736502629303</v>
      </c>
      <c r="M7" s="327"/>
      <c r="N7" s="328"/>
      <c r="O7" s="328"/>
      <c r="P7" s="328"/>
      <c r="Q7" s="328"/>
      <c r="R7" s="328"/>
    </row>
    <row r="8" spans="1:18">
      <c r="A8" s="318" t="s">
        <v>356</v>
      </c>
      <c r="B8" s="319" t="s">
        <v>322</v>
      </c>
      <c r="C8" s="329">
        <v>196.6</v>
      </c>
      <c r="D8" s="330">
        <v>225</v>
      </c>
      <c r="E8" s="322">
        <v>501.63358699999998</v>
      </c>
      <c r="F8" s="324">
        <v>98621.163204199998</v>
      </c>
      <c r="G8" s="324">
        <v>1282.182</v>
      </c>
      <c r="H8" s="324">
        <v>926.43100000000004</v>
      </c>
      <c r="I8" s="324">
        <v>98976.914204200002</v>
      </c>
      <c r="J8" s="324">
        <v>20832.900000000001</v>
      </c>
      <c r="K8" s="331">
        <v>0.64890628100113601</v>
      </c>
      <c r="L8" s="332">
        <v>231.86951999999999</v>
      </c>
      <c r="M8" s="327"/>
      <c r="N8" s="328"/>
      <c r="O8" s="328"/>
      <c r="P8" s="328"/>
      <c r="Q8" s="328"/>
      <c r="R8" s="328"/>
    </row>
    <row r="9" spans="1:18">
      <c r="A9" s="318" t="s">
        <v>357</v>
      </c>
      <c r="B9" s="333" t="s">
        <v>323</v>
      </c>
      <c r="C9" s="329">
        <v>45.142188756487997</v>
      </c>
      <c r="D9" s="330">
        <v>54.859515160501203</v>
      </c>
      <c r="E9" s="322">
        <v>1687.4339299999999</v>
      </c>
      <c r="F9" s="324">
        <v>76174.460982162345</v>
      </c>
      <c r="G9" s="324">
        <v>5211</v>
      </c>
      <c r="H9" s="324">
        <v>0</v>
      </c>
      <c r="I9" s="324">
        <v>81385.460982162345</v>
      </c>
      <c r="J9" s="324">
        <v>26557</v>
      </c>
      <c r="K9" s="331">
        <v>0.98435742951739702</v>
      </c>
      <c r="L9" s="332">
        <v>56.528211126544299</v>
      </c>
      <c r="M9" s="327"/>
      <c r="N9" s="328"/>
      <c r="O9" s="328"/>
      <c r="P9" s="328"/>
      <c r="Q9" s="328"/>
      <c r="R9" s="328"/>
    </row>
    <row r="10" spans="1:18">
      <c r="A10" s="318" t="s">
        <v>325</v>
      </c>
      <c r="B10" s="334" t="s">
        <v>324</v>
      </c>
      <c r="C10" s="335">
        <v>115.32</v>
      </c>
      <c r="D10" s="336">
        <v>134.88</v>
      </c>
      <c r="E10" s="337">
        <v>1091.2629810000001</v>
      </c>
      <c r="F10" s="338">
        <v>125844.44696892001</v>
      </c>
      <c r="G10" s="338">
        <v>8972</v>
      </c>
      <c r="H10" s="338">
        <v>3619</v>
      </c>
      <c r="I10" s="338">
        <v>131197.44696892001</v>
      </c>
      <c r="J10" s="338">
        <v>29928</v>
      </c>
      <c r="K10" s="339">
        <v>0.43578127839531799</v>
      </c>
      <c r="L10" s="340">
        <v>126.91909</v>
      </c>
      <c r="M10" s="327"/>
      <c r="N10" s="328"/>
      <c r="O10" s="328"/>
      <c r="P10" s="328"/>
      <c r="Q10" s="328"/>
      <c r="R10" s="328"/>
    </row>
    <row r="11" spans="1:18">
      <c r="A11" s="55"/>
      <c r="B11" s="302"/>
      <c r="C11" s="55" t="s">
        <v>139</v>
      </c>
      <c r="D11" s="55" t="s">
        <v>139</v>
      </c>
      <c r="E11" s="55" t="s">
        <v>139</v>
      </c>
      <c r="F11" s="55" t="s">
        <v>139</v>
      </c>
      <c r="G11" s="55" t="s">
        <v>139</v>
      </c>
      <c r="H11" s="55" t="s">
        <v>139</v>
      </c>
      <c r="I11" s="55" t="s">
        <v>139</v>
      </c>
      <c r="J11" s="55" t="s">
        <v>139</v>
      </c>
      <c r="K11" s="55" t="s">
        <v>139</v>
      </c>
      <c r="L11" s="55" t="s">
        <v>139</v>
      </c>
      <c r="M11" s="55"/>
      <c r="N11" s="55"/>
      <c r="O11" s="55"/>
      <c r="P11" s="55"/>
      <c r="Q11" s="55"/>
      <c r="R11" s="55"/>
    </row>
    <row r="12" spans="1:18" ht="15.6">
      <c r="A12" s="305" t="s">
        <v>140</v>
      </c>
      <c r="B12" s="341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42"/>
      <c r="Q12" s="307"/>
      <c r="R12" s="55"/>
    </row>
    <row r="13" spans="1:18">
      <c r="A13" s="308"/>
      <c r="B13" s="309"/>
      <c r="C13" s="343" t="s">
        <v>141</v>
      </c>
      <c r="D13" s="344"/>
      <c r="E13" s="344"/>
      <c r="F13" s="345"/>
      <c r="G13" s="343" t="s">
        <v>142</v>
      </c>
      <c r="H13" s="344"/>
      <c r="I13" s="344"/>
      <c r="J13" s="345"/>
      <c r="K13" s="344" t="s">
        <v>143</v>
      </c>
      <c r="L13" s="344"/>
      <c r="M13" s="345"/>
      <c r="N13" s="343" t="s">
        <v>144</v>
      </c>
      <c r="O13" s="344"/>
      <c r="P13" s="345"/>
      <c r="Q13" s="313" t="s">
        <v>145</v>
      </c>
      <c r="R13" s="55"/>
    </row>
    <row r="14" spans="1:18">
      <c r="A14" s="314" t="s">
        <v>129</v>
      </c>
      <c r="B14" s="314" t="s">
        <v>130</v>
      </c>
      <c r="C14" s="346" t="s">
        <v>146</v>
      </c>
      <c r="D14" s="347" t="s">
        <v>147</v>
      </c>
      <c r="E14" s="347" t="s">
        <v>148</v>
      </c>
      <c r="F14" s="348" t="s">
        <v>149</v>
      </c>
      <c r="G14" s="346" t="s">
        <v>146</v>
      </c>
      <c r="H14" s="347" t="s">
        <v>147</v>
      </c>
      <c r="I14" s="347" t="s">
        <v>148</v>
      </c>
      <c r="J14" s="348" t="s">
        <v>149</v>
      </c>
      <c r="K14" s="346" t="s">
        <v>146</v>
      </c>
      <c r="L14" s="347" t="s">
        <v>147</v>
      </c>
      <c r="M14" s="348" t="s">
        <v>148</v>
      </c>
      <c r="N14" s="346" t="s">
        <v>146</v>
      </c>
      <c r="O14" s="347" t="s">
        <v>147</v>
      </c>
      <c r="P14" s="348" t="s">
        <v>148</v>
      </c>
      <c r="Q14" s="349" t="s">
        <v>150</v>
      </c>
      <c r="R14" s="55"/>
    </row>
    <row r="15" spans="1:18">
      <c r="A15" s="350" t="s">
        <v>354</v>
      </c>
      <c r="B15" s="351" t="s">
        <v>320</v>
      </c>
      <c r="C15" s="352">
        <v>719.39499999999998</v>
      </c>
      <c r="D15" s="352">
        <v>892.49833000000001</v>
      </c>
      <c r="E15" s="352">
        <v>1526.05429</v>
      </c>
      <c r="F15" s="353">
        <v>1814.99</v>
      </c>
      <c r="G15" s="354">
        <v>5.1024399999999996</v>
      </c>
      <c r="H15" s="354">
        <v>7.9546999999999999</v>
      </c>
      <c r="I15" s="354">
        <v>11.536300000000001</v>
      </c>
      <c r="J15" s="355">
        <v>11.96157</v>
      </c>
      <c r="K15" s="354">
        <v>416.11399999999998</v>
      </c>
      <c r="L15" s="354">
        <v>669.19200000000001</v>
      </c>
      <c r="M15" s="355">
        <v>1170.7360000000001</v>
      </c>
      <c r="N15" s="356">
        <v>569.54425000000003</v>
      </c>
      <c r="O15" s="354">
        <v>845.28056000000004</v>
      </c>
      <c r="P15" s="354">
        <v>1523.7197799999999</v>
      </c>
      <c r="Q15" s="357" t="e">
        <v>#VALUE!</v>
      </c>
      <c r="R15" s="55"/>
    </row>
    <row r="16" spans="1:18">
      <c r="A16" s="350" t="s">
        <v>355</v>
      </c>
      <c r="B16" s="351" t="s">
        <v>321</v>
      </c>
      <c r="C16" s="352">
        <v>5201.6000000000004</v>
      </c>
      <c r="D16" s="352">
        <v>8578.2098999999998</v>
      </c>
      <c r="E16" s="352">
        <v>11599.857599999999</v>
      </c>
      <c r="F16" s="358">
        <v>11262.915220000001</v>
      </c>
      <c r="G16" s="354">
        <v>1.2645</v>
      </c>
      <c r="H16" s="354">
        <v>3.3220000000000001</v>
      </c>
      <c r="I16" s="354">
        <v>5.4247800000000002</v>
      </c>
      <c r="J16" s="355">
        <v>5.5551300000000001</v>
      </c>
      <c r="K16" s="354">
        <v>2041.8324299999999</v>
      </c>
      <c r="L16" s="354">
        <v>4926.1707800000004</v>
      </c>
      <c r="M16" s="355">
        <v>7401.0891099999999</v>
      </c>
      <c r="N16" s="356">
        <v>2700.24388</v>
      </c>
      <c r="O16" s="354">
        <v>5723.4677000000001</v>
      </c>
      <c r="P16" s="354">
        <v>8212.7808000000005</v>
      </c>
      <c r="Q16" s="357">
        <v>0.51400000000000001</v>
      </c>
      <c r="R16" s="55"/>
    </row>
    <row r="17" spans="1:18">
      <c r="A17" s="350" t="s">
        <v>356</v>
      </c>
      <c r="B17" s="351" t="s">
        <v>322</v>
      </c>
      <c r="C17" s="352">
        <v>8285.7530000000006</v>
      </c>
      <c r="D17" s="352">
        <v>11771.385329999999</v>
      </c>
      <c r="E17" s="352">
        <v>15206.229289999999</v>
      </c>
      <c r="F17" s="358">
        <v>15048.141540000001</v>
      </c>
      <c r="G17" s="354">
        <v>4.1342100000000004</v>
      </c>
      <c r="H17" s="354">
        <v>8.1571300000000004</v>
      </c>
      <c r="I17" s="354">
        <v>11.59882</v>
      </c>
      <c r="J17" s="355">
        <v>11.84029</v>
      </c>
      <c r="K17" s="354">
        <v>3128.0353300000002</v>
      </c>
      <c r="L17" s="354">
        <v>6446.1027999999997</v>
      </c>
      <c r="M17" s="355">
        <v>9536.0613300000005</v>
      </c>
      <c r="N17" s="356">
        <v>4712.7132300000003</v>
      </c>
      <c r="O17" s="354">
        <v>7988.2078099999999</v>
      </c>
      <c r="P17" s="354">
        <v>10997.3685</v>
      </c>
      <c r="Q17" s="357" t="e">
        <v>#VALUE!</v>
      </c>
      <c r="R17" s="359" t="s">
        <v>151</v>
      </c>
    </row>
    <row r="18" spans="1:18">
      <c r="A18" s="350" t="s">
        <v>357</v>
      </c>
      <c r="B18" s="351" t="s">
        <v>323</v>
      </c>
      <c r="C18" s="360">
        <v>16956</v>
      </c>
      <c r="D18" s="352">
        <v>20670.976920000001</v>
      </c>
      <c r="E18" s="352">
        <v>22372.735390000002</v>
      </c>
      <c r="F18" s="358">
        <v>24319.28571</v>
      </c>
      <c r="G18" s="356">
        <v>2.28444</v>
      </c>
      <c r="H18" s="354">
        <v>3.4933800000000002</v>
      </c>
      <c r="I18" s="354">
        <v>3.9939200000000001</v>
      </c>
      <c r="J18" s="355">
        <v>4.1246299999999998</v>
      </c>
      <c r="K18" s="354">
        <v>8151.375</v>
      </c>
      <c r="L18" s="354">
        <v>12639.7</v>
      </c>
      <c r="M18" s="355">
        <v>13849.22222</v>
      </c>
      <c r="N18" s="356">
        <v>9054.4017000000003</v>
      </c>
      <c r="O18" s="354">
        <v>13100.545389999999</v>
      </c>
      <c r="P18" s="354">
        <v>14757.348330000001</v>
      </c>
      <c r="Q18" s="357" t="e">
        <v>#VALUE!</v>
      </c>
      <c r="R18" s="359" t="s">
        <v>151</v>
      </c>
    </row>
    <row r="19" spans="1:18">
      <c r="A19" s="361" t="s">
        <v>325</v>
      </c>
      <c r="B19" s="362" t="s">
        <v>324</v>
      </c>
      <c r="C19" s="362">
        <v>18682</v>
      </c>
      <c r="D19" s="363">
        <v>22004.587</v>
      </c>
      <c r="E19" s="363">
        <v>25480.726849999999</v>
      </c>
      <c r="F19" s="364">
        <v>26779.15583</v>
      </c>
      <c r="G19" s="365">
        <v>3.14588</v>
      </c>
      <c r="H19" s="366">
        <v>6.4197699999999998</v>
      </c>
      <c r="I19" s="366">
        <v>8.7210000000000001</v>
      </c>
      <c r="J19" s="367">
        <v>9.5552700000000002</v>
      </c>
      <c r="K19" s="366">
        <v>5430.4686300000003</v>
      </c>
      <c r="L19" s="366">
        <v>10571.9383</v>
      </c>
      <c r="M19" s="367">
        <v>13866.161550000001</v>
      </c>
      <c r="N19" s="365">
        <v>8151.4989400000004</v>
      </c>
      <c r="O19" s="366">
        <v>13084.46379</v>
      </c>
      <c r="P19" s="367">
        <v>16813.511399999999</v>
      </c>
      <c r="Q19" s="368">
        <v>0.3775</v>
      </c>
      <c r="R19" s="55"/>
    </row>
    <row r="20" spans="1:18">
      <c r="A20" s="55"/>
      <c r="B20" s="302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</row>
    <row r="21" spans="1:18" ht="15.6">
      <c r="A21" s="305" t="s">
        <v>152</v>
      </c>
      <c r="B21" s="341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  <c r="O21" s="305"/>
      <c r="P21" s="342"/>
      <c r="Q21" s="307"/>
      <c r="R21" s="55"/>
    </row>
    <row r="22" spans="1:18">
      <c r="A22" s="308"/>
      <c r="B22" s="313"/>
      <c r="C22" s="313" t="s">
        <v>122</v>
      </c>
      <c r="D22" s="313" t="s">
        <v>153</v>
      </c>
      <c r="E22" s="343" t="s">
        <v>154</v>
      </c>
      <c r="F22" s="369"/>
      <c r="G22" s="370"/>
      <c r="H22" s="343" t="s">
        <v>155</v>
      </c>
      <c r="I22" s="369"/>
      <c r="J22" s="370"/>
      <c r="K22" s="343" t="s">
        <v>156</v>
      </c>
      <c r="L22" s="369"/>
      <c r="M22" s="370"/>
      <c r="N22" s="343" t="s">
        <v>157</v>
      </c>
      <c r="O22" s="369"/>
      <c r="P22" s="370"/>
      <c r="Q22" s="55"/>
      <c r="R22" s="55"/>
    </row>
    <row r="23" spans="1:18">
      <c r="A23" s="314" t="s">
        <v>129</v>
      </c>
      <c r="B23" s="314" t="s">
        <v>130</v>
      </c>
      <c r="C23" s="314" t="s">
        <v>36</v>
      </c>
      <c r="D23" s="314" t="s">
        <v>127</v>
      </c>
      <c r="E23" s="346" t="s">
        <v>147</v>
      </c>
      <c r="F23" s="347" t="s">
        <v>148</v>
      </c>
      <c r="G23" s="348" t="s">
        <v>149</v>
      </c>
      <c r="H23" s="346" t="s">
        <v>147</v>
      </c>
      <c r="I23" s="347" t="s">
        <v>148</v>
      </c>
      <c r="J23" s="348" t="s">
        <v>149</v>
      </c>
      <c r="K23" s="346" t="s">
        <v>147</v>
      </c>
      <c r="L23" s="347" t="s">
        <v>148</v>
      </c>
      <c r="M23" s="348" t="s">
        <v>149</v>
      </c>
      <c r="N23" s="346" t="s">
        <v>146</v>
      </c>
      <c r="O23" s="347" t="s">
        <v>147</v>
      </c>
      <c r="P23" s="348" t="s">
        <v>148</v>
      </c>
      <c r="Q23" s="55"/>
      <c r="R23" s="55"/>
    </row>
    <row r="24" spans="1:18">
      <c r="A24" s="350" t="s">
        <v>354</v>
      </c>
      <c r="B24" s="371" t="s">
        <v>320</v>
      </c>
      <c r="C24" s="372">
        <v>265.77</v>
      </c>
      <c r="D24" s="373">
        <v>7.1916583664058198</v>
      </c>
      <c r="E24" s="373">
        <v>25.132229887208858</v>
      </c>
      <c r="F24" s="374">
        <v>14.698345498252225</v>
      </c>
      <c r="G24" s="375">
        <v>12.35845553061449</v>
      </c>
      <c r="H24" s="376">
        <v>33.410436597231822</v>
      </c>
      <c r="I24" s="377">
        <v>23.037715732080475</v>
      </c>
      <c r="J24" s="378">
        <v>22.218655243417043</v>
      </c>
      <c r="K24" s="376" t="e">
        <v>#VALUE!</v>
      </c>
      <c r="L24" s="377" t="e">
        <v>#VALUE!</v>
      </c>
      <c r="M24" s="378" t="e">
        <v>#VALUE!</v>
      </c>
      <c r="N24" s="377">
        <v>39.03994325903561</v>
      </c>
      <c r="O24" s="377">
        <v>26.304846290928534</v>
      </c>
      <c r="P24" s="378">
        <v>14.592561897116015</v>
      </c>
      <c r="Q24" s="55"/>
      <c r="R24" s="55"/>
    </row>
    <row r="25" spans="1:18">
      <c r="A25" s="350" t="s">
        <v>355</v>
      </c>
      <c r="B25" s="371" t="s">
        <v>321</v>
      </c>
      <c r="C25" s="372">
        <v>53.995720764273997</v>
      </c>
      <c r="D25" s="373">
        <v>9.2912445338306231</v>
      </c>
      <c r="E25" s="373">
        <v>5.6337487519705709</v>
      </c>
      <c r="F25" s="374">
        <v>4.166213154053426</v>
      </c>
      <c r="G25" s="375">
        <v>4.2908499597377414</v>
      </c>
      <c r="H25" s="376">
        <v>16.253979760467789</v>
      </c>
      <c r="I25" s="377">
        <v>9.953531897012228</v>
      </c>
      <c r="J25" s="378">
        <v>9.719974287599749</v>
      </c>
      <c r="K25" s="376">
        <v>0.31622528716863402</v>
      </c>
      <c r="L25" s="376">
        <v>0.19364848048661923</v>
      </c>
      <c r="M25" s="376">
        <v>0.18910455812450874</v>
      </c>
      <c r="N25" s="377">
        <v>18.669824489433378</v>
      </c>
      <c r="O25" s="377">
        <v>8.8081355501083021</v>
      </c>
      <c r="P25" s="378">
        <v>6.1383690306536121</v>
      </c>
      <c r="Q25" s="55"/>
      <c r="R25" s="55"/>
    </row>
    <row r="26" spans="1:18">
      <c r="A26" s="350" t="s">
        <v>356</v>
      </c>
      <c r="B26" s="371" t="s">
        <v>322</v>
      </c>
      <c r="C26" s="372">
        <v>196.6</v>
      </c>
      <c r="D26" s="373">
        <v>4.7339142992190233</v>
      </c>
      <c r="E26" s="373">
        <v>8.3780422133373502</v>
      </c>
      <c r="F26" s="374">
        <v>6.4855764912775431</v>
      </c>
      <c r="G26" s="375">
        <v>6.5537104992036106</v>
      </c>
      <c r="H26" s="376">
        <v>24.10161417067032</v>
      </c>
      <c r="I26" s="377">
        <v>16.950000086215667</v>
      </c>
      <c r="J26" s="378">
        <v>16.604323036006718</v>
      </c>
      <c r="K26" s="376" t="e">
        <v>#VALUE!</v>
      </c>
      <c r="L26" s="376" t="e">
        <v>#VALUE!</v>
      </c>
      <c r="M26" s="376" t="e">
        <v>#VALUE!</v>
      </c>
      <c r="N26" s="377">
        <v>21.00210841901789</v>
      </c>
      <c r="O26" s="377">
        <v>12.390377986949241</v>
      </c>
      <c r="P26" s="378">
        <v>9.0000543497473959</v>
      </c>
      <c r="Q26" s="55"/>
      <c r="R26" s="55"/>
    </row>
    <row r="27" spans="1:18">
      <c r="A27" s="350" t="s">
        <v>357</v>
      </c>
      <c r="B27" s="371" t="s">
        <v>323</v>
      </c>
      <c r="C27" s="372">
        <v>45.142188756487997</v>
      </c>
      <c r="D27" s="373">
        <v>2.8683383282058346</v>
      </c>
      <c r="E27" s="373">
        <v>3.6850924500070672</v>
      </c>
      <c r="F27" s="374">
        <v>3.4047897878508961</v>
      </c>
      <c r="G27" s="375">
        <v>3.1322655562552022</v>
      </c>
      <c r="H27" s="376">
        <v>12.922209652682501</v>
      </c>
      <c r="I27" s="377">
        <v>11.302727334670699</v>
      </c>
      <c r="J27" s="378">
        <v>10.944542602969964</v>
      </c>
      <c r="K27" s="376" t="e">
        <v>#VALUE!</v>
      </c>
      <c r="L27" s="376" t="e">
        <v>#VALUE!</v>
      </c>
      <c r="M27" s="376" t="e">
        <v>#VALUE!</v>
      </c>
      <c r="N27" s="377">
        <v>8.9884968304600772</v>
      </c>
      <c r="O27" s="377">
        <v>6.2123719707338347</v>
      </c>
      <c r="P27" s="378">
        <v>5.5149108879347253</v>
      </c>
      <c r="Q27" s="55"/>
      <c r="R27" s="55"/>
    </row>
    <row r="28" spans="1:18">
      <c r="A28" s="361" t="s">
        <v>325</v>
      </c>
      <c r="B28" s="379" t="s">
        <v>324</v>
      </c>
      <c r="C28" s="379">
        <v>115.32</v>
      </c>
      <c r="D28" s="380">
        <v>4.2049066749839614</v>
      </c>
      <c r="E28" s="380">
        <v>5.7190097214239923</v>
      </c>
      <c r="F28" s="381">
        <v>4.9388091520992079</v>
      </c>
      <c r="G28" s="382">
        <v>4.6993433164140184</v>
      </c>
      <c r="H28" s="383">
        <v>17.963260366025573</v>
      </c>
      <c r="I28" s="384">
        <v>13.223254213966287</v>
      </c>
      <c r="J28" s="385">
        <v>12.068732751664788</v>
      </c>
      <c r="K28" s="383">
        <v>0.47584795671590918</v>
      </c>
      <c r="L28" s="384">
        <v>0.35028487984016654</v>
      </c>
      <c r="M28" s="385">
        <v>0.31970152984542483</v>
      </c>
      <c r="N28" s="383">
        <v>16.094886098202693</v>
      </c>
      <c r="O28" s="384">
        <v>10.026963968457741</v>
      </c>
      <c r="P28" s="385">
        <v>7.8030962032666187</v>
      </c>
      <c r="Q28" s="55"/>
      <c r="R28" s="55"/>
    </row>
    <row r="29" spans="1:18">
      <c r="A29" s="55"/>
      <c r="B29" s="302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spans="1:18">
      <c r="A30" s="55"/>
      <c r="B30" s="302"/>
      <c r="C30" s="303" t="s">
        <v>158</v>
      </c>
      <c r="D30" s="386">
        <v>6.021288881915325</v>
      </c>
      <c r="E30" s="386">
        <v>10.707278325630963</v>
      </c>
      <c r="F30" s="387">
        <v>7.1887312328585224</v>
      </c>
      <c r="G30" s="388">
        <v>6.5838203864527616</v>
      </c>
      <c r="H30" s="389">
        <v>21.672060045263105</v>
      </c>
      <c r="I30" s="390">
        <v>15.310993762494768</v>
      </c>
      <c r="J30" s="391">
        <v>14.87187379249837</v>
      </c>
      <c r="K30" s="389" t="e">
        <v>#VALUE!</v>
      </c>
      <c r="L30" s="389" t="e">
        <v>#VALUE!</v>
      </c>
      <c r="M30" s="389" t="e">
        <v>#VALUE!</v>
      </c>
      <c r="N30" s="389">
        <v>21.925093249486739</v>
      </c>
      <c r="O30" s="390">
        <v>13.428932949679977</v>
      </c>
      <c r="P30" s="391">
        <v>8.8114740413629367</v>
      </c>
      <c r="Q30" s="55"/>
      <c r="R30" s="55"/>
    </row>
    <row r="31" spans="1:18">
      <c r="A31" s="55"/>
      <c r="B31" s="302"/>
      <c r="C31" s="303" t="s">
        <v>159</v>
      </c>
      <c r="D31" s="392">
        <v>5.9627863328124215</v>
      </c>
      <c r="E31" s="392">
        <v>7.0058954826539601</v>
      </c>
      <c r="F31" s="393">
        <v>5.3258948226654841</v>
      </c>
      <c r="G31" s="394">
        <v>5.422280229470676</v>
      </c>
      <c r="H31" s="395">
        <v>20.177796965569055</v>
      </c>
      <c r="I31" s="396">
        <v>14.126363710443183</v>
      </c>
      <c r="J31" s="397">
        <v>13.774432819488341</v>
      </c>
      <c r="K31" s="395" t="e">
        <v>#VALUE!</v>
      </c>
      <c r="L31" s="395" t="e">
        <v>#VALUE!</v>
      </c>
      <c r="M31" s="395" t="e">
        <v>#VALUE!</v>
      </c>
      <c r="N31" s="395">
        <v>19.835966454225634</v>
      </c>
      <c r="O31" s="396">
        <v>10.599256768528772</v>
      </c>
      <c r="P31" s="397">
        <v>7.569211690200504</v>
      </c>
      <c r="Q31" s="55"/>
      <c r="R31" s="55"/>
    </row>
    <row r="32" spans="1:18">
      <c r="A32" s="55"/>
      <c r="B32" s="302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</row>
    <row r="33" spans="1:18">
      <c r="A33" s="55"/>
      <c r="B33" s="302"/>
      <c r="C33" s="303" t="s">
        <v>158</v>
      </c>
      <c r="D33" s="445">
        <v>165.13446968834896</v>
      </c>
      <c r="E33" s="445">
        <v>215.90509487791451</v>
      </c>
      <c r="F33" s="446">
        <v>167.85513678350623</v>
      </c>
      <c r="G33" s="447">
        <v>161.56431140364074</v>
      </c>
      <c r="H33" s="445">
        <v>139.12964091677873</v>
      </c>
      <c r="I33" s="446">
        <v>133.52717660271688</v>
      </c>
      <c r="J33" s="447">
        <v>142.1047694932459</v>
      </c>
      <c r="K33" s="445" t="e">
        <v>#VALUE!</v>
      </c>
      <c r="L33" s="446" t="e">
        <v>#VALUE!</v>
      </c>
      <c r="M33" s="447" t="e">
        <v>#VALUE!</v>
      </c>
      <c r="N33" s="445">
        <v>158.87038908231079</v>
      </c>
      <c r="O33" s="446">
        <v>156.1102959456347</v>
      </c>
      <c r="P33" s="447">
        <v>130.85646790144327</v>
      </c>
      <c r="Q33" s="55"/>
      <c r="R33" s="55"/>
    </row>
    <row r="34" spans="1:18">
      <c r="A34" s="55"/>
      <c r="B34" s="302"/>
      <c r="C34" s="303" t="s">
        <v>159</v>
      </c>
      <c r="D34" s="448">
        <v>163.53003123489088</v>
      </c>
      <c r="E34" s="448">
        <v>141.26918932015531</v>
      </c>
      <c r="F34" s="449">
        <v>124.35835684979436</v>
      </c>
      <c r="G34" s="450">
        <v>133.06058186438506</v>
      </c>
      <c r="H34" s="448">
        <v>129.53681562565126</v>
      </c>
      <c r="I34" s="449">
        <v>123.196017918775</v>
      </c>
      <c r="J34" s="450">
        <v>131.61842468707238</v>
      </c>
      <c r="K34" s="448" t="e">
        <v>#VALUE!</v>
      </c>
      <c r="L34" s="449" t="e">
        <v>#VALUE!</v>
      </c>
      <c r="M34" s="450" t="e">
        <v>#VALUE!</v>
      </c>
      <c r="N34" s="448">
        <v>143.26506281944134</v>
      </c>
      <c r="O34" s="449">
        <v>122.18190638753751</v>
      </c>
      <c r="P34" s="450">
        <v>111.71645072252242</v>
      </c>
      <c r="Q34" s="55"/>
      <c r="R34" s="55"/>
    </row>
    <row r="35" spans="1:18">
      <c r="A35" s="404"/>
      <c r="B35" s="405"/>
      <c r="C35" s="55"/>
      <c r="D35" s="406" t="s">
        <v>160</v>
      </c>
      <c r="E35" s="407"/>
      <c r="F35" s="407"/>
      <c r="G35" s="407"/>
      <c r="H35" s="406" t="s">
        <v>161</v>
      </c>
      <c r="I35" s="406" t="s">
        <v>162</v>
      </c>
      <c r="J35" s="406" t="s">
        <v>163</v>
      </c>
      <c r="K35" s="406" t="s">
        <v>164</v>
      </c>
      <c r="L35" s="406" t="s">
        <v>165</v>
      </c>
      <c r="M35" s="406" t="s">
        <v>166</v>
      </c>
      <c r="N35" s="406" t="s">
        <v>167</v>
      </c>
      <c r="O35" s="406" t="s">
        <v>168</v>
      </c>
      <c r="P35" s="404"/>
      <c r="Q35" s="404"/>
      <c r="R35" s="404"/>
    </row>
    <row r="36" spans="1:18" ht="15.6">
      <c r="A36" s="305" t="s">
        <v>169</v>
      </c>
      <c r="B36" s="341"/>
      <c r="C36" s="305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  <c r="O36" s="305"/>
      <c r="P36" s="342"/>
      <c r="Q36" s="307"/>
      <c r="R36" s="55"/>
    </row>
    <row r="37" spans="1:18">
      <c r="A37" s="408"/>
      <c r="B37" s="409"/>
      <c r="C37" s="410" t="s">
        <v>170</v>
      </c>
      <c r="D37" s="411" t="s">
        <v>171</v>
      </c>
      <c r="E37" s="411" t="s">
        <v>172</v>
      </c>
      <c r="F37" s="411"/>
      <c r="G37" s="412"/>
      <c r="H37" s="410" t="s">
        <v>173</v>
      </c>
      <c r="I37" s="411" t="s">
        <v>174</v>
      </c>
      <c r="J37" s="411" t="s">
        <v>175</v>
      </c>
      <c r="K37" s="410"/>
      <c r="L37" s="412"/>
      <c r="M37" s="410" t="s">
        <v>176</v>
      </c>
      <c r="N37" s="412" t="s">
        <v>177</v>
      </c>
      <c r="O37" s="412" t="s">
        <v>178</v>
      </c>
      <c r="P37" s="328"/>
      <c r="Q37" s="328"/>
      <c r="R37" s="328"/>
    </row>
    <row r="38" spans="1:18">
      <c r="A38" s="413" t="s">
        <v>129</v>
      </c>
      <c r="B38" s="413" t="s">
        <v>130</v>
      </c>
      <c r="C38" s="414" t="s">
        <v>179</v>
      </c>
      <c r="D38" s="415" t="s">
        <v>179</v>
      </c>
      <c r="E38" s="415" t="s">
        <v>179</v>
      </c>
      <c r="F38" s="415" t="s">
        <v>180</v>
      </c>
      <c r="G38" s="416" t="s">
        <v>181</v>
      </c>
      <c r="H38" s="414" t="s">
        <v>182</v>
      </c>
      <c r="I38" s="415" t="s">
        <v>182</v>
      </c>
      <c r="J38" s="415" t="s">
        <v>182</v>
      </c>
      <c r="K38" s="414" t="s">
        <v>183</v>
      </c>
      <c r="L38" s="416" t="s">
        <v>184</v>
      </c>
      <c r="M38" s="414" t="s">
        <v>51</v>
      </c>
      <c r="N38" s="416" t="s">
        <v>51</v>
      </c>
      <c r="O38" s="416" t="s">
        <v>185</v>
      </c>
      <c r="P38" s="330"/>
      <c r="Q38" s="328"/>
      <c r="R38" s="328"/>
    </row>
    <row r="39" spans="1:18">
      <c r="A39" s="318" t="s">
        <v>354</v>
      </c>
      <c r="B39" s="417" t="s">
        <v>320</v>
      </c>
      <c r="C39" s="418">
        <v>0.85524500000000003</v>
      </c>
      <c r="D39" s="419">
        <v>0.59758409999999995</v>
      </c>
      <c r="E39" s="419">
        <v>0.46153089999999997</v>
      </c>
      <c r="F39" s="419">
        <v>0.10259</v>
      </c>
      <c r="G39" s="419">
        <v>0.11529</v>
      </c>
      <c r="H39" s="420">
        <v>0.21305348130000001</v>
      </c>
      <c r="I39" s="421">
        <v>9.1503888230000001</v>
      </c>
      <c r="J39" s="422">
        <v>11.13631789965789</v>
      </c>
      <c r="K39" s="423">
        <v>0</v>
      </c>
      <c r="L39" s="424">
        <v>0</v>
      </c>
      <c r="M39" s="425">
        <v>3.0805699999999998</v>
      </c>
      <c r="N39" s="426">
        <v>3.2329300000000001</v>
      </c>
      <c r="O39" s="427">
        <v>58.911170376448865</v>
      </c>
      <c r="P39" s="330"/>
      <c r="Q39" s="328"/>
      <c r="R39" s="328"/>
    </row>
    <row r="40" spans="1:18">
      <c r="A40" s="318" t="s">
        <v>355</v>
      </c>
      <c r="B40" s="417" t="s">
        <v>321</v>
      </c>
      <c r="C40" s="428">
        <v>0.45330280000000001</v>
      </c>
      <c r="D40" s="429">
        <v>0.45141880000000001</v>
      </c>
      <c r="E40" s="429">
        <v>0.23934940000000002</v>
      </c>
      <c r="F40" s="429">
        <v>0.12820000000000001</v>
      </c>
      <c r="G40" s="430">
        <v>0.23980000000000001</v>
      </c>
      <c r="H40" s="423">
        <v>0.56633930710000002</v>
      </c>
      <c r="I40" s="431">
        <v>3.7240701937999998</v>
      </c>
      <c r="J40" s="432">
        <v>16.439949431099873</v>
      </c>
      <c r="K40" s="423">
        <v>56.634752182100002</v>
      </c>
      <c r="L40" s="424">
        <v>25.741335546799998</v>
      </c>
      <c r="M40" s="425">
        <v>0.71760999999999997</v>
      </c>
      <c r="N40" s="426">
        <v>1.12646</v>
      </c>
      <c r="O40" s="427">
        <v>119.41200000000001</v>
      </c>
      <c r="P40" s="328"/>
      <c r="Q40" s="328"/>
      <c r="R40" s="328"/>
    </row>
    <row r="41" spans="1:18">
      <c r="A41" s="318" t="s">
        <v>356</v>
      </c>
      <c r="B41" s="417" t="s">
        <v>322</v>
      </c>
      <c r="C41" s="428">
        <v>0.62799039999999995</v>
      </c>
      <c r="D41" s="429">
        <v>0.38010170000000004</v>
      </c>
      <c r="E41" s="429">
        <v>0.2287759</v>
      </c>
      <c r="F41" s="429">
        <v>7.22E-2</v>
      </c>
      <c r="G41" s="430">
        <v>0.1052</v>
      </c>
      <c r="H41" s="423">
        <v>0.28244333449999998</v>
      </c>
      <c r="I41" s="431">
        <v>2.1042599866999998</v>
      </c>
      <c r="J41" s="432">
        <v>43.695236940082054</v>
      </c>
      <c r="K41" s="423">
        <v>6.1546016156999999</v>
      </c>
      <c r="L41" s="424">
        <v>5.2085585754999997</v>
      </c>
      <c r="M41" s="425">
        <v>0.85621000000000003</v>
      </c>
      <c r="N41" s="426">
        <v>1.8553900000000001</v>
      </c>
      <c r="O41" s="427">
        <v>51.672958969021941</v>
      </c>
      <c r="P41" s="328"/>
      <c r="Q41" s="328"/>
      <c r="R41" s="328"/>
    </row>
    <row r="42" spans="1:18">
      <c r="A42" s="318" t="s">
        <v>357</v>
      </c>
      <c r="B42" s="417" t="s">
        <v>323</v>
      </c>
      <c r="C42" s="428">
        <v>0.51256190000000001</v>
      </c>
      <c r="D42" s="429">
        <v>0.53267279999999995</v>
      </c>
      <c r="E42" s="429">
        <v>0.29446800000000001</v>
      </c>
      <c r="F42" s="429" t="e">
        <v>#VALUE!</v>
      </c>
      <c r="G42" s="430" t="e">
        <v>#VALUE!</v>
      </c>
      <c r="H42" s="423">
        <v>0.3418445007</v>
      </c>
      <c r="I42" s="431">
        <v>4.1221945137000002</v>
      </c>
      <c r="J42" s="432">
        <v>15.098842386464826</v>
      </c>
      <c r="K42" s="423">
        <v>19.6219452498</v>
      </c>
      <c r="L42" s="424">
        <v>12.4079072142</v>
      </c>
      <c r="M42" s="425">
        <v>2.3302800000000001</v>
      </c>
      <c r="N42" s="426">
        <v>2.9216500000000001</v>
      </c>
      <c r="O42" s="427">
        <v>28.534818941504177</v>
      </c>
      <c r="P42" s="328"/>
      <c r="Q42" s="328"/>
      <c r="R42" s="328"/>
    </row>
    <row r="43" spans="1:18">
      <c r="A43" s="433" t="s">
        <v>325</v>
      </c>
      <c r="B43" s="434" t="s">
        <v>324</v>
      </c>
      <c r="C43" s="435">
        <v>0.52023339999999996</v>
      </c>
      <c r="D43" s="436">
        <v>0.244674</v>
      </c>
      <c r="E43" s="436">
        <v>0.17557009999999998</v>
      </c>
      <c r="F43" s="436">
        <v>7.1289999999999992E-2</v>
      </c>
      <c r="G43" s="437">
        <v>0.13528999999999999</v>
      </c>
      <c r="H43" s="438">
        <v>0.3340396048</v>
      </c>
      <c r="I43" s="439">
        <v>3.7144633237</v>
      </c>
      <c r="J43" s="440">
        <v>17.691287878787879</v>
      </c>
      <c r="K43" s="438">
        <v>29.9786153435</v>
      </c>
      <c r="L43" s="441">
        <v>20.319336762100001</v>
      </c>
      <c r="M43" s="442">
        <v>1.3378000000000001</v>
      </c>
      <c r="N43" s="443">
        <v>1.62734</v>
      </c>
      <c r="O43" s="444">
        <v>22.512</v>
      </c>
      <c r="P43" s="328"/>
      <c r="Q43" s="328"/>
      <c r="R43" s="328"/>
    </row>
  </sheetData>
  <conditionalFormatting sqref="D33:P34">
    <cfRule type="cellIs" dxfId="1" priority="1" operator="lessThan">
      <formula>$C$28</formula>
    </cfRule>
    <cfRule type="cellIs" dxfId="0" priority="2" operator="greaterThan">
      <formula>$C$28</formula>
    </cfRule>
  </conditionalFormatting>
  <hyperlinks>
    <hyperlink ref="G10" tooltip="Thomson Reuters Click-Thru" xr:uid="{6C91B0C4-95DC-4170-B428-86BC2D7EF87A}"/>
    <hyperlink ref="H10" tooltip="Thomson Reuters Click-Thru" xr:uid="{A1770ADB-AECE-4983-9A0A-BEF4CE736158}"/>
    <hyperlink ref="J40" tooltip="Thomson Reuters Click-Thru" xr:uid="{28D16F9B-F2C4-4DEE-8544-BCC6DAC3485E}"/>
    <hyperlink ref="G7" tooltip="Thomson Reuters Click-Thru" xr:uid="{7F051B97-9C79-471B-90DE-265CF54EFAB5}"/>
    <hyperlink ref="G8" tooltip="Thomson Reuters Click-Thru" xr:uid="{151BEF2C-7267-40BC-90FF-24FE31E7744D}"/>
    <hyperlink ref="G9" tooltip="Thomson Reuters Click-Thru" xr:uid="{34A9C123-5BB3-440F-BFB5-74BA1490D283}"/>
    <hyperlink ref="H7:H8" tooltip="Thomson Reuters Click-Thru" xr:uid="{219D4869-AA34-477E-9715-57BB0A710714}"/>
    <hyperlink ref="H6" tooltip="Thomson Reuters Click-Thru" xr:uid="{7BD41761-D8E9-4531-8139-1FE121253562}"/>
    <hyperlink ref="G6" tooltip="Thomson Reuters Click-Thru" xr:uid="{3053E912-7E94-4533-A420-EE2A74C1E3B9}"/>
    <hyperlink ref="J39" tooltip="Thomson Reuters Click-Thru" xr:uid="{956970AF-8524-45CF-B173-7DBE346468A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3a1246-0cb1-4231-aa54-e583c82ab35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E9AC42CCF6CD49BED1E9721BF95A04" ma:contentTypeVersion="10" ma:contentTypeDescription="Create a new document." ma:contentTypeScope="" ma:versionID="24922925328db1cd0dbe5fb272446f0e">
  <xsd:schema xmlns:xsd="http://www.w3.org/2001/XMLSchema" xmlns:xs="http://www.w3.org/2001/XMLSchema" xmlns:p="http://schemas.microsoft.com/office/2006/metadata/properties" xmlns:ns3="0c3a1246-0cb1-4231-aa54-e583c82ab35b" targetNamespace="http://schemas.microsoft.com/office/2006/metadata/properties" ma:root="true" ma:fieldsID="29819d30454c4a022fc0140fd60984c3" ns3:_="">
    <xsd:import namespace="0c3a1246-0cb1-4231-aa54-e583c82ab35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a1246-0cb1-4231-aa54-e583c82ab35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4BB476-DE76-4027-A229-93338CEA3DFC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0c3a1246-0cb1-4231-aa54-e583c82ab35b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DBCF37-2048-4611-8F92-E16168C974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F2B660-F8F2-4D05-B13D-B94C17B52C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3a1246-0cb1-4231-aa54-e583c82ab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DCF</vt:lpstr>
      <vt:lpstr>Ke</vt:lpstr>
      <vt:lpstr>Revenue</vt:lpstr>
      <vt:lpstr>Cost of sales</vt:lpstr>
      <vt:lpstr>Income statement</vt:lpstr>
      <vt:lpstr>Balance sheet</vt:lpstr>
      <vt:lpstr>Cash flow</vt:lpstr>
      <vt:lpstr>Changes in Equity</vt:lpstr>
      <vt:lpstr>Schedules</vt:lpstr>
      <vt:lpstr>Comps</vt:lpstr>
      <vt:lpstr>Comps no 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 Kumar Reddy Vemireddy</dc:creator>
  <cp:lastModifiedBy>Sravan Kumar Reddy Vemireddy</cp:lastModifiedBy>
  <dcterms:created xsi:type="dcterms:W3CDTF">2026-02-06T21:09:57Z</dcterms:created>
  <dcterms:modified xsi:type="dcterms:W3CDTF">2026-04-22T03:13:17Z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0x0101008AE9AC42CCF6CD49BED1E9721BF95A04</vt:lpwstr>
  </property>
  <property fmtid="{D5CDD505-2E9C-101B-9397-08002B2CF9AE}" pid="3" name="PowerlinkCOMAddIn.COMAddIn.WebAddinBridge.Options">
    <vt:lpwstr>{"port":50152,"version":"1.26.602"}</vt:lpwstr>
  </property>
</Properties>
</file>